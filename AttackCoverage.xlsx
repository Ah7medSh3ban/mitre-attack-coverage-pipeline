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TATUS" sheetId="2" state="visible" r:id="rId2"/>
    <sheet xmlns:r="http://schemas.openxmlformats.org/officeDocument/2006/relationships" name="detections" sheetId="3" state="visible" r:id="rId3"/>
    <sheet xmlns:r="http://schemas.openxmlformats.org/officeDocument/2006/relationships" name="techniques" sheetId="4" state="visible" r:id="rId4"/>
    <sheet xmlns:r="http://schemas.openxmlformats.org/officeDocument/2006/relationships" name="tactics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version" sheetId="7" state="visible" r:id="rId7"/>
  </sheets>
  <definedNames>
    <definedName name="_xlnm._FilterDatabase" localSheetId="3" hidden="1">'techniques'!$Q$1:$S$698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Tahoma"/>
      <family val="2"/>
      <color indexed="81"/>
      <sz val="9"/>
    </font>
    <font>
      <name val="Tahoma"/>
      <family val="2"/>
      <b val="1"/>
      <i val="1"/>
      <color indexed="81"/>
      <sz val="9"/>
    </font>
    <font>
      <name val="Tahoma"/>
      <family val="2"/>
      <i val="1"/>
      <color indexed="81"/>
      <sz val="9"/>
    </font>
    <font>
      <name val="Calibri"/>
      <family val="2"/>
      <color theme="1"/>
      <sz val="8"/>
      <scheme val="minor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/>
    </xf>
    <xf numFmtId="0" fontId="2" fillId="3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/>
    </xf>
    <xf numFmtId="0" fontId="2" fillId="3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1" pivotButton="0" quotePrefix="0" xfId="0"/>
    <xf numFmtId="0" fontId="2" fillId="4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9" fontId="2" fillId="3" borderId="0" applyAlignment="1" pivotButton="0" quotePrefix="0" xfId="0">
      <alignment horizontal="center" vertical="center" wrapText="1"/>
    </xf>
    <xf numFmtId="9" fontId="1" fillId="0" borderId="0" applyAlignment="1" pivotButton="0" quotePrefix="0" xfId="0">
      <alignment horizontal="center"/>
    </xf>
    <xf numFmtId="9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2" fillId="0" borderId="9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/>
    </xf>
    <xf numFmtId="0" fontId="1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 wrapText="1"/>
    </xf>
    <xf numFmtId="0" fontId="6" fillId="0" borderId="19" pivotButton="0" quotePrefix="0" xfId="0"/>
    <xf numFmtId="0" fontId="6" fillId="0" borderId="20" pivotButton="0" quotePrefix="0" xfId="0"/>
    <xf numFmtId="0" fontId="6" fillId="0" borderId="14" pivotButton="0" quotePrefix="0" xfId="0"/>
    <xf numFmtId="0" fontId="6" fillId="0" borderId="16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/>
    </xf>
    <xf numFmtId="9" fontId="6" fillId="0" borderId="0" applyAlignment="1" pivotButton="0" quotePrefix="0" xfId="0">
      <alignment horizontal="center" vertical="center"/>
    </xf>
    <xf numFmtId="9" fontId="6" fillId="0" borderId="13" applyAlignment="1" pivotButton="0" quotePrefix="0" xfId="0">
      <alignment horizontal="center" vertical="center"/>
    </xf>
    <xf numFmtId="9" fontId="6" fillId="0" borderId="15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9" fontId="6" fillId="0" borderId="17" applyAlignment="1" pivotButton="0" quotePrefix="0" xfId="0">
      <alignment horizontal="center" vertical="center"/>
    </xf>
    <xf numFmtId="0" fontId="7" fillId="5" borderId="21" pivotButton="0" quotePrefix="0" xfId="0"/>
    <xf numFmtId="0" fontId="7" fillId="5" borderId="22" applyAlignment="1" pivotButton="0" quotePrefix="0" xfId="0">
      <alignment horizontal="center"/>
    </xf>
    <xf numFmtId="0" fontId="2" fillId="6" borderId="21" pivotButton="0" quotePrefix="0" xfId="0"/>
    <xf numFmtId="0" fontId="1" fillId="6" borderId="22" applyAlignment="1" pivotButton="0" quotePrefix="0" xfId="0">
      <alignment horizontal="center"/>
    </xf>
    <xf numFmtId="0" fontId="2" fillId="6" borderId="23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6" fillId="0" borderId="14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/>
  </cellStyles>
  <dxfs count="72"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bottom"/>
      <border>
        <left style="dotted">
          <color auto="1"/>
        </left>
        <right/>
        <vertic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>
          <bgColor theme="9" tint="0.5999633777886288"/>
        </patternFill>
      </fill>
    </dxf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  <numFmt numFmtId="0" formatCode="General"/>
      <alignment horizontal="center" vertical="bottom"/>
    </dxf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  <numFmt numFmtId="0" formatCode="General"/>
      <alignment horizontal="center" vertical="bottom"/>
    </dxf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0"/>
        <vertAlign val="baseline"/>
        <scheme val="minor"/>
      </font>
      <numFmt numFmtId="0" formatCode="General"/>
      <fill>
        <patternFill patternType="solid">
          <fgColor indexed="64"/>
          <bgColor theme="0" tint="-0.1499984740745262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3" formatCode="0%"/>
      <alignment horizont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/>
      <border outline="0">
        <left style="hair">
          <color auto="1"/>
        </left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hair">
          <color auto="1"/>
        </left>
        <right style="hair">
          <color auto="1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center" vertical="center" wrapText="1"/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bottom"/>
      <border>
        <left style="hair">
          <color auto="1"/>
        </left>
        <right style="hair">
          <color auto="1"/>
        </right>
        <vertic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bottom"/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1"/>
      </font>
      <fill>
        <patternFill>
          <bgColor theme="0" tint="-0.1499679555650502"/>
        </patternFill>
      </fill>
    </dxf>
    <dxf>
      <fill>
        <patternFill>
          <bgColor rgb="FFFFFF00"/>
        </patternFill>
      </fill>
    </dxf>
    <dxf>
      <font>
        <strike val="1"/>
      </font>
      <fill>
        <patternFill>
          <bgColor theme="0" tint="-0.1499679555650502"/>
        </patternFill>
      </fill>
    </dxf>
    <dxf>
      <fill>
        <patternFill>
          <bgColor rgb="FFFFFF00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92D050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92D050"/>
        </patternFill>
      </fill>
    </dxf>
    <dxf>
      <font>
        <strike val="1"/>
      </font>
      <fill>
        <patternFill>
          <bgColor theme="0" tint="-0.1499679555650502"/>
        </patternFill>
      </fill>
    </dxf>
    <dxf>
      <fill>
        <patternFill>
          <bgColor rgb="FFFF0000"/>
        </patternFill>
      </fill>
    </dxf>
    <dxf>
      <font>
        <strike val="1"/>
      </font>
      <fill>
        <patternFill>
          <bgColor theme="0" tint="-0.149967955565050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dfirfpi</author>
  </authors>
  <commentList>
    <comment ref="B1" authorId="0" shapeId="0">
      <text>
        <t xml:space="preserve">Only yes or empty are allowed values.
</t>
      </text>
    </comment>
  </commentList>
</comments>
</file>

<file path=xl/tables/table1.xml><?xml version="1.0" encoding="utf-8"?>
<table xmlns="http://schemas.openxmlformats.org/spreadsheetml/2006/main" id="1" name="detections" displayName="detections" ref="A1:H999" headerRowCount="1" totalsRowShown="0" headerRowDxfId="47" dataDxfId="45" headerRowBorderDxfId="46" tableBorderDxfId="44">
  <tableColumns count="8">
    <tableColumn id="1" name="use case id" dataDxfId="43"/>
    <tableColumn id="2" name="use case" dataDxfId="42"/>
    <tableColumn id="3" name="rule id" dataDxfId="41"/>
    <tableColumn id="4" name="rule description" dataDxfId="40"/>
    <tableColumn id="5" name="is active" dataDxfId="39"/>
    <tableColumn id="6" name="attack1" dataDxfId="38"/>
    <tableColumn id="7" name="attack2" dataDxfId="37"/>
    <tableColumn id="8" name="attack3" dataDxfId="3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echniques" displayName="techniques" ref="A1:P698" headerRowCount="1" totalsRowShown="0" headerRowDxfId="31" dataDxfId="30" tableBorderDxfId="29">
  <tableColumns count="16">
    <tableColumn id="1" name="technique" dataDxfId="28"/>
    <tableColumn id="2" name="id" dataDxfId="27"/>
    <tableColumn id="3" name="name" dataDxfId="26"/>
    <tableColumn id="4" name="tactics" dataDxfId="25"/>
    <tableColumn id="5" name="data sources" dataDxfId="24"/>
    <tableColumn id="6" name="data sources_x000a_number" dataDxfId="23"/>
    <tableColumn id="12" name="data source available" dataDxfId="22">
      <calculatedColumnFormula array="1">SUM(IF(ISERROR(FIND(sources[data source],techniques[[#This Row],[data sources]])),0,1)*IF(sources[available]="yes",1,0))</calculatedColumnFormula>
    </tableColumn>
    <tableColumn id="7" name="number of sub techniques" dataDxfId="21">
      <calculatedColumnFormula array="1">IF(techniques[[#This Row],[technique]]=techniques[[#This Row],[id]],SUM(IF(techniques[[#This Row],[id]]=techniques[technique],1,0))-1,"")</calculatedColumnFormula>
    </tableColumn>
    <tableColumn id="8" name="detection rules for techique" dataDxfId="20">
      <calculatedColumnFormula array="1">IF(SUM(IF($C2=detections[],IF(detections[is active]="yes",1,0),0))&gt;0,SUM(IF($C2=detections[],IF(detections[is active]="yes",1,0),0)),"")</calculatedColumnFormula>
    </tableColumn>
    <tableColumn id="9" name="detection rules for subtech" dataDxfId="19">
      <calculatedColumnFormula array="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calculatedColumnFormula>
    </tableColumn>
    <tableColumn id="10" name="minimum detection rules" dataDxfId="18">
      <calculatedColumnFormula>IF(AND(ISNUMBER(techniques[[#This Row],[number of sub techniques]]),techniques[[#This Row],[number of sub techniques]]&gt;1),techniques[number of sub techniques],1)</calculatedColumnFormula>
    </tableColumn>
    <tableColumn id="11" name="detection rules modifier" dataDxfId="17"/>
    <tableColumn id="13" name="expected detection rules" dataDxfId="16">
      <calculatedColumnFormula array="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calculatedColumnFormula>
    </tableColumn>
    <tableColumn id="14" name="detection rules" dataDxfId="15">
      <calculatedColumnFormula>IF(ISNUMBER(techniques[[#This Row],[detection rules for techique]]),techniques[[#This Row],[detection rules for techique]],0)+IF(ISNUMBER(techniques[[#This Row],[detection rules for subtech]]),techniques[[#This Row],[detection rules for subtech]],0)</calculatedColumnFormula>
    </tableColumn>
    <tableColumn id="15" name="coverage" dataDxfId="14">
      <calculatedColumnFormula>IF(techniques[[#This Row],[detection rules]]&gt;=techniques[[#This Row],[expected detection rules]],1,techniques[[#This Row],[detection rules]]/techniques[[#This Row],[expected detection rules]])</calculatedColumnFormula>
    </tableColumn>
    <tableColumn id="16" name="technique status" dataDxfId="13">
      <calculatedColumnFormula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ctics" displayName="tactics" ref="A1:D873" headerRowCount="1" totalsRowShown="0" headerRowDxfId="12" dataDxfId="10" headerRowBorderDxfId="11">
  <tableColumns count="4">
    <tableColumn id="1" name="name" dataDxfId="9"/>
    <tableColumn id="2" name="technique" dataDxfId="8"/>
    <tableColumn id="3" name="technique_id" dataDxfId="7"/>
    <tableColumn id="4" name="technique_name" dataDxfId="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sources" displayName="sources" ref="A1:C99" headerRowCount="1" totalsRowShown="0" headerRowBorderDxfId="4" tableBorderDxfId="3">
  <tableColumns count="3">
    <tableColumn id="1" name="data source" dataDxfId="2"/>
    <tableColumn id="2" name="available" dataDxfId="1"/>
    <tableColumn id="3" name="no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0"/>
  <sheetViews>
    <sheetView workbookViewId="0">
      <pane ySplit="1" topLeftCell="A2" activePane="bottomLeft" state="frozen"/>
      <selection pane="bottomLeft" activeCell="C12" sqref="C12"/>
    </sheetView>
  </sheetViews>
  <sheetFormatPr baseColWidth="8" defaultRowHeight="11.25"/>
  <cols>
    <col width="20" bestFit="1" customWidth="1" style="35" min="1" max="1"/>
    <col width="6.5" bestFit="1" customWidth="1" style="60" min="2" max="2"/>
    <col width="20" bestFit="1" customWidth="1" style="40" min="3" max="3"/>
    <col width="6.5" customWidth="1" style="39" min="4" max="4"/>
    <col width="20" customWidth="1" style="40" min="5" max="5"/>
    <col width="6.5" customWidth="1" style="39" min="6" max="6"/>
    <col width="20" bestFit="1" customWidth="1" style="39" min="7" max="7"/>
    <col width="6.5" customWidth="1" style="39" min="8" max="8"/>
    <col width="20" customWidth="1" style="39" min="9" max="9"/>
    <col width="6.5" customWidth="1" style="39" min="10" max="10"/>
    <col width="20" bestFit="1" customWidth="1" style="40" min="11" max="11"/>
    <col width="6.5" customWidth="1" style="39" min="12" max="12"/>
    <col width="20" customWidth="1" style="39" min="13" max="13"/>
    <col width="6.5" customWidth="1" style="39" min="14" max="14"/>
    <col width="20" bestFit="1" customWidth="1" style="39" min="15" max="15"/>
    <col width="6.5" customWidth="1" style="39" min="16" max="16"/>
    <col width="20" customWidth="1" style="39" min="17" max="17"/>
    <col width="6.5" customWidth="1" style="39" min="18" max="18"/>
    <col width="20" bestFit="1" customWidth="1" style="39" min="19" max="19"/>
    <col width="6.5" customWidth="1" style="39" min="20" max="20"/>
    <col width="20" bestFit="1" customWidth="1" style="39" min="21" max="21"/>
    <col width="6.5" customWidth="1" style="39" min="22" max="22"/>
    <col width="20" customWidth="1" style="39" min="23" max="23"/>
    <col width="6.5" bestFit="1" customWidth="1" style="39" min="24" max="24"/>
    <col width="20" customWidth="1" style="39" min="25" max="25"/>
    <col width="6.5" customWidth="1" style="39" min="26" max="26"/>
    <col width="20" bestFit="1" customWidth="1" style="39" min="27" max="27"/>
    <col width="6.5" customWidth="1" style="39" min="28" max="28"/>
    <col width="20" bestFit="1" customWidth="1" style="39" min="29" max="16384"/>
    <col width="6.5" customWidth="1" min="30" max="30"/>
  </cols>
  <sheetData>
    <row r="1" ht="12.75" customFormat="1" customHeight="1" s="36">
      <c r="A1" s="43" t="inlineStr">
        <is>
          <t>Reconnaissance</t>
        </is>
      </c>
      <c r="B1" s="61">
        <f t="array" ref="B1">SUM(IF(B2:B200&lt;&gt;"",B2:B200,0))/SUM(IF(A2:A200&lt;&gt;"",1,0))</f>
        <v/>
      </c>
      <c r="C1" s="43" t="inlineStr">
        <is>
          <t>Resource Development</t>
        </is>
      </c>
      <c r="D1" s="61">
        <f t="array" ref="D1">SUM(IF(D2:D200&lt;&gt;"",D2:D200,0))/SUM(IF(C2:C200&lt;&gt;"",1,0))</f>
        <v/>
      </c>
      <c r="E1" s="43" t="inlineStr">
        <is>
          <t>Initial Access</t>
        </is>
      </c>
      <c r="F1" s="61">
        <f t="array" ref="F1">SUM(IF(F2:F200&lt;&gt;"",F2:F200,0))/SUM(IF(E2:E200&lt;&gt;"",1,0))</f>
        <v/>
      </c>
      <c r="G1" s="43" t="inlineStr">
        <is>
          <t>Execution</t>
        </is>
      </c>
      <c r="H1" s="61">
        <f t="array" ref="H1">SUM(IF(H2:H200&lt;&gt;"",H2:H200,0))/SUM(IF(G2:G200&lt;&gt;"",1,0))</f>
        <v/>
      </c>
      <c r="I1" s="43" t="inlineStr">
        <is>
          <t>Persistence</t>
        </is>
      </c>
      <c r="J1" s="61">
        <f t="array" ref="J1">SUM(IF(J2:J200&lt;&gt;"",J2:J200,0))/SUM(IF(I2:I200&lt;&gt;"",1,0))</f>
        <v/>
      </c>
      <c r="K1" s="43" t="inlineStr">
        <is>
          <t>Privilege Escalation</t>
        </is>
      </c>
      <c r="L1" s="61">
        <f t="array" ref="L1">SUM(IF(L2:L200&lt;&gt;"",L2:L200,0))/SUM(IF(K2:K200&lt;&gt;"",1,0))</f>
        <v/>
      </c>
      <c r="M1" s="43" t="inlineStr">
        <is>
          <t>Stealth</t>
        </is>
      </c>
      <c r="N1" s="61">
        <f t="array" ref="N1">SUM(IF(N2:N200&lt;&gt;"",N2:N200,0))/SUM(IF(M2:M200&lt;&gt;"",1,0))</f>
        <v/>
      </c>
      <c r="O1" s="43" t="inlineStr">
        <is>
          <t>Defense Impairment</t>
        </is>
      </c>
      <c r="P1" s="61">
        <f t="array" ref="P1">SUM(IF(P2:P200&lt;&gt;"",P2:P200,0))/SUM(IF(O2:O200&lt;&gt;"",1,0))</f>
        <v/>
      </c>
      <c r="Q1" s="43" t="inlineStr">
        <is>
          <t>Credential Access</t>
        </is>
      </c>
      <c r="R1" s="61">
        <f t="array" ref="R1">SUM(IF(R2:R200&lt;&gt;"",R2:R200,0))/SUM(IF(Q2:Q200&lt;&gt;"",1,0))</f>
        <v/>
      </c>
      <c r="S1" s="43" t="inlineStr">
        <is>
          <t>Discovery</t>
        </is>
      </c>
      <c r="T1" s="61">
        <f t="array" ref="T1">SUM(IF(T2:T200&lt;&gt;"",T2:T200,0))/SUM(IF(S2:S200&lt;&gt;"",1,0))</f>
        <v/>
      </c>
      <c r="U1" s="43" t="inlineStr">
        <is>
          <t>Lateral Movement</t>
        </is>
      </c>
      <c r="V1" s="61">
        <f t="array" ref="V1">SUM(IF(V2:V200&lt;&gt;"",V2:V200,0))/SUM(IF(U2:U200&lt;&gt;"",1,0))</f>
        <v/>
      </c>
      <c r="W1" s="43" t="inlineStr">
        <is>
          <t>Collection</t>
        </is>
      </c>
      <c r="X1" s="61">
        <f t="array" ref="X1">SUM(IF(X2:X200&lt;&gt;"",X2:X200,0))/SUM(IF(W2:W200&lt;&gt;"",1,0))</f>
        <v/>
      </c>
      <c r="Y1" s="43" t="inlineStr">
        <is>
          <t>Command &amp; Control</t>
        </is>
      </c>
      <c r="Z1" s="61">
        <f t="array" ref="Z1">SUM(IF(Z2:Z200&lt;&gt;"",Z2:Z200,0))/SUM(IF(Y2:Y200&lt;&gt;"",1,0))</f>
        <v/>
      </c>
      <c r="AA1" s="43" t="inlineStr">
        <is>
          <t>Exfiltration</t>
        </is>
      </c>
      <c r="AB1" s="61">
        <f t="array" ref="AB1">SUM(IF(AB2:AB200&lt;&gt;"",AB2:AB200,0))/SUM(IF(AA2:AA200&lt;&gt;"",1,0))</f>
        <v/>
      </c>
      <c r="AC1" s="43" t="inlineStr">
        <is>
          <t>Impact</t>
        </is>
      </c>
      <c r="AD1" s="61">
        <f t="array" ref="AD1">SUM(IF(AD2:AD200&lt;&gt;"",AD2:AD200,0))/SUM(IF(AC2:AC200&lt;&gt;"",1,0))</f>
        <v/>
      </c>
    </row>
    <row r="2" ht="22.5" customHeight="1">
      <c r="A2" s="47" t="inlineStr">
        <is>
          <t>Gather Victim Identity Information (T1589)</t>
        </is>
      </c>
      <c r="B2" s="62">
        <f t="array" ref="B2">IF(A2&lt;&gt;"",IF(INDEX(techniques[coverage],MATCH(A2,techniques[name],0))&gt;0,INDEX(techniques[coverage],MATCH(A2,techniques[name],0)),""),"")</f>
        <v/>
      </c>
      <c r="C2" s="47" t="inlineStr">
        <is>
          <t>Acquire Infrastructure (T1583)</t>
        </is>
      </c>
      <c r="D2" s="62">
        <f t="array" ref="D2">IF(C2&lt;&gt;"",IF(INDEX(techniques[coverage],MATCH(C2,techniques[name],0))&gt;0,INDEX(techniques[coverage],MATCH(C2,techniques[name],0)),""),"")</f>
        <v/>
      </c>
      <c r="E2" s="47" t="inlineStr">
        <is>
          <t>Valid Accounts (T1078)</t>
        </is>
      </c>
      <c r="F2" s="62">
        <f t="array" ref="F2">IF(E2&lt;&gt;"",IF(INDEX(techniques[coverage],MATCH(E2,techniques[name],0))&gt;0,INDEX(techniques[coverage],MATCH(E2,techniques[name],0)),""),"")</f>
        <v/>
      </c>
      <c r="G2" s="47" t="inlineStr">
        <is>
          <t>Windows Management Instrumentation (T1047)</t>
        </is>
      </c>
      <c r="H2" s="62">
        <f t="array" ref="H2">IF(G2&lt;&gt;"",IF(INDEX(techniques[coverage],MATCH(G2,techniques[name],0))&gt;0,INDEX(techniques[coverage],MATCH(G2,techniques[name],0)),""),"")</f>
        <v/>
      </c>
      <c r="I2" s="47" t="inlineStr">
        <is>
          <t>Boot or Logon Initialization Scripts (T1037)</t>
        </is>
      </c>
      <c r="J2" s="62">
        <f t="array" ref="J2">IF(I2&lt;&gt;"",IF(INDEX(techniques[coverage],MATCH(I2,techniques[name],0))&gt;0,INDEX(techniques[coverage],MATCH(I2,techniques[name],0)),""),"")</f>
        <v/>
      </c>
      <c r="K2" s="47" t="inlineStr">
        <is>
          <t>Boot or Logon Initialization Scripts (T1037)</t>
        </is>
      </c>
      <c r="L2" s="62">
        <f t="array" ref="L2">IF(K2&lt;&gt;"",IF(INDEX(techniques[coverage],MATCH(K2,techniques[name],0))&gt;0,INDEX(techniques[coverage],MATCH(K2,techniques[name],0)),""),"")</f>
        <v/>
      </c>
      <c r="M2" s="47" t="inlineStr">
        <is>
          <t>Direct Volume Access (T1006)</t>
        </is>
      </c>
      <c r="N2" s="62">
        <f t="array" ref="N2">IF(M2&lt;&gt;"",IF(INDEX(techniques[coverage],MATCH(M2,techniques[name],0))&gt;0,INDEX(techniques[coverage],MATCH(M2,techniques[name],0)),""),"")</f>
        <v/>
      </c>
      <c r="O2" s="47" t="inlineStr">
        <is>
          <t>Modify Registry (T1112)</t>
        </is>
      </c>
      <c r="P2" s="62">
        <f t="array" ref="P2">IF(O2&lt;&gt;"",IF(INDEX(techniques[coverage],MATCH(O2,techniques[name],0))&gt;0,INDEX(techniques[coverage],MATCH(O2,techniques[name],0)),""),"")</f>
        <v/>
      </c>
      <c r="Q2" s="47" t="inlineStr">
        <is>
          <t>OS Credential Dumping (T1003)</t>
        </is>
      </c>
      <c r="R2" s="62">
        <f t="array" ref="R2">IF(Q2&lt;&gt;"",IF(INDEX(techniques[coverage],MATCH(Q2,techniques[name],0))&gt;0,INDEX(techniques[coverage],MATCH(Q2,techniques[name],0)),""),"")</f>
        <v/>
      </c>
      <c r="S2" s="47" t="inlineStr">
        <is>
          <t>System Service Discovery (T1007)</t>
        </is>
      </c>
      <c r="T2" s="62">
        <f t="array" ref="T2">IF(S2&lt;&gt;"",IF(INDEX(techniques[coverage],MATCH(S2,techniques[name],0))&gt;0,INDEX(techniques[coverage],MATCH(S2,techniques[name],0)),""),"")</f>
        <v/>
      </c>
      <c r="U2" s="47" t="inlineStr">
        <is>
          <t>Remote Services (T1021)</t>
        </is>
      </c>
      <c r="V2" s="62">
        <f t="array" ref="V2">IF(U2&lt;&gt;"",IF(INDEX(techniques[coverage],MATCH(U2,techniques[name],0))&gt;0,INDEX(techniques[coverage],MATCH(U2,techniques[name],0)),""),"")</f>
        <v/>
      </c>
      <c r="W2" s="47" t="inlineStr">
        <is>
          <t>Data from Local System (T1005)</t>
        </is>
      </c>
      <c r="X2" s="62">
        <f t="array" ref="X2">IF(W2&lt;&gt;"",IF(INDEX(techniques[coverage],MATCH(W2,techniques[name],0))&gt;0,INDEX(techniques[coverage],MATCH(W2,techniques[name],0)),""),"")</f>
        <v/>
      </c>
      <c r="Y2" s="47" t="inlineStr">
        <is>
          <t>Data Obfuscation (T1001)</t>
        </is>
      </c>
      <c r="Z2" s="62">
        <f t="array" ref="Z2">IF(Y2&lt;&gt;"",IF(INDEX(techniques[coverage],MATCH(Y2,techniques[name],0))&gt;0,INDEX(techniques[coverage],MATCH(Y2,techniques[name],0)),""),"")</f>
        <v/>
      </c>
      <c r="AA2" s="47" t="inlineStr">
        <is>
          <t>Exfiltration Over Other Network Medium (T1011)</t>
        </is>
      </c>
      <c r="AB2" s="62">
        <f t="array" ref="AB2">IF(AA2&lt;&gt;"",IF(INDEX(techniques[coverage],MATCH(AA2,techniques[name],0))&gt;0,INDEX(techniques[coverage],MATCH(AA2,techniques[name],0)),""),"")</f>
        <v/>
      </c>
      <c r="AC2" s="47" t="inlineStr">
        <is>
          <t>Data Destruction (T1485)</t>
        </is>
      </c>
      <c r="AD2" s="62">
        <f t="array" ref="AD2">IF(AC2&lt;&gt;"",IF(INDEX(techniques[coverage],MATCH(AC2,techniques[name],0))&gt;0,INDEX(techniques[coverage],MATCH(AC2,techniques[name],0)),""),"")</f>
        <v/>
      </c>
    </row>
    <row r="3" ht="22.5" customHeight="1">
      <c r="A3" s="47" t="inlineStr">
        <is>
          <t>Gather Victim Network Information (T1590)</t>
        </is>
      </c>
      <c r="B3" s="62">
        <f t="array" ref="B3">IF(A3&lt;&gt;"",IF(INDEX(techniques[coverage],MATCH(A3,techniques[name],0))&gt;0,INDEX(techniques[coverage],MATCH(A3,techniques[name],0)),""),"")</f>
        <v/>
      </c>
      <c r="C3" s="47" t="inlineStr">
        <is>
          <t>Compromise Infrastructure (T1584)</t>
        </is>
      </c>
      <c r="D3" s="62">
        <f t="array" ref="D3">IF(C3&lt;&gt;"",IF(INDEX(techniques[coverage],MATCH(C3,techniques[name],0))&gt;0,INDEX(techniques[coverage],MATCH(C3,techniques[name],0)),""),"")</f>
        <v/>
      </c>
      <c r="E3" s="47" t="inlineStr">
        <is>
          <t>Replication Through Removable Media (T1091)</t>
        </is>
      </c>
      <c r="F3" s="62">
        <f t="array" ref="F3">IF(E3&lt;&gt;"",IF(INDEX(techniques[coverage],MATCH(E3,techniques[name],0))&gt;0,INDEX(techniques[coverage],MATCH(E3,techniques[name],0)),""),"")</f>
        <v/>
      </c>
      <c r="G3" s="47" t="inlineStr">
        <is>
          <t>Scheduled Task/Job (T1053)</t>
        </is>
      </c>
      <c r="H3" s="62">
        <f t="array" ref="H3">IF(G3&lt;&gt;"",IF(INDEX(techniques[coverage],MATCH(G3,techniques[name],0))&gt;0,INDEX(techniques[coverage],MATCH(G3,techniques[name],0)),""),"")</f>
        <v/>
      </c>
      <c r="I3" s="47" t="inlineStr">
        <is>
          <t>Scheduled Task/Job (T1053)</t>
        </is>
      </c>
      <c r="J3" s="62">
        <f t="array" ref="J3">IF(I3&lt;&gt;"",IF(INDEX(techniques[coverage],MATCH(I3,techniques[name],0))&gt;0,INDEX(techniques[coverage],MATCH(I3,techniques[name],0)),""),"")</f>
        <v/>
      </c>
      <c r="K3" s="47" t="inlineStr">
        <is>
          <t>Scheduled Task/Job (T1053)</t>
        </is>
      </c>
      <c r="L3" s="62">
        <f t="array" ref="L3">IF(K3&lt;&gt;"",IF(INDEX(techniques[coverage],MATCH(K3,techniques[name],0))&gt;0,INDEX(techniques[coverage],MATCH(K3,techniques[name],0)),""),"")</f>
        <v/>
      </c>
      <c r="M3" s="47" t="inlineStr">
        <is>
          <t>Rootkit (T1014)</t>
        </is>
      </c>
      <c r="N3" s="62">
        <f t="array" ref="N3">IF(M3&lt;&gt;"",IF(INDEX(techniques[coverage],MATCH(M3,techniques[name],0))&gt;0,INDEX(techniques[coverage],MATCH(M3,techniques[name],0)),""),"")</f>
        <v/>
      </c>
      <c r="O3" s="47" t="inlineStr">
        <is>
          <t>Rogue Domain Controller (T1207)</t>
        </is>
      </c>
      <c r="P3" s="62">
        <f t="array" ref="P3">IF(O3&lt;&gt;"",IF(INDEX(techniques[coverage],MATCH(O3,techniques[name],0))&gt;0,INDEX(techniques[coverage],MATCH(O3,techniques[name],0)),""),"")</f>
        <v/>
      </c>
      <c r="Q3" s="47" t="inlineStr">
        <is>
          <t>Network Sniffing (T1040)</t>
        </is>
      </c>
      <c r="R3" s="62">
        <f t="array" ref="R3">IF(Q3&lt;&gt;"",IF(INDEX(techniques[coverage],MATCH(Q3,techniques[name],0))&gt;0,INDEX(techniques[coverage],MATCH(Q3,techniques[name],0)),""),"")</f>
        <v/>
      </c>
      <c r="S3" s="47" t="inlineStr">
        <is>
          <t>Application Window Discovery (T1010)</t>
        </is>
      </c>
      <c r="T3" s="62">
        <f t="array" ref="T3">IF(S3&lt;&gt;"",IF(INDEX(techniques[coverage],MATCH(S3,techniques[name],0))&gt;0,INDEX(techniques[coverage],MATCH(S3,techniques[name],0)),""),"")</f>
        <v/>
      </c>
      <c r="U3" s="47" t="inlineStr">
        <is>
          <t>Software Deployment Tools (T1072)</t>
        </is>
      </c>
      <c r="V3" s="62">
        <f t="array" ref="V3">IF(U3&lt;&gt;"",IF(INDEX(techniques[coverage],MATCH(U3,techniques[name],0))&gt;0,INDEX(techniques[coverage],MATCH(U3,techniques[name],0)),""),"")</f>
        <v/>
      </c>
      <c r="W3" s="47" t="inlineStr">
        <is>
          <t>Data from Removable Media (T1025)</t>
        </is>
      </c>
      <c r="X3" s="62">
        <f t="array" ref="X3">IF(W3&lt;&gt;"",IF(INDEX(techniques[coverage],MATCH(W3,techniques[name],0))&gt;0,INDEX(techniques[coverage],MATCH(W3,techniques[name],0)),""),"")</f>
        <v/>
      </c>
      <c r="Y3" s="47" t="inlineStr">
        <is>
          <t>Fallback Channels (T1008)</t>
        </is>
      </c>
      <c r="Z3" s="62">
        <f t="array" ref="Z3">IF(Y3&lt;&gt;"",IF(INDEX(techniques[coverage],MATCH(Y3,techniques[name],0))&gt;0,INDEX(techniques[coverage],MATCH(Y3,techniques[name],0)),""),"")</f>
        <v/>
      </c>
      <c r="AA3" s="47" t="inlineStr">
        <is>
          <t>Automated Exfiltration (T1020)</t>
        </is>
      </c>
      <c r="AB3" s="62">
        <f t="array" ref="AB3">IF(AA3&lt;&gt;"",IF(INDEX(techniques[coverage],MATCH(AA3,techniques[name],0))&gt;0,INDEX(techniques[coverage],MATCH(AA3,techniques[name],0)),""),"")</f>
        <v/>
      </c>
      <c r="AC3" s="47" t="inlineStr">
        <is>
          <t>Data Encrypted for Impact (T1486)</t>
        </is>
      </c>
      <c r="AD3" s="62">
        <f t="array" ref="AD3">IF(AC3&lt;&gt;"",IF(INDEX(techniques[coverage],MATCH(AC3,techniques[name],0))&gt;0,INDEX(techniques[coverage],MATCH(AC3,techniques[name],0)),""),"")</f>
        <v/>
      </c>
    </row>
    <row r="4" ht="22.5" customHeight="1">
      <c r="A4" s="47" t="inlineStr">
        <is>
          <t>Gather Victim Org Information (T1591)</t>
        </is>
      </c>
      <c r="B4" s="62">
        <f t="array" ref="B4">IF(A4&lt;&gt;"",IF(INDEX(techniques[coverage],MATCH(A4,techniques[name],0))&gt;0,INDEX(techniques[coverage],MATCH(A4,techniques[name],0)),""),"")</f>
        <v/>
      </c>
      <c r="C4" s="47" t="inlineStr">
        <is>
          <t>Establish Accounts (T1585)</t>
        </is>
      </c>
      <c r="D4" s="62">
        <f t="array" ref="D4">IF(C4&lt;&gt;"",IF(INDEX(techniques[coverage],MATCH(C4,techniques[name],0))&gt;0,INDEX(techniques[coverage],MATCH(C4,techniques[name],0)),""),"")</f>
        <v/>
      </c>
      <c r="E4" s="47" t="inlineStr">
        <is>
          <t>External Remote Services (T1133)</t>
        </is>
      </c>
      <c r="F4" s="62">
        <f t="array" ref="F4">IF(E4&lt;&gt;"",IF(INDEX(techniques[coverage],MATCH(E4,techniques[name],0))&gt;0,INDEX(techniques[coverage],MATCH(E4,techniques[name],0)),""),"")</f>
        <v/>
      </c>
      <c r="G4" s="47" t="inlineStr">
        <is>
          <t>Command and Scripting Interpreter (T1059)</t>
        </is>
      </c>
      <c r="H4" s="62">
        <f t="array" ref="H4">IF(G4&lt;&gt;"",IF(INDEX(techniques[coverage],MATCH(G4,techniques[name],0))&gt;0,INDEX(techniques[coverage],MATCH(G4,techniques[name],0)),""),"")</f>
        <v/>
      </c>
      <c r="I4" s="47" t="inlineStr">
        <is>
          <t>Valid Accounts (T1078)</t>
        </is>
      </c>
      <c r="J4" s="62">
        <f t="array" ref="J4">IF(I4&lt;&gt;"",IF(INDEX(techniques[coverage],MATCH(I4,techniques[name],0))&gt;0,INDEX(techniques[coverage],MATCH(I4,techniques[name],0)),""),"")</f>
        <v/>
      </c>
      <c r="K4" s="47" t="inlineStr">
        <is>
          <t>Process Injection (T1055)</t>
        </is>
      </c>
      <c r="L4" s="62">
        <f t="array" ref="L4">IF(K4&lt;&gt;"",IF(INDEX(techniques[coverage],MATCH(K4,techniques[name],0))&gt;0,INDEX(techniques[coverage],MATCH(K4,techniques[name],0)),""),"")</f>
        <v/>
      </c>
      <c r="M4" s="47" t="inlineStr">
        <is>
          <t>Obfuscated Files or Information (T1027)</t>
        </is>
      </c>
      <c r="N4" s="62">
        <f t="array" ref="N4">IF(M4&lt;&gt;"",IF(INDEX(techniques[coverage],MATCH(M4,techniques[name],0))&gt;0,INDEX(techniques[coverage],MATCH(M4,techniques[name],0)),""),"")</f>
        <v/>
      </c>
      <c r="O4" s="47" t="inlineStr">
        <is>
          <t>File and Directory Permissions Modification (T1222)</t>
        </is>
      </c>
      <c r="P4" s="62">
        <f t="array" ref="P4">IF(O4&lt;&gt;"",IF(INDEX(techniques[coverage],MATCH(O4,techniques[name],0))&gt;0,INDEX(techniques[coverage],MATCH(O4,techniques[name],0)),""),"")</f>
        <v/>
      </c>
      <c r="Q4" s="47" t="inlineStr">
        <is>
          <t>Input Capture (T1056)</t>
        </is>
      </c>
      <c r="R4" s="62">
        <f t="array" ref="R4">IF(Q4&lt;&gt;"",IF(INDEX(techniques[coverage],MATCH(Q4,techniques[name],0))&gt;0,INDEX(techniques[coverage],MATCH(Q4,techniques[name],0)),""),"")</f>
        <v/>
      </c>
      <c r="S4" s="47" t="inlineStr">
        <is>
          <t>Query Registry (T1012)</t>
        </is>
      </c>
      <c r="T4" s="62">
        <f t="array" ref="T4">IF(S4&lt;&gt;"",IF(INDEX(techniques[coverage],MATCH(S4,techniques[name],0))&gt;0,INDEX(techniques[coverage],MATCH(S4,techniques[name],0)),""),"")</f>
        <v/>
      </c>
      <c r="U4" s="47" t="inlineStr">
        <is>
          <t>Taint Shared Content (T1080)</t>
        </is>
      </c>
      <c r="V4" s="62">
        <f t="array" ref="V4">IF(U4&lt;&gt;"",IF(INDEX(techniques[coverage],MATCH(U4,techniques[name],0))&gt;0,INDEX(techniques[coverage],MATCH(U4,techniques[name],0)),""),"")</f>
        <v/>
      </c>
      <c r="W4" s="47" t="inlineStr">
        <is>
          <t>Data from Network Shared Drive (T1039)</t>
        </is>
      </c>
      <c r="X4" s="62">
        <f t="array" ref="X4">IF(W4&lt;&gt;"",IF(INDEX(techniques[coverage],MATCH(W4,techniques[name],0))&gt;0,INDEX(techniques[coverage],MATCH(W4,techniques[name],0)),""),"")</f>
        <v/>
      </c>
      <c r="Y4" s="47" t="inlineStr">
        <is>
          <t>Application Layer Protocol (T1071)</t>
        </is>
      </c>
      <c r="Z4" s="62">
        <f t="array" ref="Z4">IF(Y4&lt;&gt;"",IF(INDEX(techniques[coverage],MATCH(Y4,techniques[name],0))&gt;0,INDEX(techniques[coverage],MATCH(Y4,techniques[name],0)),""),"")</f>
        <v/>
      </c>
      <c r="AA4" s="47" t="inlineStr">
        <is>
          <t>Scheduled Transfer (T1029)</t>
        </is>
      </c>
      <c r="AB4" s="62">
        <f t="array" ref="AB4">IF(AA4&lt;&gt;"",IF(INDEX(techniques[coverage],MATCH(AA4,techniques[name],0))&gt;0,INDEX(techniques[coverage],MATCH(AA4,techniques[name],0)),""),"")</f>
        <v/>
      </c>
      <c r="AC4" s="47" t="inlineStr">
        <is>
          <t>Service Stop (T1489)</t>
        </is>
      </c>
      <c r="AD4" s="62">
        <f t="array" ref="AD4">IF(AC4&lt;&gt;"",IF(INDEX(techniques[coverage],MATCH(AC4,techniques[name],0))&gt;0,INDEX(techniques[coverage],MATCH(AC4,techniques[name],0)),""),"")</f>
        <v/>
      </c>
    </row>
    <row r="5" ht="33.75" customHeight="1">
      <c r="A5" s="47" t="inlineStr">
        <is>
          <t>Gather Victim Host Information (T1592)</t>
        </is>
      </c>
      <c r="B5" s="62">
        <f t="array" ref="B5">IF(A5&lt;&gt;"",IF(INDEX(techniques[coverage],MATCH(A5,techniques[name],0))&gt;0,INDEX(techniques[coverage],MATCH(A5,techniques[name],0)),""),"")</f>
        <v/>
      </c>
      <c r="C5" s="47" t="inlineStr">
        <is>
          <t>Compromise Accounts (T1586)</t>
        </is>
      </c>
      <c r="D5" s="62">
        <f t="array" ref="D5">IF(C5&lt;&gt;"",IF(INDEX(techniques[coverage],MATCH(C5,techniques[name],0))&gt;0,INDEX(techniques[coverage],MATCH(C5,techniques[name],0)),""),"")</f>
        <v/>
      </c>
      <c r="E5" s="47" t="inlineStr">
        <is>
          <t>Drive-by Compromise (T1189)</t>
        </is>
      </c>
      <c r="F5" s="62">
        <f t="array" ref="F5">IF(E5&lt;&gt;"",IF(INDEX(techniques[coverage],MATCH(E5,techniques[name],0))&gt;0,INDEX(techniques[coverage],MATCH(E5,techniques[name],0)),""),"")</f>
        <v/>
      </c>
      <c r="G5" s="47" t="inlineStr">
        <is>
          <t>Software Deployment Tools (T1072)</t>
        </is>
      </c>
      <c r="H5" s="62">
        <f t="array" ref="H5">IF(G5&lt;&gt;"",IF(INDEX(techniques[coverage],MATCH(G5,techniques[name],0))&gt;0,INDEX(techniques[coverage],MATCH(G5,techniques[name],0)),""),"")</f>
        <v/>
      </c>
      <c r="I5" s="47" t="inlineStr">
        <is>
          <t>Account Manipulation (T1098)</t>
        </is>
      </c>
      <c r="J5" s="62">
        <f t="array" ref="J5">IF(I5&lt;&gt;"",IF(INDEX(techniques[coverage],MATCH(I5,techniques[name],0))&gt;0,INDEX(techniques[coverage],MATCH(I5,techniques[name],0)),""),"")</f>
        <v/>
      </c>
      <c r="K5" s="47" t="inlineStr">
        <is>
          <t>Exploitation for Privilege Escalation (T1068)</t>
        </is>
      </c>
      <c r="L5" s="62">
        <f t="array" ref="L5">IF(K5&lt;&gt;"",IF(INDEX(techniques[coverage],MATCH(K5,techniques[name],0))&gt;0,INDEX(techniques[coverage],MATCH(K5,techniques[name],0)),""),"")</f>
        <v/>
      </c>
      <c r="M5" s="47" t="inlineStr">
        <is>
          <t>Masquerading (T1036)</t>
        </is>
      </c>
      <c r="N5" s="62">
        <f t="array" ref="N5">IF(M5&lt;&gt;"",IF(INDEX(techniques[coverage],MATCH(M5,techniques[name],0))&gt;0,INDEX(techniques[coverage],MATCH(M5,techniques[name],0)),""),"")</f>
        <v/>
      </c>
      <c r="O5" s="47" t="inlineStr">
        <is>
          <t>Domain or Tenant Policy Modification (T1484)</t>
        </is>
      </c>
      <c r="P5" s="62">
        <f t="array" ref="P5">IF(O5&lt;&gt;"",IF(INDEX(techniques[coverage],MATCH(O5,techniques[name],0))&gt;0,INDEX(techniques[coverage],MATCH(O5,techniques[name],0)),""),"")</f>
        <v/>
      </c>
      <c r="Q5" s="47" t="inlineStr">
        <is>
          <t>Brute Force (T1110)</t>
        </is>
      </c>
      <c r="R5" s="62">
        <f t="array" ref="R5">IF(Q5&lt;&gt;"",IF(INDEX(techniques[coverage],MATCH(Q5,techniques[name],0))&gt;0,INDEX(techniques[coverage],MATCH(Q5,techniques[name],0)),""),"")</f>
        <v/>
      </c>
      <c r="S5" s="47" t="inlineStr">
        <is>
          <t>System Network Configuration Discovery (T1016)</t>
        </is>
      </c>
      <c r="T5" s="62">
        <f t="array" ref="T5">IF(S5&lt;&gt;"",IF(INDEX(techniques[coverage],MATCH(S5,techniques[name],0))&gt;0,INDEX(techniques[coverage],MATCH(S5,techniques[name],0)),""),"")</f>
        <v/>
      </c>
      <c r="U5" s="47" t="inlineStr">
        <is>
          <t>Replication Through Removable Media (T1091)</t>
        </is>
      </c>
      <c r="V5" s="62">
        <f t="array" ref="V5">IF(U5&lt;&gt;"",IF(INDEX(techniques[coverage],MATCH(U5,techniques[name],0))&gt;0,INDEX(techniques[coverage],MATCH(U5,techniques[name],0)),""),"")</f>
        <v/>
      </c>
      <c r="W5" s="47" t="inlineStr">
        <is>
          <t>Input Capture (T1056)</t>
        </is>
      </c>
      <c r="X5" s="62">
        <f t="array" ref="X5">IF(W5&lt;&gt;"",IF(INDEX(techniques[coverage],MATCH(W5,techniques[name],0))&gt;0,INDEX(techniques[coverage],MATCH(W5,techniques[name],0)),""),"")</f>
        <v/>
      </c>
      <c r="Y5" s="47" t="inlineStr">
        <is>
          <t>Proxy (T1090)</t>
        </is>
      </c>
      <c r="Z5" s="62">
        <f t="array" ref="Z5">IF(Y5&lt;&gt;"",IF(INDEX(techniques[coverage],MATCH(Y5,techniques[name],0))&gt;0,INDEX(techniques[coverage],MATCH(Y5,techniques[name],0)),""),"")</f>
        <v/>
      </c>
      <c r="AA5" s="47" t="inlineStr">
        <is>
          <t>Data Transfer Size Limits (T1030)</t>
        </is>
      </c>
      <c r="AB5" s="62">
        <f t="array" ref="AB5">IF(AA5&lt;&gt;"",IF(INDEX(techniques[coverage],MATCH(AA5,techniques[name],0))&gt;0,INDEX(techniques[coverage],MATCH(AA5,techniques[name],0)),""),"")</f>
        <v/>
      </c>
      <c r="AC5" s="47" t="inlineStr">
        <is>
          <t>Inhibit System Recovery (T1490)</t>
        </is>
      </c>
      <c r="AD5" s="62">
        <f t="array" ref="AD5">IF(AC5&lt;&gt;"",IF(INDEX(techniques[coverage],MATCH(AC5,techniques[name],0))&gt;0,INDEX(techniques[coverage],MATCH(AC5,techniques[name],0)),""),"")</f>
        <v/>
      </c>
    </row>
    <row r="6" ht="22.5" customHeight="1">
      <c r="A6" s="47" t="inlineStr">
        <is>
          <t>Search Open Websites/Domains (T1593)</t>
        </is>
      </c>
      <c r="B6" s="62">
        <f t="array" ref="B6">IF(A6&lt;&gt;"",IF(INDEX(techniques[coverage],MATCH(A6,techniques[name],0))&gt;0,INDEX(techniques[coverage],MATCH(A6,techniques[name],0)),""),"")</f>
        <v/>
      </c>
      <c r="C6" s="47" t="inlineStr">
        <is>
          <t>Develop Capabilities (T1587)</t>
        </is>
      </c>
      <c r="D6" s="62">
        <f t="array" ref="D6">IF(C6&lt;&gt;"",IF(INDEX(techniques[coverage],MATCH(C6,techniques[name],0))&gt;0,INDEX(techniques[coverage],MATCH(C6,techniques[name],0)),""),"")</f>
        <v/>
      </c>
      <c r="E6" s="47" t="inlineStr">
        <is>
          <t>Exploit Public-Facing Application (T1190)</t>
        </is>
      </c>
      <c r="F6" s="62">
        <f t="array" ref="F6">IF(E6&lt;&gt;"",IF(INDEX(techniques[coverage],MATCH(E6,techniques[name],0))&gt;0,INDEX(techniques[coverage],MATCH(E6,techniques[name],0)),""),"")</f>
        <v/>
      </c>
      <c r="G6" s="47" t="inlineStr">
        <is>
          <t>Native API (T1106)</t>
        </is>
      </c>
      <c r="H6" s="62">
        <f t="array" ref="H6">IF(G6&lt;&gt;"",IF(INDEX(techniques[coverage],MATCH(G6,techniques[name],0))&gt;0,INDEX(techniques[coverage],MATCH(G6,techniques[name],0)),""),"")</f>
        <v/>
      </c>
      <c r="I6" s="47" t="inlineStr">
        <is>
          <t>Modify Registry (T1112)</t>
        </is>
      </c>
      <c r="J6" s="62">
        <f t="array" ref="J6">IF(I6&lt;&gt;"",IF(INDEX(techniques[coverage],MATCH(I6,techniques[name],0))&gt;0,INDEX(techniques[coverage],MATCH(I6,techniques[name],0)),""),"")</f>
        <v/>
      </c>
      <c r="K6" s="47" t="inlineStr">
        <is>
          <t>Valid Accounts (T1078)</t>
        </is>
      </c>
      <c r="L6" s="62">
        <f t="array" ref="L6">IF(K6&lt;&gt;"",IF(INDEX(techniques[coverage],MATCH(K6,techniques[name],0))&gt;0,INDEX(techniques[coverage],MATCH(K6,techniques[name],0)),""),"")</f>
        <v/>
      </c>
      <c r="M6" s="47" t="inlineStr">
        <is>
          <t>Process Injection (T1055)</t>
        </is>
      </c>
      <c r="N6" s="62">
        <f t="array" ref="N6">IF(M6&lt;&gt;"",IF(INDEX(techniques[coverage],MATCH(M6,techniques[name],0))&gt;0,INDEX(techniques[coverage],MATCH(M6,techniques[name],0)),""),"")</f>
        <v/>
      </c>
      <c r="O6" s="47" t="inlineStr">
        <is>
          <t>Subvert Trust Controls (T1553)</t>
        </is>
      </c>
      <c r="P6" s="62">
        <f t="array" ref="P6">IF(O6&lt;&gt;"",IF(INDEX(techniques[coverage],MATCH(O6,techniques[name],0))&gt;0,INDEX(techniques[coverage],MATCH(O6,techniques[name],0)),""),"")</f>
        <v/>
      </c>
      <c r="Q6" s="47" t="inlineStr">
        <is>
          <t>Multi-Factor Authentication Interception (T1111)</t>
        </is>
      </c>
      <c r="R6" s="62">
        <f t="array" ref="R6">IF(Q6&lt;&gt;"",IF(INDEX(techniques[coverage],MATCH(Q6,techniques[name],0))&gt;0,INDEX(techniques[coverage],MATCH(Q6,techniques[name],0)),""),"")</f>
        <v/>
      </c>
      <c r="S6" s="47" t="inlineStr">
        <is>
          <t>Remote System Discovery (T1018)</t>
        </is>
      </c>
      <c r="T6" s="62">
        <f t="array" ref="T6">IF(S6&lt;&gt;"",IF(INDEX(techniques[coverage],MATCH(S6,techniques[name],0))&gt;0,INDEX(techniques[coverage],MATCH(S6,techniques[name],0)),""),"")</f>
        <v/>
      </c>
      <c r="U6" s="47" t="inlineStr">
        <is>
          <t>Exploitation of Remote Services (T1210)</t>
        </is>
      </c>
      <c r="V6" s="62">
        <f t="array" ref="V6">IF(U6&lt;&gt;"",IF(INDEX(techniques[coverage],MATCH(U6,techniques[name],0))&gt;0,INDEX(techniques[coverage],MATCH(U6,techniques[name],0)),""),"")</f>
        <v/>
      </c>
      <c r="W6" s="47" t="inlineStr">
        <is>
          <t>Data Staged (T1074)</t>
        </is>
      </c>
      <c r="X6" s="62">
        <f t="array" ref="X6">IF(W6&lt;&gt;"",IF(INDEX(techniques[coverage],MATCH(W6,techniques[name],0))&gt;0,INDEX(techniques[coverage],MATCH(W6,techniques[name],0)),""),"")</f>
        <v/>
      </c>
      <c r="Y6" s="47" t="inlineStr">
        <is>
          <t>Communication Through Removable Media (T1092)</t>
        </is>
      </c>
      <c r="Z6" s="62">
        <f t="array" ref="Z6">IF(Y6&lt;&gt;"",IF(INDEX(techniques[coverage],MATCH(Y6,techniques[name],0))&gt;0,INDEX(techniques[coverage],MATCH(Y6,techniques[name],0)),""),"")</f>
        <v/>
      </c>
      <c r="AA6" s="47" t="inlineStr">
        <is>
          <t>Exfiltration Over C2 Channel (T1041)</t>
        </is>
      </c>
      <c r="AB6" s="62">
        <f t="array" ref="AB6">IF(AA6&lt;&gt;"",IF(INDEX(techniques[coverage],MATCH(AA6,techniques[name],0))&gt;0,INDEX(techniques[coverage],MATCH(AA6,techniques[name],0)),""),"")</f>
        <v/>
      </c>
      <c r="AC6" s="47" t="inlineStr">
        <is>
          <t>Defacement (T1491)</t>
        </is>
      </c>
      <c r="AD6" s="62">
        <f t="array" ref="AD6">IF(AC6&lt;&gt;"",IF(INDEX(techniques[coverage],MATCH(AC6,techniques[name],0))&gt;0,INDEX(techniques[coverage],MATCH(AC6,techniques[name],0)),""),"")</f>
        <v/>
      </c>
    </row>
    <row r="7" ht="22.5" customHeight="1">
      <c r="A7" s="47" t="inlineStr">
        <is>
          <t>Search Victim-Owned Websites (T1594)</t>
        </is>
      </c>
      <c r="B7" s="62">
        <f t="array" ref="B7">IF(A7&lt;&gt;"",IF(INDEX(techniques[coverage],MATCH(A7,techniques[name],0))&gt;0,INDEX(techniques[coverage],MATCH(A7,techniques[name],0)),""),"")</f>
        <v/>
      </c>
      <c r="C7" s="47" t="inlineStr">
        <is>
          <t>Obtain Capabilities (T1588)</t>
        </is>
      </c>
      <c r="D7" s="62">
        <f t="array" ref="D7">IF(C7&lt;&gt;"",IF(INDEX(techniques[coverage],MATCH(C7,techniques[name],0))&gt;0,INDEX(techniques[coverage],MATCH(C7,techniques[name],0)),""),"")</f>
        <v/>
      </c>
      <c r="E7" s="47" t="inlineStr">
        <is>
          <t>Supply Chain Compromise (T1195)</t>
        </is>
      </c>
      <c r="F7" s="62">
        <f t="array" ref="F7">IF(E7&lt;&gt;"",IF(INDEX(techniques[coverage],MATCH(E7,techniques[name],0))&gt;0,INDEX(techniques[coverage],MATCH(E7,techniques[name],0)),""),"")</f>
        <v/>
      </c>
      <c r="G7" s="47" t="inlineStr">
        <is>
          <t>Trusted Developer Utilities Proxy Execution (T1127)</t>
        </is>
      </c>
      <c r="H7" s="62">
        <f t="array" ref="H7">IF(G7&lt;&gt;"",IF(INDEX(techniques[coverage],MATCH(G7,techniques[name],0))&gt;0,INDEX(techniques[coverage],MATCH(G7,techniques[name],0)),""),"")</f>
        <v/>
      </c>
      <c r="I7" s="47" t="inlineStr">
        <is>
          <t>External Remote Services (T1133)</t>
        </is>
      </c>
      <c r="J7" s="62">
        <f t="array" ref="J7">IF(I7&lt;&gt;"",IF(INDEX(techniques[coverage],MATCH(I7,techniques[name],0))&gt;0,INDEX(techniques[coverage],MATCH(I7,techniques[name],0)),""),"")</f>
        <v/>
      </c>
      <c r="K7" s="47" t="inlineStr">
        <is>
          <t>Account Manipulation (T1098)</t>
        </is>
      </c>
      <c r="L7" s="62">
        <f t="array" ref="L7">IF(K7&lt;&gt;"",IF(INDEX(techniques[coverage],MATCH(K7,techniques[name],0))&gt;0,INDEX(techniques[coverage],MATCH(K7,techniques[name],0)),""),"")</f>
        <v/>
      </c>
      <c r="M7" s="47" t="inlineStr">
        <is>
          <t>Indicator Removal (T1070)</t>
        </is>
      </c>
      <c r="N7" s="62">
        <f t="array" ref="N7">IF(M7&lt;&gt;"",IF(INDEX(techniques[coverage],MATCH(M7,techniques[name],0))&gt;0,INDEX(techniques[coverage],MATCH(M7,techniques[name],0)),""),"")</f>
        <v/>
      </c>
      <c r="O7" s="47" t="inlineStr">
        <is>
          <t>Modify Authentication Process (T1556)</t>
        </is>
      </c>
      <c r="P7" s="62">
        <f t="array" ref="P7">IF(O7&lt;&gt;"",IF(INDEX(techniques[coverage],MATCH(O7,techniques[name],0))&gt;0,INDEX(techniques[coverage],MATCH(O7,techniques[name],0)),""),"")</f>
        <v/>
      </c>
      <c r="Q7" s="47" t="inlineStr">
        <is>
          <t>Forced Authentication (T1187)</t>
        </is>
      </c>
      <c r="R7" s="62">
        <f t="array" ref="R7">IF(Q7&lt;&gt;"",IF(INDEX(techniques[coverage],MATCH(Q7,techniques[name],0))&gt;0,INDEX(techniques[coverage],MATCH(Q7,techniques[name],0)),""),"")</f>
        <v/>
      </c>
      <c r="S7" s="47" t="inlineStr">
        <is>
          <t>System Owner/User Discovery (T1033)</t>
        </is>
      </c>
      <c r="T7" s="62">
        <f t="array" ref="T7">IF(S7&lt;&gt;"",IF(INDEX(techniques[coverage],MATCH(S7,techniques[name],0))&gt;0,INDEX(techniques[coverage],MATCH(S7,techniques[name],0)),""),"")</f>
        <v/>
      </c>
      <c r="U7" s="47" t="inlineStr">
        <is>
          <t>Internal Spearphishing (T1534)</t>
        </is>
      </c>
      <c r="V7" s="62">
        <f t="array" ref="V7">IF(U7&lt;&gt;"",IF(INDEX(techniques[coverage],MATCH(U7,techniques[name],0))&gt;0,INDEX(techniques[coverage],MATCH(U7,techniques[name],0)),""),"")</f>
        <v/>
      </c>
      <c r="W7" s="47" t="inlineStr">
        <is>
          <t>Screen Capture (T1113)</t>
        </is>
      </c>
      <c r="X7" s="62">
        <f t="array" ref="X7">IF(W7&lt;&gt;"",IF(INDEX(techniques[coverage],MATCH(W7,techniques[name],0))&gt;0,INDEX(techniques[coverage],MATCH(W7,techniques[name],0)),""),"")</f>
        <v/>
      </c>
      <c r="Y7" s="47" t="inlineStr">
        <is>
          <t>Non-Application Layer Protocol (T1095)</t>
        </is>
      </c>
      <c r="Z7" s="62">
        <f t="array" ref="Z7">IF(Y7&lt;&gt;"",IF(INDEX(techniques[coverage],MATCH(Y7,techniques[name],0))&gt;0,INDEX(techniques[coverage],MATCH(Y7,techniques[name],0)),""),"")</f>
        <v/>
      </c>
      <c r="AA7" s="47" t="inlineStr">
        <is>
          <t>Exfiltration Over Alternative Protocol (T1048)</t>
        </is>
      </c>
      <c r="AB7" s="62">
        <f t="array" ref="AB7">IF(AA7&lt;&gt;"",IF(INDEX(techniques[coverage],MATCH(AA7,techniques[name],0))&gt;0,INDEX(techniques[coverage],MATCH(AA7,techniques[name],0)),""),"")</f>
        <v/>
      </c>
      <c r="AC7" s="47" t="inlineStr">
        <is>
          <t>Firmware Corruption (T1495)</t>
        </is>
      </c>
      <c r="AD7" s="62">
        <f t="array" ref="AD7">IF(AC7&lt;&gt;"",IF(INDEX(techniques[coverage],MATCH(AC7,techniques[name],0))&gt;0,INDEX(techniques[coverage],MATCH(AC7,techniques[name],0)),""),"")</f>
        <v/>
      </c>
    </row>
    <row r="8" ht="33.75" customHeight="1">
      <c r="A8" s="47" t="inlineStr">
        <is>
          <t>Active Scanning (T1595)</t>
        </is>
      </c>
      <c r="B8" s="62">
        <f t="array" ref="B8">IF(A8&lt;&gt;"",IF(INDEX(techniques[coverage],MATCH(A8,techniques[name],0))&gt;0,INDEX(techniques[coverage],MATCH(A8,techniques[name],0)),""),"")</f>
        <v/>
      </c>
      <c r="C8" s="47" t="inlineStr">
        <is>
          <t>Stage Capabilities (T1608)</t>
        </is>
      </c>
      <c r="D8" s="62">
        <f t="array" ref="D8">IF(C8&lt;&gt;"",IF(INDEX(techniques[coverage],MATCH(C8,techniques[name],0))&gt;0,INDEX(techniques[coverage],MATCH(C8,techniques[name],0)),""),"")</f>
        <v/>
      </c>
      <c r="E8" s="47" t="inlineStr">
        <is>
          <t>Trusted Relationship (T1199)</t>
        </is>
      </c>
      <c r="F8" s="62">
        <f t="array" ref="F8">IF(E8&lt;&gt;"",IF(INDEX(techniques[coverage],MATCH(E8,techniques[name],0))&gt;0,INDEX(techniques[coverage],MATCH(E8,techniques[name],0)),""),"")</f>
        <v/>
      </c>
      <c r="G8" s="47" t="inlineStr">
        <is>
          <t>Shared Modules (T1129)</t>
        </is>
      </c>
      <c r="H8" s="62">
        <f t="array" ref="H8">IF(G8&lt;&gt;"",IF(INDEX(techniques[coverage],MATCH(G8,techniques[name],0))&gt;0,INDEX(techniques[coverage],MATCH(G8,techniques[name],0)),""),"")</f>
        <v/>
      </c>
      <c r="I8" s="47" t="inlineStr">
        <is>
          <t>Create Account (T1136)</t>
        </is>
      </c>
      <c r="J8" s="62">
        <f t="array" ref="J8">IF(I8&lt;&gt;"",IF(INDEX(techniques[coverage],MATCH(I8,techniques[name],0))&gt;0,INDEX(techniques[coverage],MATCH(I8,techniques[name],0)),""),"")</f>
        <v/>
      </c>
      <c r="K8" s="47" t="inlineStr">
        <is>
          <t>Access Token Manipulation (T1134)</t>
        </is>
      </c>
      <c r="L8" s="62">
        <f t="array" ref="L8">IF(K8&lt;&gt;"",IF(INDEX(techniques[coverage],MATCH(K8,techniques[name],0))&gt;0,INDEX(techniques[coverage],MATCH(K8,techniques[name],0)),""),"")</f>
        <v/>
      </c>
      <c r="M8" s="47" t="inlineStr">
        <is>
          <t>Valid Accounts (T1078)</t>
        </is>
      </c>
      <c r="N8" s="62">
        <f t="array" ref="N8">IF(M8&lt;&gt;"",IF(INDEX(techniques[coverage],MATCH(M8,techniques[name],0))&gt;0,INDEX(techniques[coverage],MATCH(M8,techniques[name],0)),""),"")</f>
        <v/>
      </c>
      <c r="O8" s="47" t="inlineStr">
        <is>
          <t>Modify Cloud Compute Infrastructure (T1578)</t>
        </is>
      </c>
      <c r="P8" s="62">
        <f t="array" ref="P8">IF(O8&lt;&gt;"",IF(INDEX(techniques[coverage],MATCH(O8,techniques[name],0))&gt;0,INDEX(techniques[coverage],MATCH(O8,techniques[name],0)),""),"")</f>
        <v/>
      </c>
      <c r="Q8" s="47" t="inlineStr">
        <is>
          <t>Exploitation for Credential Access (T1212)</t>
        </is>
      </c>
      <c r="R8" s="62">
        <f t="array" ref="R8">IF(Q8&lt;&gt;"",IF(INDEX(techniques[coverage],MATCH(Q8,techniques[name],0))&gt;0,INDEX(techniques[coverage],MATCH(Q8,techniques[name],0)),""),"")</f>
        <v/>
      </c>
      <c r="S8" s="47" t="inlineStr">
        <is>
          <t>Network Sniffing (T1040)</t>
        </is>
      </c>
      <c r="T8" s="62">
        <f t="array" ref="T8">IF(S8&lt;&gt;"",IF(INDEX(techniques[coverage],MATCH(S8,techniques[name],0))&gt;0,INDEX(techniques[coverage],MATCH(S8,techniques[name],0)),""),"")</f>
        <v/>
      </c>
      <c r="U8" s="47" t="inlineStr">
        <is>
          <t>Use Alternate Authentication Material (T1550)</t>
        </is>
      </c>
      <c r="V8" s="62">
        <f t="array" ref="V8">IF(U8&lt;&gt;"",IF(INDEX(techniques[coverage],MATCH(U8,techniques[name],0))&gt;0,INDEX(techniques[coverage],MATCH(U8,techniques[name],0)),""),"")</f>
        <v/>
      </c>
      <c r="W8" s="47" t="inlineStr">
        <is>
          <t>Email Collection (T1114)</t>
        </is>
      </c>
      <c r="X8" s="62">
        <f t="array" ref="X8">IF(W8&lt;&gt;"",IF(INDEX(techniques[coverage],MATCH(W8,techniques[name],0))&gt;0,INDEX(techniques[coverage],MATCH(W8,techniques[name],0)),""),"")</f>
        <v/>
      </c>
      <c r="Y8" s="47" t="inlineStr">
        <is>
          <t>Web Service (T1102)</t>
        </is>
      </c>
      <c r="Z8" s="62">
        <f t="array" ref="Z8">IF(Y8&lt;&gt;"",IF(INDEX(techniques[coverage],MATCH(Y8,techniques[name],0))&gt;0,INDEX(techniques[coverage],MATCH(Y8,techniques[name],0)),""),"")</f>
        <v/>
      </c>
      <c r="AA8" s="47" t="inlineStr">
        <is>
          <t>Exfiltration Over Physical Medium (T1052)</t>
        </is>
      </c>
      <c r="AB8" s="62">
        <f t="array" ref="AB8">IF(AA8&lt;&gt;"",IF(INDEX(techniques[coverage],MATCH(AA8,techniques[name],0))&gt;0,INDEX(techniques[coverage],MATCH(AA8,techniques[name],0)),""),"")</f>
        <v/>
      </c>
      <c r="AC8" s="47" t="inlineStr">
        <is>
          <t>Resource Hijacking (T1496)</t>
        </is>
      </c>
      <c r="AD8" s="62">
        <f t="array" ref="AD8">IF(AC8&lt;&gt;"",IF(INDEX(techniques[coverage],MATCH(AC8,techniques[name],0))&gt;0,INDEX(techniques[coverage],MATCH(AC8,techniques[name],0)),""),"")</f>
        <v/>
      </c>
    </row>
    <row r="9" ht="22.5" customHeight="1">
      <c r="A9" s="47" t="inlineStr">
        <is>
          <t>Search Open Technical Databases (T1596)</t>
        </is>
      </c>
      <c r="B9" s="62">
        <f t="array" ref="B9">IF(A9&lt;&gt;"",IF(INDEX(techniques[coverage],MATCH(A9,techniques[name],0))&gt;0,INDEX(techniques[coverage],MATCH(A9,techniques[name],0)),""),"")</f>
        <v/>
      </c>
      <c r="C9" s="47" t="inlineStr">
        <is>
          <t>Acquire Access (T1650)</t>
        </is>
      </c>
      <c r="D9" s="62">
        <f t="array" ref="D9">IF(C9&lt;&gt;"",IF(INDEX(techniques[coverage],MATCH(C9,techniques[name],0))&gt;0,INDEX(techniques[coverage],MATCH(C9,techniques[name],0)),""),"")</f>
        <v/>
      </c>
      <c r="E9" s="47" t="inlineStr">
        <is>
          <t>Hardware Additions (T1200)</t>
        </is>
      </c>
      <c r="F9" s="62">
        <f t="array" ref="F9">IF(E9&lt;&gt;"",IF(INDEX(techniques[coverage],MATCH(E9,techniques[name],0))&gt;0,INDEX(techniques[coverage],MATCH(E9,techniques[name],0)),""),"")</f>
        <v/>
      </c>
      <c r="G9" s="47" t="inlineStr">
        <is>
          <t>BITS Jobs (T1197)</t>
        </is>
      </c>
      <c r="H9" s="62">
        <f t="array" ref="H9">IF(G9&lt;&gt;"",IF(INDEX(techniques[coverage],MATCH(G9,techniques[name],0))&gt;0,INDEX(techniques[coverage],MATCH(G9,techniques[name],0)),""),"")</f>
        <v/>
      </c>
      <c r="I9" s="47" t="inlineStr">
        <is>
          <t>Office Application Startup (T1137)</t>
        </is>
      </c>
      <c r="J9" s="62">
        <f t="array" ref="J9">IF(I9&lt;&gt;"",IF(INDEX(techniques[coverage],MATCH(I9,techniques[name],0))&gt;0,INDEX(techniques[coverage],MATCH(I9,techniques[name],0)),""),"")</f>
        <v/>
      </c>
      <c r="K9" s="47" t="inlineStr">
        <is>
          <t>Domain or Tenant Policy Modification (T1484)</t>
        </is>
      </c>
      <c r="L9" s="62">
        <f t="array" ref="L9">IF(K9&lt;&gt;"",IF(INDEX(techniques[coverage],MATCH(K9,techniques[name],0))&gt;0,INDEX(techniques[coverage],MATCH(K9,techniques[name],0)),""),"")</f>
        <v/>
      </c>
      <c r="M9" s="47" t="inlineStr">
        <is>
          <t>Trusted Developer Utilities Proxy Execution (T1127)</t>
        </is>
      </c>
      <c r="N9" s="62">
        <f t="array" ref="N9">IF(M9&lt;&gt;"",IF(INDEX(techniques[coverage],MATCH(M9,techniques[name],0))&gt;0,INDEX(techniques[coverage],MATCH(M9,techniques[name],0)),""),"")</f>
        <v/>
      </c>
      <c r="O9" s="47" t="inlineStr">
        <is>
          <t>Network Boundary Bridging (T1599)</t>
        </is>
      </c>
      <c r="P9" s="62">
        <f t="array" ref="P9">IF(O9&lt;&gt;"",IF(INDEX(techniques[coverage],MATCH(O9,techniques[name],0))&gt;0,INDEX(techniques[coverage],MATCH(O9,techniques[name],0)),""),"")</f>
        <v/>
      </c>
      <c r="Q9" s="47" t="inlineStr">
        <is>
          <t>Steal Application Access Token (T1528)</t>
        </is>
      </c>
      <c r="R9" s="62">
        <f t="array" ref="R9">IF(Q9&lt;&gt;"",IF(INDEX(techniques[coverage],MATCH(Q9,techniques[name],0))&gt;0,INDEX(techniques[coverage],MATCH(Q9,techniques[name],0)),""),"")</f>
        <v/>
      </c>
      <c r="S9" s="47" t="inlineStr">
        <is>
          <t>Network Service Discovery (T1046)</t>
        </is>
      </c>
      <c r="T9" s="62">
        <f t="array" ref="T9">IF(S9&lt;&gt;"",IF(INDEX(techniques[coverage],MATCH(S9,techniques[name],0))&gt;0,INDEX(techniques[coverage],MATCH(S9,techniques[name],0)),""),"")</f>
        <v/>
      </c>
      <c r="U9" s="47" t="inlineStr">
        <is>
          <t>Remote Service Session Hijacking (T1563)</t>
        </is>
      </c>
      <c r="V9" s="62">
        <f t="array" ref="V9">IF(U9&lt;&gt;"",IF(INDEX(techniques[coverage],MATCH(U9,techniques[name],0))&gt;0,INDEX(techniques[coverage],MATCH(U9,techniques[name],0)),""),"")</f>
        <v/>
      </c>
      <c r="W9" s="47" t="inlineStr">
        <is>
          <t>Clipboard Data (T1115)</t>
        </is>
      </c>
      <c r="X9" s="62">
        <f t="array" ref="X9">IF(W9&lt;&gt;"",IF(INDEX(techniques[coverage],MATCH(W9,techniques[name],0))&gt;0,INDEX(techniques[coverage],MATCH(W9,techniques[name],0)),""),"")</f>
        <v/>
      </c>
      <c r="Y9" s="47" t="inlineStr">
        <is>
          <t>Multi-Stage Channels (T1104)</t>
        </is>
      </c>
      <c r="Z9" s="62">
        <f t="array" ref="Z9">IF(Y9&lt;&gt;"",IF(INDEX(techniques[coverage],MATCH(Y9,techniques[name],0))&gt;0,INDEX(techniques[coverage],MATCH(Y9,techniques[name],0)),""),"")</f>
        <v/>
      </c>
      <c r="AA9" s="47" t="inlineStr">
        <is>
          <t>Transfer Data to Cloud Account (T1537)</t>
        </is>
      </c>
      <c r="AB9" s="62">
        <f t="array" ref="AB9">IF(AA9&lt;&gt;"",IF(INDEX(techniques[coverage],MATCH(AA9,techniques[name],0))&gt;0,INDEX(techniques[coverage],MATCH(AA9,techniques[name],0)),""),"")</f>
        <v/>
      </c>
      <c r="AC9" s="47" t="inlineStr">
        <is>
          <t>Network Denial of Service (T1498)</t>
        </is>
      </c>
      <c r="AD9" s="62">
        <f t="array" ref="AD9">IF(AC9&lt;&gt;"",IF(INDEX(techniques[coverage],MATCH(AC9,techniques[name],0))&gt;0,INDEX(techniques[coverage],MATCH(AC9,techniques[name],0)),""),"")</f>
        <v/>
      </c>
    </row>
    <row r="10" ht="33.75" customHeight="1">
      <c r="A10" s="47" t="inlineStr">
        <is>
          <t>Search Closed Sources (T1597)</t>
        </is>
      </c>
      <c r="B10" s="62">
        <f t="array" ref="B10">IF(A10&lt;&gt;"",IF(INDEX(techniques[coverage],MATCH(A10,techniques[name],0))&gt;0,INDEX(techniques[coverage],MATCH(A10,techniques[name],0)),""),"")</f>
        <v/>
      </c>
      <c r="C10" s="47" t="inlineStr">
        <is>
          <t>Generate Content (T1683)</t>
        </is>
      </c>
      <c r="D10" s="62">
        <f t="array" ref="D10">IF(C10&lt;&gt;"",IF(INDEX(techniques[coverage],MATCH(C10,techniques[name],0))&gt;0,INDEX(techniques[coverage],MATCH(C10,techniques[name],0)),""),"")</f>
        <v/>
      </c>
      <c r="E10" s="47" t="inlineStr">
        <is>
          <t>Phishing (T1566)</t>
        </is>
      </c>
      <c r="F10" s="62">
        <f t="array" ref="F10">IF(E10&lt;&gt;"",IF(INDEX(techniques[coverage],MATCH(E10,techniques[name],0))&gt;0,INDEX(techniques[coverage],MATCH(E10,techniques[name],0)),""),"")</f>
        <v/>
      </c>
      <c r="G10" s="47" t="inlineStr">
        <is>
          <t>Exploitation for Client Execution (T1203)</t>
        </is>
      </c>
      <c r="H10" s="62">
        <f t="array" ref="H10">IF(G10&lt;&gt;"",IF(INDEX(techniques[coverage],MATCH(G10,techniques[name],0))&gt;0,INDEX(techniques[coverage],MATCH(G10,techniques[name],0)),""),"")</f>
        <v/>
      </c>
      <c r="I10" s="47" t="inlineStr">
        <is>
          <t>Software Extensions (T1176)</t>
        </is>
      </c>
      <c r="J10" s="62">
        <f t="array" ref="J10">IF(I10&lt;&gt;"",IF(INDEX(techniques[coverage],MATCH(I10,techniques[name],0))&gt;0,INDEX(techniques[coverage],MATCH(I10,techniques[name],0)),""),"")</f>
        <v/>
      </c>
      <c r="K10" s="47" t="inlineStr">
        <is>
          <t>Create or Modify System Process (T1543)</t>
        </is>
      </c>
      <c r="L10" s="62">
        <f t="array" ref="L10">IF(K10&lt;&gt;"",IF(INDEX(techniques[coverage],MATCH(K10,techniques[name],0))&gt;0,INDEX(techniques[coverage],MATCH(K10,techniques[name],0)),""),"")</f>
        <v/>
      </c>
      <c r="M10" s="47" t="inlineStr">
        <is>
          <t>Access Token Manipulation (T1134)</t>
        </is>
      </c>
      <c r="N10" s="62">
        <f t="array" ref="N10">IF(M10&lt;&gt;"",IF(INDEX(techniques[coverage],MATCH(M10,techniques[name],0))&gt;0,INDEX(techniques[coverage],MATCH(M10,techniques[name],0)),""),"")</f>
        <v/>
      </c>
      <c r="O10" s="47" t="inlineStr">
        <is>
          <t>Weaken Encryption (T1600)</t>
        </is>
      </c>
      <c r="P10" s="62">
        <f t="array" ref="P10">IF(O10&lt;&gt;"",IF(INDEX(techniques[coverage],MATCH(O10,techniques[name],0))&gt;0,INDEX(techniques[coverage],MATCH(O10,techniques[name],0)),""),"")</f>
        <v/>
      </c>
      <c r="Q10" s="47" t="inlineStr">
        <is>
          <t>Steal Web Session Cookie (T1539)</t>
        </is>
      </c>
      <c r="R10" s="62">
        <f t="array" ref="R10">IF(Q10&lt;&gt;"",IF(INDEX(techniques[coverage],MATCH(Q10,techniques[name],0))&gt;0,INDEX(techniques[coverage],MATCH(Q10,techniques[name],0)),""),"")</f>
        <v/>
      </c>
      <c r="S10" s="47" t="inlineStr">
        <is>
          <t>System Network Connections Discovery (T1049)</t>
        </is>
      </c>
      <c r="T10" s="62">
        <f t="array" ref="T10">IF(S10&lt;&gt;"",IF(INDEX(techniques[coverage],MATCH(S10,techniques[name],0))&gt;0,INDEX(techniques[coverage],MATCH(S10,techniques[name],0)),""),"")</f>
        <v/>
      </c>
      <c r="U10" s="47" t="inlineStr">
        <is>
          <t>Lateral Tool Transfer (T1570)</t>
        </is>
      </c>
      <c r="V10" s="62">
        <f t="array" ref="V10">IF(U10&lt;&gt;"",IF(INDEX(techniques[coverage],MATCH(U10,techniques[name],0))&gt;0,INDEX(techniques[coverage],MATCH(U10,techniques[name],0)),""),"")</f>
        <v/>
      </c>
      <c r="W10" s="47" t="inlineStr">
        <is>
          <t>Automated Collection (T1119)</t>
        </is>
      </c>
      <c r="X10" s="62">
        <f t="array" ref="X10">IF(W10&lt;&gt;"",IF(INDEX(techniques[coverage],MATCH(W10,techniques[name],0))&gt;0,INDEX(techniques[coverage],MATCH(W10,techniques[name],0)),""),"")</f>
        <v/>
      </c>
      <c r="Y10" s="47" t="inlineStr">
        <is>
          <t>Ingress Tool Transfer (T1105)</t>
        </is>
      </c>
      <c r="Z10" s="62">
        <f t="array" ref="Z10">IF(Y10&lt;&gt;"",IF(INDEX(techniques[coverage],MATCH(Y10,techniques[name],0))&gt;0,INDEX(techniques[coverage],MATCH(Y10,techniques[name],0)),""),"")</f>
        <v/>
      </c>
      <c r="AA10" s="47" t="inlineStr">
        <is>
          <t>Exfiltration Over Web Service (T1567)</t>
        </is>
      </c>
      <c r="AB10" s="62">
        <f t="array" ref="AB10">IF(AA10&lt;&gt;"",IF(INDEX(techniques[coverage],MATCH(AA10,techniques[name],0))&gt;0,INDEX(techniques[coverage],MATCH(AA10,techniques[name],0)),""),"")</f>
        <v/>
      </c>
      <c r="AC10" s="47" t="inlineStr">
        <is>
          <t>Endpoint Denial of Service (T1499)</t>
        </is>
      </c>
      <c r="AD10" s="62">
        <f t="array" ref="AD10">IF(AC10&lt;&gt;"",IF(INDEX(techniques[coverage],MATCH(AC10,techniques[name],0))&gt;0,INDEX(techniques[coverage],MATCH(AC10,techniques[name],0)),""),"")</f>
        <v/>
      </c>
    </row>
    <row r="11" ht="22.5" customHeight="1">
      <c r="A11" s="47" t="inlineStr">
        <is>
          <t>Phishing for Information (T1598)</t>
        </is>
      </c>
      <c r="B11" s="62">
        <f t="array" ref="B11">IF(A11&lt;&gt;"",IF(INDEX(techniques[coverage],MATCH(A11,techniques[name],0))&gt;0,INDEX(techniques[coverage],MATCH(A11,techniques[name],0)),""),"")</f>
        <v/>
      </c>
      <c r="C11" s="47" t="n"/>
      <c r="D11" s="62">
        <f t="array" ref="D11">IF(C11&lt;&gt;"",IF(INDEX(techniques[coverage],MATCH(C11,techniques[name],0))&gt;0,INDEX(techniques[coverage],MATCH(C11,techniques[name],0)),""),"")</f>
        <v/>
      </c>
      <c r="E11" s="47" t="inlineStr">
        <is>
          <t>Content Injection (T1659)</t>
        </is>
      </c>
      <c r="F11" s="62">
        <f t="array" ref="F11">IF(E11&lt;&gt;"",IF(INDEX(techniques[coverage],MATCH(E11,techniques[name],0))&gt;0,INDEX(techniques[coverage],MATCH(E11,techniques[name],0)),""),"")</f>
        <v/>
      </c>
      <c r="G11" s="47" t="inlineStr">
        <is>
          <t>User Execution (T1204)</t>
        </is>
      </c>
      <c r="H11" s="62">
        <f t="array" ref="H11">IF(G11&lt;&gt;"",IF(INDEX(techniques[coverage],MATCH(G11,techniques[name],0))&gt;0,INDEX(techniques[coverage],MATCH(G11,techniques[name],0)),""),"")</f>
        <v/>
      </c>
      <c r="I11" s="47" t="inlineStr">
        <is>
          <t>BITS Jobs (T1197)</t>
        </is>
      </c>
      <c r="J11" s="62">
        <f t="array" ref="J11">IF(I11&lt;&gt;"",IF(INDEX(techniques[coverage],MATCH(I11,techniques[name],0))&gt;0,INDEX(techniques[coverage],MATCH(I11,techniques[name],0)),""),"")</f>
        <v/>
      </c>
      <c r="K11" s="47" t="inlineStr">
        <is>
          <t>Event Triggered Execution (T1546)</t>
        </is>
      </c>
      <c r="L11" s="62">
        <f t="array" ref="L11">IF(K11&lt;&gt;"",IF(INDEX(techniques[coverage],MATCH(K11,techniques[name],0))&gt;0,INDEX(techniques[coverage],MATCH(K11,techniques[name],0)),""),"")</f>
        <v/>
      </c>
      <c r="M11" s="47" t="inlineStr">
        <is>
          <t>Deobfuscate/Decode Files or Information (T1140)</t>
        </is>
      </c>
      <c r="N11" s="62">
        <f t="array" ref="N11">IF(M11&lt;&gt;"",IF(INDEX(techniques[coverage],MATCH(M11,techniques[name],0))&gt;0,INDEX(techniques[coverage],MATCH(M11,techniques[name],0)),""),"")</f>
        <v/>
      </c>
      <c r="O11" s="47" t="inlineStr">
        <is>
          <t>Modify System Image (T1601)</t>
        </is>
      </c>
      <c r="P11" s="62">
        <f t="array" ref="P11">IF(O11&lt;&gt;"",IF(INDEX(techniques[coverage],MATCH(O11,techniques[name],0))&gt;0,INDEX(techniques[coverage],MATCH(O11,techniques[name],0)),""),"")</f>
        <v/>
      </c>
      <c r="Q11" s="47" t="inlineStr">
        <is>
          <t>Unsecured Credentials (T1552)</t>
        </is>
      </c>
      <c r="R11" s="62">
        <f t="array" ref="R11">IF(Q11&lt;&gt;"",IF(INDEX(techniques[coverage],MATCH(Q11,techniques[name],0))&gt;0,INDEX(techniques[coverage],MATCH(Q11,techniques[name],0)),""),"")</f>
        <v/>
      </c>
      <c r="S11" s="47" t="inlineStr">
        <is>
          <t>Process Discovery (T1057)</t>
        </is>
      </c>
      <c r="T11" s="62">
        <f t="array" ref="T11">IF(S11&lt;&gt;"",IF(INDEX(techniques[coverage],MATCH(S11,techniques[name],0))&gt;0,INDEX(techniques[coverage],MATCH(S11,techniques[name],0)),""),"")</f>
        <v/>
      </c>
      <c r="U11" s="47" t="n"/>
      <c r="V11" s="62">
        <f t="array" ref="V11">IF(U11&lt;&gt;"",IF(INDEX(techniques[coverage],MATCH(U11,techniques[name],0))&gt;0,INDEX(techniques[coverage],MATCH(U11,techniques[name],0)),""),"")</f>
        <v/>
      </c>
      <c r="W11" s="47" t="inlineStr">
        <is>
          <t>Audio Capture (T1123)</t>
        </is>
      </c>
      <c r="X11" s="62">
        <f t="array" ref="X11">IF(W11&lt;&gt;"",IF(INDEX(techniques[coverage],MATCH(W11,techniques[name],0))&gt;0,INDEX(techniques[coverage],MATCH(W11,techniques[name],0)),""),"")</f>
        <v/>
      </c>
      <c r="Y11" s="47" t="inlineStr">
        <is>
          <t>Data Encoding (T1132)</t>
        </is>
      </c>
      <c r="Z11" s="62">
        <f t="array" ref="Z11">IF(Y11&lt;&gt;"",IF(INDEX(techniques[coverage],MATCH(Y11,techniques[name],0))&gt;0,INDEX(techniques[coverage],MATCH(Y11,techniques[name],0)),""),"")</f>
        <v/>
      </c>
      <c r="AA11" s="47" t="n"/>
      <c r="AB11" s="62">
        <f t="array" ref="AB11">IF(AA11&lt;&gt;"",IF(INDEX(techniques[coverage],MATCH(AA11,techniques[name],0))&gt;0,INDEX(techniques[coverage],MATCH(AA11,techniques[name],0)),""),"")</f>
        <v/>
      </c>
      <c r="AC11" s="47" t="inlineStr">
        <is>
          <t>System Shutdown/Reboot (T1529)</t>
        </is>
      </c>
      <c r="AD11" s="62">
        <f t="array" ref="AD11">IF(AC11&lt;&gt;"",IF(INDEX(techniques[coverage],MATCH(AC11,techniques[name],0))&gt;0,INDEX(techniques[coverage],MATCH(AC11,techniques[name],0)),""),"")</f>
        <v/>
      </c>
    </row>
    <row r="12" ht="22.5" customHeight="1">
      <c r="A12" s="47" t="inlineStr">
        <is>
          <t>Search Threat Vendor Data (T1681)</t>
        </is>
      </c>
      <c r="B12" s="62">
        <f t="array" ref="B12">IF(A12&lt;&gt;"",IF(INDEX(techniques[coverage],MATCH(A12,techniques[name],0))&gt;0,INDEX(techniques[coverage],MATCH(A12,techniques[name],0)),""),"")</f>
        <v/>
      </c>
      <c r="C12" s="47" t="n"/>
      <c r="D12" s="62">
        <f t="array" ref="D12">IF(C12&lt;&gt;"",IF(INDEX(techniques[coverage],MATCH(C12,techniques[name],0))&gt;0,INDEX(techniques[coverage],MATCH(C12,techniques[name],0)),""),"")</f>
        <v/>
      </c>
      <c r="E12" s="47" t="inlineStr">
        <is>
          <t>Wi-Fi Networks (T1669)</t>
        </is>
      </c>
      <c r="F12" s="62">
        <f t="array" ref="F12">IF(E12&lt;&gt;"",IF(INDEX(techniques[coverage],MATCH(E12,techniques[name],0))&gt;0,INDEX(techniques[coverage],MATCH(E12,techniques[name],0)),""),"")</f>
        <v/>
      </c>
      <c r="G12" s="47" t="inlineStr">
        <is>
          <t>Inter-Process Communication (T1559)</t>
        </is>
      </c>
      <c r="H12" s="62">
        <f t="array" ref="H12">IF(G12&lt;&gt;"",IF(INDEX(techniques[coverage],MATCH(G12,techniques[name],0))&gt;0,INDEX(techniques[coverage],MATCH(G12,techniques[name],0)),""),"")</f>
        <v/>
      </c>
      <c r="I12" s="47" t="inlineStr">
        <is>
          <t>Traffic Signaling (T1205)</t>
        </is>
      </c>
      <c r="J12" s="62">
        <f t="array" ref="J12">IF(I12&lt;&gt;"",IF(INDEX(techniques[coverage],MATCH(I12,techniques[name],0))&gt;0,INDEX(techniques[coverage],MATCH(I12,techniques[name],0)),""),"")</f>
        <v/>
      </c>
      <c r="K12" s="47" t="inlineStr">
        <is>
          <t>Boot or Logon Autostart Execution (T1547)</t>
        </is>
      </c>
      <c r="L12" s="62">
        <f t="array" ref="L12">IF(K12&lt;&gt;"",IF(INDEX(techniques[coverage],MATCH(K12,techniques[name],0))&gt;0,INDEX(techniques[coverage],MATCH(K12,techniques[name],0)),""),"")</f>
        <v/>
      </c>
      <c r="M12" s="47" t="inlineStr">
        <is>
          <t>BITS Jobs (T1197)</t>
        </is>
      </c>
      <c r="N12" s="62">
        <f t="array" ref="N12">IF(M12&lt;&gt;"",IF(INDEX(techniques[coverage],MATCH(M12,techniques[name],0))&gt;0,INDEX(techniques[coverage],MATCH(M12,techniques[name],0)),""),"")</f>
        <v/>
      </c>
      <c r="O12" s="47" t="inlineStr">
        <is>
          <t>Plist File Modification (T1647)</t>
        </is>
      </c>
      <c r="P12" s="62">
        <f t="array" ref="P12">IF(O12&lt;&gt;"",IF(INDEX(techniques[coverage],MATCH(O12,techniques[name],0))&gt;0,INDEX(techniques[coverage],MATCH(O12,techniques[name],0)),""),"")</f>
        <v/>
      </c>
      <c r="Q12" s="47" t="inlineStr">
        <is>
          <t>Credentials from Password Stores (T1555)</t>
        </is>
      </c>
      <c r="R12" s="62">
        <f t="array" ref="R12">IF(Q12&lt;&gt;"",IF(INDEX(techniques[coverage],MATCH(Q12,techniques[name],0))&gt;0,INDEX(techniques[coverage],MATCH(Q12,techniques[name],0)),""),"")</f>
        <v/>
      </c>
      <c r="S12" s="47" t="inlineStr">
        <is>
          <t>Permission Groups Discovery (T1069)</t>
        </is>
      </c>
      <c r="T12" s="62">
        <f t="array" ref="T12">IF(S12&lt;&gt;"",IF(INDEX(techniques[coverage],MATCH(S12,techniques[name],0))&gt;0,INDEX(techniques[coverage],MATCH(S12,techniques[name],0)),""),"")</f>
        <v/>
      </c>
      <c r="U12" s="47" t="n"/>
      <c r="V12" s="62">
        <f t="array" ref="V12">IF(U12&lt;&gt;"",IF(INDEX(techniques[coverage],MATCH(U12,techniques[name],0))&gt;0,INDEX(techniques[coverage],MATCH(U12,techniques[name],0)),""),"")</f>
        <v/>
      </c>
      <c r="W12" s="47" t="inlineStr">
        <is>
          <t>Video Capture (T1125)</t>
        </is>
      </c>
      <c r="X12" s="62">
        <f t="array" ref="X12">IF(W12&lt;&gt;"",IF(INDEX(techniques[coverage],MATCH(W12,techniques[name],0))&gt;0,INDEX(techniques[coverage],MATCH(W12,techniques[name],0)),""),"")</f>
        <v/>
      </c>
      <c r="Y12" s="47" t="inlineStr">
        <is>
          <t>Traffic Signaling (T1205)</t>
        </is>
      </c>
      <c r="Z12" s="62">
        <f t="array" ref="Z12">IF(Y12&lt;&gt;"",IF(INDEX(techniques[coverage],MATCH(Y12,techniques[name],0))&gt;0,INDEX(techniques[coverage],MATCH(Y12,techniques[name],0)),""),"")</f>
        <v/>
      </c>
      <c r="AA12" s="47" t="n"/>
      <c r="AB12" s="62">
        <f t="array" ref="AB12">IF(AA12&lt;&gt;"",IF(INDEX(techniques[coverage],MATCH(AA12,techniques[name],0))&gt;0,INDEX(techniques[coverage],MATCH(AA12,techniques[name],0)),""),"")</f>
        <v/>
      </c>
      <c r="AC12" s="47" t="inlineStr">
        <is>
          <t>Account Access Removal (T1531)</t>
        </is>
      </c>
      <c r="AD12" s="62">
        <f t="array" ref="AD12">IF(AC12&lt;&gt;"",IF(INDEX(techniques[coverage],MATCH(AC12,techniques[name],0))&gt;0,INDEX(techniques[coverage],MATCH(AC12,techniques[name],0)),""),"")</f>
        <v/>
      </c>
    </row>
    <row r="13" ht="22.5" customHeight="1">
      <c r="A13" s="47" t="inlineStr">
        <is>
          <t>Query Public AI Services (T1682)</t>
        </is>
      </c>
      <c r="B13" s="62">
        <f t="array" ref="B13">IF(A13&lt;&gt;"",IF(INDEX(techniques[coverage],MATCH(A13,techniques[name],0))&gt;0,INDEX(techniques[coverage],MATCH(A13,techniques[name],0)),""),"")</f>
        <v/>
      </c>
      <c r="C13" s="47" t="n"/>
      <c r="D13" s="62">
        <f t="array" ref="D13">IF(C13&lt;&gt;"",IF(INDEX(techniques[coverage],MATCH(C13,techniques[name],0))&gt;0,INDEX(techniques[coverage],MATCH(C13,techniques[name],0)),""),"")</f>
        <v/>
      </c>
      <c r="E13" s="47" t="n"/>
      <c r="F13" s="62">
        <f t="array" ref="F13">IF(E13&lt;&gt;"",IF(INDEX(techniques[coverage],MATCH(E13,techniques[name],0))&gt;0,INDEX(techniques[coverage],MATCH(E13,techniques[name],0)),""),"")</f>
        <v/>
      </c>
      <c r="G13" s="47" t="inlineStr">
        <is>
          <t>System Services (T1569)</t>
        </is>
      </c>
      <c r="H13" s="62">
        <f t="array" ref="H13">IF(G13&lt;&gt;"",IF(INDEX(techniques[coverage],MATCH(G13,techniques[name],0))&gt;0,INDEX(techniques[coverage],MATCH(G13,techniques[name],0)),""),"")</f>
        <v/>
      </c>
      <c r="I13" s="47" t="inlineStr">
        <is>
          <t>Server Software Component (T1505)</t>
        </is>
      </c>
      <c r="J13" s="62">
        <f t="array" ref="J13">IF(I13&lt;&gt;"",IF(INDEX(techniques[coverage],MATCH(I13,techniques[name],0))&gt;0,INDEX(techniques[coverage],MATCH(I13,techniques[name],0)),""),"")</f>
        <v/>
      </c>
      <c r="K13" s="47" t="inlineStr">
        <is>
          <t>Abuse Elevation Control Mechanism (T1548)</t>
        </is>
      </c>
      <c r="L13" s="62">
        <f t="array" ref="L13">IF(K13&lt;&gt;"",IF(INDEX(techniques[coverage],MATCH(K13,techniques[name],0))&gt;0,INDEX(techniques[coverage],MATCH(K13,techniques[name],0)),""),"")</f>
        <v/>
      </c>
      <c r="M13" s="47" t="inlineStr">
        <is>
          <t>Indirect Command Execution (T1202)</t>
        </is>
      </c>
      <c r="N13" s="62">
        <f t="array" ref="N13">IF(M13&lt;&gt;"",IF(INDEX(techniques[coverage],MATCH(M13,techniques[name],0))&gt;0,INDEX(techniques[coverage],MATCH(M13,techniques[name],0)),""),"")</f>
        <v/>
      </c>
      <c r="O13" s="47" t="inlineStr">
        <is>
          <t>Modify Cloud Resource Hierarchy (T1666)</t>
        </is>
      </c>
      <c r="P13" s="62">
        <f t="array" ref="P13">IF(O13&lt;&gt;"",IF(INDEX(techniques[coverage],MATCH(O13,techniques[name],0))&gt;0,INDEX(techniques[coverage],MATCH(O13,techniques[name],0)),""),"")</f>
        <v/>
      </c>
      <c r="Q13" s="47" t="inlineStr">
        <is>
          <t>Modify Authentication Process (T1556)</t>
        </is>
      </c>
      <c r="R13" s="62">
        <f t="array" ref="R13">IF(Q13&lt;&gt;"",IF(INDEX(techniques[coverage],MATCH(Q13,techniques[name],0))&gt;0,INDEX(techniques[coverage],MATCH(Q13,techniques[name],0)),""),"")</f>
        <v/>
      </c>
      <c r="S13" s="47" t="inlineStr">
        <is>
          <t>System Information Discovery (T1082)</t>
        </is>
      </c>
      <c r="T13" s="62">
        <f t="array" ref="T13">IF(S13&lt;&gt;"",IF(INDEX(techniques[coverage],MATCH(S13,techniques[name],0))&gt;0,INDEX(techniques[coverage],MATCH(S13,techniques[name],0)),""),"")</f>
        <v/>
      </c>
      <c r="U13" s="47" t="n"/>
      <c r="V13" s="62">
        <f t="array" ref="V13">IF(U13&lt;&gt;"",IF(INDEX(techniques[coverage],MATCH(U13,techniques[name],0))&gt;0,INDEX(techniques[coverage],MATCH(U13,techniques[name],0)),""),"")</f>
        <v/>
      </c>
      <c r="W13" s="47" t="inlineStr">
        <is>
          <t>Browser Session Hijacking (T1185)</t>
        </is>
      </c>
      <c r="X13" s="62">
        <f t="array" ref="X13">IF(W13&lt;&gt;"",IF(INDEX(techniques[coverage],MATCH(W13,techniques[name],0))&gt;0,INDEX(techniques[coverage],MATCH(W13,techniques[name],0)),""),"")</f>
        <v/>
      </c>
      <c r="Y13" s="47" t="inlineStr">
        <is>
          <t>Remote Access Tools (T1219)</t>
        </is>
      </c>
      <c r="Z13" s="62">
        <f t="array" ref="Z13">IF(Y13&lt;&gt;"",IF(INDEX(techniques[coverage],MATCH(Y13,techniques[name],0))&gt;0,INDEX(techniques[coverage],MATCH(Y13,techniques[name],0)),""),"")</f>
        <v/>
      </c>
      <c r="AA13" s="47" t="n"/>
      <c r="AB13" s="62">
        <f t="array" ref="AB13">IF(AA13&lt;&gt;"",IF(INDEX(techniques[coverage],MATCH(AA13,techniques[name],0))&gt;0,INDEX(techniques[coverage],MATCH(AA13,techniques[name],0)),""),"")</f>
        <v/>
      </c>
      <c r="AC13" s="47" t="inlineStr">
        <is>
          <t>Disk Wipe (T1561)</t>
        </is>
      </c>
      <c r="AD13" s="62">
        <f t="array" ref="AD13">IF(AC13&lt;&gt;"",IF(INDEX(techniques[coverage],MATCH(AC13,techniques[name],0))&gt;0,INDEX(techniques[coverage],MATCH(AC13,techniques[name],0)),""),"")</f>
        <v/>
      </c>
    </row>
    <row r="14" ht="22.5" customHeight="1">
      <c r="A14" s="47" t="n"/>
      <c r="B14" s="62">
        <f t="array" ref="B14">IF(A14&lt;&gt;"",IF(INDEX(techniques[coverage],MATCH(A14,techniques[name],0))&gt;0,INDEX(techniques[coverage],MATCH(A14,techniques[name],0)),""),"")</f>
        <v/>
      </c>
      <c r="C14" s="47" t="n"/>
      <c r="D14" s="62">
        <f t="array" ref="D14">IF(C14&lt;&gt;"",IF(INDEX(techniques[coverage],MATCH(C14,techniques[name],0))&gt;0,INDEX(techniques[coverage],MATCH(C14,techniques[name],0)),""),"")</f>
        <v/>
      </c>
      <c r="E14" s="47" t="n"/>
      <c r="F14" s="62">
        <f t="array" ref="F14">IF(E14&lt;&gt;"",IF(INDEX(techniques[coverage],MATCH(E14,techniques[name],0))&gt;0,INDEX(techniques[coverage],MATCH(E14,techniques[name],0)),""),"")</f>
        <v/>
      </c>
      <c r="G14" s="47" t="inlineStr">
        <is>
          <t>Hijack Execution Flow (T1574)</t>
        </is>
      </c>
      <c r="H14" s="62">
        <f t="array" ref="H14">IF(G14&lt;&gt;"",IF(INDEX(techniques[coverage],MATCH(G14,techniques[name],0))&gt;0,INDEX(techniques[coverage],MATCH(G14,techniques[name],0)),""),"")</f>
        <v/>
      </c>
      <c r="I14" s="47" t="inlineStr">
        <is>
          <t>Implant Internal Image (T1525)</t>
        </is>
      </c>
      <c r="J14" s="62">
        <f t="array" ref="J14">IF(I14&lt;&gt;"",IF(INDEX(techniques[coverage],MATCH(I14,techniques[name],0))&gt;0,INDEX(techniques[coverage],MATCH(I14,techniques[name],0)),""),"")</f>
        <v/>
      </c>
      <c r="K14" s="47" t="inlineStr">
        <is>
          <t>Escape to Host (T1611)</t>
        </is>
      </c>
      <c r="L14" s="62">
        <f t="array" ref="L14">IF(K14&lt;&gt;"",IF(INDEX(techniques[coverage],MATCH(K14,techniques[name],0))&gt;0,INDEX(techniques[coverage],MATCH(K14,techniques[name],0)),""),"")</f>
        <v/>
      </c>
      <c r="M14" s="47" t="inlineStr">
        <is>
          <t>Traffic Signaling (T1205)</t>
        </is>
      </c>
      <c r="N14" s="62">
        <f t="array" ref="N14">IF(M14&lt;&gt;"",IF(INDEX(techniques[coverage],MATCH(M14,techniques[name],0))&gt;0,INDEX(techniques[coverage],MATCH(M14,techniques[name],0)),""),"")</f>
        <v/>
      </c>
      <c r="O14" s="47" t="inlineStr">
        <is>
          <t>Disable or Modify Tools (T1685)</t>
        </is>
      </c>
      <c r="P14" s="62">
        <f t="array" ref="P14">IF(O14&lt;&gt;"",IF(INDEX(techniques[coverage],MATCH(O14,techniques[name],0))&gt;0,INDEX(techniques[coverage],MATCH(O14,techniques[name],0)),""),"")</f>
        <v/>
      </c>
      <c r="Q14" s="47" t="inlineStr">
        <is>
          <t>Adversary-in-the-Middle (T1557)</t>
        </is>
      </c>
      <c r="R14" s="62">
        <f t="array" ref="R14">IF(Q14&lt;&gt;"",IF(INDEX(techniques[coverage],MATCH(Q14,techniques[name],0))&gt;0,INDEX(techniques[coverage],MATCH(Q14,techniques[name],0)),""),"")</f>
        <v/>
      </c>
      <c r="S14" s="47" t="inlineStr">
        <is>
          <t>File and Directory Discovery (T1083)</t>
        </is>
      </c>
      <c r="T14" s="62">
        <f t="array" ref="T14">IF(S14&lt;&gt;"",IF(INDEX(techniques[coverage],MATCH(S14,techniques[name],0))&gt;0,INDEX(techniques[coverage],MATCH(S14,techniques[name],0)),""),"")</f>
        <v/>
      </c>
      <c r="U14" s="47" t="n"/>
      <c r="V14" s="62">
        <f t="array" ref="V14">IF(U14&lt;&gt;"",IF(INDEX(techniques[coverage],MATCH(U14,techniques[name],0))&gt;0,INDEX(techniques[coverage],MATCH(U14,techniques[name],0)),""),"")</f>
        <v/>
      </c>
      <c r="W14" s="47" t="inlineStr">
        <is>
          <t>Data from Information Repositories (T1213)</t>
        </is>
      </c>
      <c r="X14" s="62">
        <f t="array" ref="X14">IF(W14&lt;&gt;"",IF(INDEX(techniques[coverage],MATCH(W14,techniques[name],0))&gt;0,INDEX(techniques[coverage],MATCH(W14,techniques[name],0)),""),"")</f>
        <v/>
      </c>
      <c r="Y14" s="47" t="inlineStr">
        <is>
          <t>Dynamic Resolution (T1568)</t>
        </is>
      </c>
      <c r="Z14" s="62">
        <f t="array" ref="Z14">IF(Y14&lt;&gt;"",IF(INDEX(techniques[coverage],MATCH(Y14,techniques[name],0))&gt;0,INDEX(techniques[coverage],MATCH(Y14,techniques[name],0)),""),"")</f>
        <v/>
      </c>
      <c r="AA14" s="47" t="n"/>
      <c r="AB14" s="62">
        <f t="array" ref="AB14">IF(AA14&lt;&gt;"",IF(INDEX(techniques[coverage],MATCH(AA14,techniques[name],0))&gt;0,INDEX(techniques[coverage],MATCH(AA14,techniques[name],0)),""),"")</f>
        <v/>
      </c>
      <c r="AC14" s="47" t="inlineStr">
        <is>
          <t>Data Manipulation (T1565)</t>
        </is>
      </c>
      <c r="AD14" s="62">
        <f t="array" ref="AD14">IF(AC14&lt;&gt;"",IF(INDEX(techniques[coverage],MATCH(AC14,techniques[name],0))&gt;0,INDEX(techniques[coverage],MATCH(AC14,techniques[name],0)),""),"")</f>
        <v/>
      </c>
    </row>
    <row r="15" ht="22.5" customHeight="1">
      <c r="A15" s="47" t="n"/>
      <c r="B15" s="62">
        <f t="array" ref="B15">IF(A15&lt;&gt;"",IF(INDEX(techniques[coverage],MATCH(A15,techniques[name],0))&gt;0,INDEX(techniques[coverage],MATCH(A15,techniques[name],0)),""),"")</f>
        <v/>
      </c>
      <c r="C15" s="47" t="n"/>
      <c r="D15" s="62">
        <f t="array" ref="D15">IF(C15&lt;&gt;"",IF(INDEX(techniques[coverage],MATCH(C15,techniques[name],0))&gt;0,INDEX(techniques[coverage],MATCH(C15,techniques[name],0)),""),"")</f>
        <v/>
      </c>
      <c r="E15" s="47" t="n"/>
      <c r="F15" s="62">
        <f t="array" ref="F15">IF(E15&lt;&gt;"",IF(INDEX(techniques[coverage],MATCH(E15,techniques[name],0))&gt;0,INDEX(techniques[coverage],MATCH(E15,techniques[name],0)),""),"")</f>
        <v/>
      </c>
      <c r="G15" s="47" t="inlineStr">
        <is>
          <t>Container Administration Command (T1609)</t>
        </is>
      </c>
      <c r="H15" s="62">
        <f t="array" ref="H15">IF(G15&lt;&gt;"",IF(INDEX(techniques[coverage],MATCH(G15,techniques[name],0))&gt;0,INDEX(techniques[coverage],MATCH(G15,techniques[name],0)),""),"")</f>
        <v/>
      </c>
      <c r="I15" s="47" t="inlineStr">
        <is>
          <t>Pre-OS Boot (T1542)</t>
        </is>
      </c>
      <c r="J15" s="62">
        <f t="array" ref="J15">IF(I15&lt;&gt;"",IF(INDEX(techniques[coverage],MATCH(I15,techniques[name],0))&gt;0,INDEX(techniques[coverage],MATCH(I15,techniques[name],0)),""),"")</f>
        <v/>
      </c>
      <c r="K15" s="47" t="n"/>
      <c r="L15" s="62">
        <f t="array" ref="L15">IF(K15&lt;&gt;"",IF(INDEX(techniques[coverage],MATCH(K15,techniques[name],0))&gt;0,INDEX(techniques[coverage],MATCH(K15,techniques[name],0)),""),"")</f>
        <v/>
      </c>
      <c r="M15" s="47" t="inlineStr">
        <is>
          <t>Exploitation for Stealth (T1211)</t>
        </is>
      </c>
      <c r="N15" s="62">
        <f t="array" ref="N15">IF(M15&lt;&gt;"",IF(INDEX(techniques[coverage],MATCH(M15,techniques[name],0))&gt;0,INDEX(techniques[coverage],MATCH(M15,techniques[name],0)),""),"")</f>
        <v/>
      </c>
      <c r="O15" s="47" t="inlineStr">
        <is>
          <t>Disable or Modify System Firewall (T1686)</t>
        </is>
      </c>
      <c r="P15" s="62">
        <f t="array" ref="P15">IF(O15&lt;&gt;"",IF(INDEX(techniques[coverage],MATCH(O15,techniques[name],0))&gt;0,INDEX(techniques[coverage],MATCH(O15,techniques[name],0)),""),"")</f>
        <v/>
      </c>
      <c r="Q15" s="47" t="inlineStr">
        <is>
          <t>Steal or Forge Kerberos Tickets (T1558)</t>
        </is>
      </c>
      <c r="R15" s="62">
        <f t="array" ref="R15">IF(Q15&lt;&gt;"",IF(INDEX(techniques[coverage],MATCH(Q15,techniques[name],0))&gt;0,INDEX(techniques[coverage],MATCH(Q15,techniques[name],0)),""),"")</f>
        <v/>
      </c>
      <c r="S15" s="47" t="inlineStr">
        <is>
          <t>Account Discovery (T1087)</t>
        </is>
      </c>
      <c r="T15" s="62">
        <f t="array" ref="T15">IF(S15&lt;&gt;"",IF(INDEX(techniques[coverage],MATCH(S15,techniques[name],0))&gt;0,INDEX(techniques[coverage],MATCH(S15,techniques[name],0)),""),"")</f>
        <v/>
      </c>
      <c r="U15" s="47" t="n"/>
      <c r="V15" s="62">
        <f t="array" ref="V15">IF(U15&lt;&gt;"",IF(INDEX(techniques[coverage],MATCH(U15,techniques[name],0))&gt;0,INDEX(techniques[coverage],MATCH(U15,techniques[name],0)),""),"")</f>
        <v/>
      </c>
      <c r="W15" s="47" t="inlineStr">
        <is>
          <t>Data from Cloud Storage (T1530)</t>
        </is>
      </c>
      <c r="X15" s="62">
        <f t="array" ref="X15">IF(W15&lt;&gt;"",IF(INDEX(techniques[coverage],MATCH(W15,techniques[name],0))&gt;0,INDEX(techniques[coverage],MATCH(W15,techniques[name],0)),""),"")</f>
        <v/>
      </c>
      <c r="Y15" s="47" t="inlineStr">
        <is>
          <t>Non-Standard Port (T1571)</t>
        </is>
      </c>
      <c r="Z15" s="62">
        <f t="array" ref="Z15">IF(Y15&lt;&gt;"",IF(INDEX(techniques[coverage],MATCH(Y15,techniques[name],0))&gt;0,INDEX(techniques[coverage],MATCH(Y15,techniques[name],0)),""),"")</f>
        <v/>
      </c>
      <c r="AA15" s="47" t="n"/>
      <c r="AB15" s="62">
        <f t="array" ref="AB15">IF(AA15&lt;&gt;"",IF(INDEX(techniques[coverage],MATCH(AA15,techniques[name],0))&gt;0,INDEX(techniques[coverage],MATCH(AA15,techniques[name],0)),""),"")</f>
        <v/>
      </c>
      <c r="AC15" s="47" t="inlineStr">
        <is>
          <t>Financial Theft (T1657)</t>
        </is>
      </c>
      <c r="AD15" s="62">
        <f t="array" ref="AD15">IF(AC15&lt;&gt;"",IF(INDEX(techniques[coverage],MATCH(AC15,techniques[name],0))&gt;0,INDEX(techniques[coverage],MATCH(AC15,techniques[name],0)),""),"")</f>
        <v/>
      </c>
    </row>
    <row r="16" ht="22.5" customHeight="1">
      <c r="A16" s="47" t="n"/>
      <c r="B16" s="62">
        <f t="array" ref="B16">IF(A16&lt;&gt;"",IF(INDEX(techniques[coverage],MATCH(A16,techniques[name],0))&gt;0,INDEX(techniques[coverage],MATCH(A16,techniques[name],0)),""),"")</f>
        <v/>
      </c>
      <c r="C16" s="47" t="n"/>
      <c r="D16" s="62">
        <f t="array" ref="D16">IF(C16&lt;&gt;"",IF(INDEX(techniques[coverage],MATCH(C16,techniques[name],0))&gt;0,INDEX(techniques[coverage],MATCH(C16,techniques[name],0)),""),"")</f>
        <v/>
      </c>
      <c r="E16" s="47" t="n"/>
      <c r="F16" s="62">
        <f t="array" ref="F16">IF(E16&lt;&gt;"",IF(INDEX(techniques[coverage],MATCH(E16,techniques[name],0))&gt;0,INDEX(techniques[coverage],MATCH(E16,techniques[name],0)),""),"")</f>
        <v/>
      </c>
      <c r="G16" s="47" t="inlineStr">
        <is>
          <t>Deploy Container (T1610)</t>
        </is>
      </c>
      <c r="H16" s="62">
        <f t="array" ref="H16">IF(G16&lt;&gt;"",IF(INDEX(techniques[coverage],MATCH(G16,techniques[name],0))&gt;0,INDEX(techniques[coverage],MATCH(G16,techniques[name],0)),""),"")</f>
        <v/>
      </c>
      <c r="I16" s="47" t="inlineStr">
        <is>
          <t>Create or Modify System Process (T1543)</t>
        </is>
      </c>
      <c r="J16" s="62">
        <f t="array" ref="J16">IF(I16&lt;&gt;"",IF(INDEX(techniques[coverage],MATCH(I16,techniques[name],0))&gt;0,INDEX(techniques[coverage],MATCH(I16,techniques[name],0)),""),"")</f>
        <v/>
      </c>
      <c r="K16" s="47" t="n"/>
      <c r="L16" s="62">
        <f t="array" ref="L16">IF(K16&lt;&gt;"",IF(INDEX(techniques[coverage],MATCH(K16,techniques[name],0))&gt;0,INDEX(techniques[coverage],MATCH(K16,techniques[name],0)),""),"")</f>
        <v/>
      </c>
      <c r="M16" s="47" t="inlineStr">
        <is>
          <t>System Script Proxy Execution (T1216)</t>
        </is>
      </c>
      <c r="N16" s="62">
        <f t="array" ref="N16">IF(M16&lt;&gt;"",IF(INDEX(techniques[coverage],MATCH(M16,techniques[name],0))&gt;0,INDEX(techniques[coverage],MATCH(M16,techniques[name],0)),""),"")</f>
        <v/>
      </c>
      <c r="O16" s="47" t="inlineStr">
        <is>
          <t>Exploitation for Defense Impairment (T1687)</t>
        </is>
      </c>
      <c r="P16" s="62">
        <f t="array" ref="P16">IF(O16&lt;&gt;"",IF(INDEX(techniques[coverage],MATCH(O16,techniques[name],0))&gt;0,INDEX(techniques[coverage],MATCH(O16,techniques[name],0)),""),"")</f>
        <v/>
      </c>
      <c r="Q16" s="47" t="inlineStr">
        <is>
          <t>Forge Web Credentials (T1606)</t>
        </is>
      </c>
      <c r="R16" s="62">
        <f t="array" ref="R16">IF(Q16&lt;&gt;"",IF(INDEX(techniques[coverage],MATCH(Q16,techniques[name],0))&gt;0,INDEX(techniques[coverage],MATCH(Q16,techniques[name],0)),""),"")</f>
        <v/>
      </c>
      <c r="S16" s="47" t="inlineStr">
        <is>
          <t>Peripheral Device Discovery (T1120)</t>
        </is>
      </c>
      <c r="T16" s="62">
        <f t="array" ref="T16">IF(S16&lt;&gt;"",IF(INDEX(techniques[coverage],MATCH(S16,techniques[name],0))&gt;0,INDEX(techniques[coverage],MATCH(S16,techniques[name],0)),""),"")</f>
        <v/>
      </c>
      <c r="U16" s="47" t="n"/>
      <c r="V16" s="62">
        <f t="array" ref="V16">IF(U16&lt;&gt;"",IF(INDEX(techniques[coverage],MATCH(U16,techniques[name],0))&gt;0,INDEX(techniques[coverage],MATCH(U16,techniques[name],0)),""),"")</f>
        <v/>
      </c>
      <c r="W16" s="47" t="inlineStr">
        <is>
          <t>Adversary-in-the-Middle (T1557)</t>
        </is>
      </c>
      <c r="X16" s="62">
        <f t="array" ref="X16">IF(W16&lt;&gt;"",IF(INDEX(techniques[coverage],MATCH(W16,techniques[name],0))&gt;0,INDEX(techniques[coverage],MATCH(W16,techniques[name],0)),""),"")</f>
        <v/>
      </c>
      <c r="Y16" s="47" t="inlineStr">
        <is>
          <t>Protocol Tunneling (T1572)</t>
        </is>
      </c>
      <c r="Z16" s="62">
        <f t="array" ref="Z16">IF(Y16&lt;&gt;"",IF(INDEX(techniques[coverage],MATCH(Y16,techniques[name],0))&gt;0,INDEX(techniques[coverage],MATCH(Y16,techniques[name],0)),""),"")</f>
        <v/>
      </c>
      <c r="AA16" s="47" t="n"/>
      <c r="AB16" s="62">
        <f t="array" ref="AB16">IF(AA16&lt;&gt;"",IF(INDEX(techniques[coverage],MATCH(AA16,techniques[name],0))&gt;0,INDEX(techniques[coverage],MATCH(AA16,techniques[name],0)),""),"")</f>
        <v/>
      </c>
      <c r="AC16" s="47" t="inlineStr">
        <is>
          <t>Email Bombing (T1667)</t>
        </is>
      </c>
      <c r="AD16" s="62">
        <f t="array" ref="AD16">IF(AC16&lt;&gt;"",IF(INDEX(techniques[coverage],MATCH(AC16,techniques[name],0))&gt;0,INDEX(techniques[coverage],MATCH(AC16,techniques[name],0)),""),"")</f>
        <v/>
      </c>
    </row>
    <row r="17" ht="22.5" customHeight="1">
      <c r="A17" s="47" t="n"/>
      <c r="B17" s="62">
        <f t="array" ref="B17">IF(A17&lt;&gt;"",IF(INDEX(techniques[coverage],MATCH(A17,techniques[name],0))&gt;0,INDEX(techniques[coverage],MATCH(A17,techniques[name],0)),""),"")</f>
        <v/>
      </c>
      <c r="C17" s="47" t="n"/>
      <c r="D17" s="62">
        <f t="array" ref="D17">IF(C17&lt;&gt;"",IF(INDEX(techniques[coverage],MATCH(C17,techniques[name],0))&gt;0,INDEX(techniques[coverage],MATCH(C17,techniques[name],0)),""),"")</f>
        <v/>
      </c>
      <c r="E17" s="47" t="n"/>
      <c r="F17" s="62">
        <f t="array" ref="F17">IF(E17&lt;&gt;"",IF(INDEX(techniques[coverage],MATCH(E17,techniques[name],0))&gt;0,INDEX(techniques[coverage],MATCH(E17,techniques[name],0)),""),"")</f>
        <v/>
      </c>
      <c r="G17" s="47" t="inlineStr">
        <is>
          <t>Serverless Execution (T1648)</t>
        </is>
      </c>
      <c r="H17" s="62">
        <f t="array" ref="H17">IF(G17&lt;&gt;"",IF(INDEX(techniques[coverage],MATCH(G17,techniques[name],0))&gt;0,INDEX(techniques[coverage],MATCH(G17,techniques[name],0)),""),"")</f>
        <v/>
      </c>
      <c r="I17" s="47" t="inlineStr">
        <is>
          <t>Event Triggered Execution (T1546)</t>
        </is>
      </c>
      <c r="J17" s="62">
        <f t="array" ref="J17">IF(I17&lt;&gt;"",IF(INDEX(techniques[coverage],MATCH(I17,techniques[name],0))&gt;0,INDEX(techniques[coverage],MATCH(I17,techniques[name],0)),""),"")</f>
        <v/>
      </c>
      <c r="K17" s="47" t="n"/>
      <c r="L17" s="62">
        <f t="array" ref="L17">IF(K17&lt;&gt;"",IF(INDEX(techniques[coverage],MATCH(K17,techniques[name],0))&gt;0,INDEX(techniques[coverage],MATCH(K17,techniques[name],0)),""),"")</f>
        <v/>
      </c>
      <c r="M17" s="47" t="inlineStr">
        <is>
          <t>System Binary Proxy Execution (T1218)</t>
        </is>
      </c>
      <c r="N17" s="62">
        <f t="array" ref="N17">IF(M17&lt;&gt;"",IF(INDEX(techniques[coverage],MATCH(M17,techniques[name],0))&gt;0,INDEX(techniques[coverage],MATCH(M17,techniques[name],0)),""),"")</f>
        <v/>
      </c>
      <c r="O17" s="47" t="inlineStr">
        <is>
          <t>Safe Mode Boot (T1688)</t>
        </is>
      </c>
      <c r="P17" s="62">
        <f t="array" ref="P17">IF(O17&lt;&gt;"",IF(INDEX(techniques[coverage],MATCH(O17,techniques[name],0))&gt;0,INDEX(techniques[coverage],MATCH(O17,techniques[name],0)),""),"")</f>
        <v/>
      </c>
      <c r="Q17" s="47" t="inlineStr">
        <is>
          <t>Multi-Factor Authentication Request Generation (T1621)</t>
        </is>
      </c>
      <c r="R17" s="62">
        <f t="array" ref="R17">IF(Q17&lt;&gt;"",IF(INDEX(techniques[coverage],MATCH(Q17,techniques[name],0))&gt;0,INDEX(techniques[coverage],MATCH(Q17,techniques[name],0)),""),"")</f>
        <v/>
      </c>
      <c r="S17" s="47" t="inlineStr">
        <is>
          <t>System Time Discovery (T1124)</t>
        </is>
      </c>
      <c r="T17" s="62">
        <f t="array" ref="T17">IF(S17&lt;&gt;"",IF(INDEX(techniques[coverage],MATCH(S17,techniques[name],0))&gt;0,INDEX(techniques[coverage],MATCH(S17,techniques[name],0)),""),"")</f>
        <v/>
      </c>
      <c r="U17" s="47" t="n"/>
      <c r="V17" s="62">
        <f t="array" ref="V17">IF(U17&lt;&gt;"",IF(INDEX(techniques[coverage],MATCH(U17,techniques[name],0))&gt;0,INDEX(techniques[coverage],MATCH(U17,techniques[name],0)),""),"")</f>
        <v/>
      </c>
      <c r="W17" s="47" t="inlineStr">
        <is>
          <t>Archive Collected Data (T1560)</t>
        </is>
      </c>
      <c r="X17" s="62">
        <f t="array" ref="X17">IF(W17&lt;&gt;"",IF(INDEX(techniques[coverage],MATCH(W17,techniques[name],0))&gt;0,INDEX(techniques[coverage],MATCH(W17,techniques[name],0)),""),"")</f>
        <v/>
      </c>
      <c r="Y17" s="47" t="inlineStr">
        <is>
          <t>Encrypted Channel (T1573)</t>
        </is>
      </c>
      <c r="Z17" s="62">
        <f t="array" ref="Z17">IF(Y17&lt;&gt;"",IF(INDEX(techniques[coverage],MATCH(Y17,techniques[name],0))&gt;0,INDEX(techniques[coverage],MATCH(Y17,techniques[name],0)),""),"")</f>
        <v/>
      </c>
      <c r="AA17" s="47" t="n"/>
      <c r="AB17" s="62">
        <f t="array" ref="AB17">IF(AA17&lt;&gt;"",IF(INDEX(techniques[coverage],MATCH(AA17,techniques[name],0))&gt;0,INDEX(techniques[coverage],MATCH(AA17,techniques[name],0)),""),"")</f>
        <v/>
      </c>
      <c r="AC17" s="47" t="n"/>
      <c r="AD17" s="62">
        <f t="array" ref="AD17">IF(AC17&lt;&gt;"",IF(INDEX(techniques[coverage],MATCH(AC17,techniques[name],0))&gt;0,INDEX(techniques[coverage],MATCH(AC17,techniques[name],0)),""),"")</f>
        <v/>
      </c>
    </row>
    <row r="18" ht="22.5" customHeight="1">
      <c r="A18" s="47" t="n"/>
      <c r="B18" s="62">
        <f t="array" ref="B18">IF(A18&lt;&gt;"",IF(INDEX(techniques[coverage],MATCH(A18,techniques[name],0))&gt;0,INDEX(techniques[coverage],MATCH(A18,techniques[name],0)),""),"")</f>
        <v/>
      </c>
      <c r="C18" s="47" t="n"/>
      <c r="D18" s="62">
        <f t="array" ref="D18">IF(C18&lt;&gt;"",IF(INDEX(techniques[coverage],MATCH(C18,techniques[name],0))&gt;0,INDEX(techniques[coverage],MATCH(C18,techniques[name],0)),""),"")</f>
        <v/>
      </c>
      <c r="E18" s="47" t="n"/>
      <c r="F18" s="62">
        <f t="array" ref="F18">IF(E18&lt;&gt;"",IF(INDEX(techniques[coverage],MATCH(E18,techniques[name],0))&gt;0,INDEX(techniques[coverage],MATCH(E18,techniques[name],0)),""),"")</f>
        <v/>
      </c>
      <c r="G18" s="47" t="inlineStr">
        <is>
          <t>Cloud Administration Command (T1651)</t>
        </is>
      </c>
      <c r="H18" s="62">
        <f t="array" ref="H18">IF(G18&lt;&gt;"",IF(INDEX(techniques[coverage],MATCH(G18,techniques[name],0))&gt;0,INDEX(techniques[coverage],MATCH(G18,techniques[name],0)),""),"")</f>
        <v/>
      </c>
      <c r="I18" s="47" t="inlineStr">
        <is>
          <t>Boot or Logon Autostart Execution (T1547)</t>
        </is>
      </c>
      <c r="J18" s="62">
        <f t="array" ref="J18">IF(I18&lt;&gt;"",IF(INDEX(techniques[coverage],MATCH(I18,techniques[name],0))&gt;0,INDEX(techniques[coverage],MATCH(I18,techniques[name],0)),""),"")</f>
        <v/>
      </c>
      <c r="K18" s="47" t="n"/>
      <c r="L18" s="62">
        <f t="array" ref="L18">IF(K18&lt;&gt;"",IF(INDEX(techniques[coverage],MATCH(K18,techniques[name],0))&gt;0,INDEX(techniques[coverage],MATCH(K18,techniques[name],0)),""),"")</f>
        <v/>
      </c>
      <c r="M18" s="47" t="inlineStr">
        <is>
          <t>XSL Script Processing (T1220)</t>
        </is>
      </c>
      <c r="N18" s="62">
        <f t="array" ref="N18">IF(M18&lt;&gt;"",IF(INDEX(techniques[coverage],MATCH(M18,techniques[name],0))&gt;0,INDEX(techniques[coverage],MATCH(M18,techniques[name],0)),""),"")</f>
        <v/>
      </c>
      <c r="O18" s="47" t="inlineStr">
        <is>
          <t>Downgrade Attack (T1689)</t>
        </is>
      </c>
      <c r="P18" s="62">
        <f t="array" ref="P18">IF(O18&lt;&gt;"",IF(INDEX(techniques[coverage],MATCH(O18,techniques[name],0))&gt;0,INDEX(techniques[coverage],MATCH(O18,techniques[name],0)),""),"")</f>
        <v/>
      </c>
      <c r="Q18" s="47" t="inlineStr">
        <is>
          <t>Steal or Forge Authentication Certificates (T1649)</t>
        </is>
      </c>
      <c r="R18" s="62">
        <f t="array" ref="R18">IF(Q18&lt;&gt;"",IF(INDEX(techniques[coverage],MATCH(Q18,techniques[name],0))&gt;0,INDEX(techniques[coverage],MATCH(Q18,techniques[name],0)),""),"")</f>
        <v/>
      </c>
      <c r="S18" s="47" t="inlineStr">
        <is>
          <t>Network Share Discovery (T1135)</t>
        </is>
      </c>
      <c r="T18" s="62">
        <f t="array" ref="T18">IF(S18&lt;&gt;"",IF(INDEX(techniques[coverage],MATCH(S18,techniques[name],0))&gt;0,INDEX(techniques[coverage],MATCH(S18,techniques[name],0)),""),"")</f>
        <v/>
      </c>
      <c r="U18" s="47" t="n"/>
      <c r="V18" s="62">
        <f t="array" ref="V18">IF(U18&lt;&gt;"",IF(INDEX(techniques[coverage],MATCH(U18,techniques[name],0))&gt;0,INDEX(techniques[coverage],MATCH(U18,techniques[name],0)),""),"")</f>
        <v/>
      </c>
      <c r="W18" s="47" t="inlineStr">
        <is>
          <t>Data from Configuration Repository (T1602)</t>
        </is>
      </c>
      <c r="X18" s="62">
        <f t="array" ref="X18">IF(W18&lt;&gt;"",IF(INDEX(techniques[coverage],MATCH(W18,techniques[name],0))&gt;0,INDEX(techniques[coverage],MATCH(W18,techniques[name],0)),""),"")</f>
        <v/>
      </c>
      <c r="Y18" s="47" t="inlineStr">
        <is>
          <t>Content Injection (T1659)</t>
        </is>
      </c>
      <c r="Z18" s="62">
        <f t="array" ref="Z18">IF(Y18&lt;&gt;"",IF(INDEX(techniques[coverage],MATCH(Y18,techniques[name],0))&gt;0,INDEX(techniques[coverage],MATCH(Y18,techniques[name],0)),""),"")</f>
        <v/>
      </c>
      <c r="AA18" s="47" t="n"/>
      <c r="AB18" s="62">
        <f t="array" ref="AB18">IF(AA18&lt;&gt;"",IF(INDEX(techniques[coverage],MATCH(AA18,techniques[name],0))&gt;0,INDEX(techniques[coverage],MATCH(AA18,techniques[name],0)),""),"")</f>
        <v/>
      </c>
      <c r="AC18" s="47" t="n"/>
      <c r="AD18" s="62">
        <f t="array" ref="AD18">IF(AC18&lt;&gt;"",IF(INDEX(techniques[coverage],MATCH(AC18,techniques[name],0))&gt;0,INDEX(techniques[coverage],MATCH(AC18,techniques[name],0)),""),"")</f>
        <v/>
      </c>
    </row>
    <row r="19" ht="22.5" customHeight="1">
      <c r="A19" s="47" t="n"/>
      <c r="B19" s="62">
        <f t="array" ref="B19">IF(A19&lt;&gt;"",IF(INDEX(techniques[coverage],MATCH(A19,techniques[name],0))&gt;0,INDEX(techniques[coverage],MATCH(A19,techniques[name],0)),""),"")</f>
        <v/>
      </c>
      <c r="C19" s="47" t="n"/>
      <c r="D19" s="62">
        <f t="array" ref="D19">IF(C19&lt;&gt;"",IF(INDEX(techniques[coverage],MATCH(C19,techniques[name],0))&gt;0,INDEX(techniques[coverage],MATCH(C19,techniques[name],0)),""),"")</f>
        <v/>
      </c>
      <c r="E19" s="47" t="n"/>
      <c r="F19" s="62">
        <f t="array" ref="F19">IF(E19&lt;&gt;"",IF(INDEX(techniques[coverage],MATCH(E19,techniques[name],0))&gt;0,INDEX(techniques[coverage],MATCH(E19,techniques[name],0)),""),"")</f>
        <v/>
      </c>
      <c r="G19" s="47" t="inlineStr">
        <is>
          <t>Input Injection (T1674)</t>
        </is>
      </c>
      <c r="H19" s="62">
        <f t="array" ref="H19">IF(G19&lt;&gt;"",IF(INDEX(techniques[coverage],MATCH(G19,techniques[name],0))&gt;0,INDEX(techniques[coverage],MATCH(G19,techniques[name],0)),""),"")</f>
        <v/>
      </c>
      <c r="I19" s="47" t="inlineStr">
        <is>
          <t>Compromise Host Software Binary (T1554)</t>
        </is>
      </c>
      <c r="J19" s="62">
        <f t="array" ref="J19">IF(I19&lt;&gt;"",IF(INDEX(techniques[coverage],MATCH(I19,techniques[name],0))&gt;0,INDEX(techniques[coverage],MATCH(I19,techniques[name],0)),""),"")</f>
        <v/>
      </c>
      <c r="K19" s="47" t="n"/>
      <c r="L19" s="62">
        <f t="array" ref="L19">IF(K19&lt;&gt;"",IF(INDEX(techniques[coverage],MATCH(K19,techniques[name],0))&gt;0,INDEX(techniques[coverage],MATCH(K19,techniques[name],0)),""),"")</f>
        <v/>
      </c>
      <c r="M19" s="47" t="inlineStr">
        <is>
          <t>Template Injection (T1221)</t>
        </is>
      </c>
      <c r="N19" s="62">
        <f t="array" ref="N19">IF(M19&lt;&gt;"",IF(INDEX(techniques[coverage],MATCH(M19,techniques[name],0))&gt;0,INDEX(techniques[coverage],MATCH(M19,techniques[name],0)),""),"")</f>
        <v/>
      </c>
      <c r="O19" s="47" t="inlineStr">
        <is>
          <t>Prevent Command History Logging (T1690)</t>
        </is>
      </c>
      <c r="P19" s="62">
        <f t="array" ref="P19">IF(O19&lt;&gt;"",IF(INDEX(techniques[coverage],MATCH(O19,techniques[name],0))&gt;0,INDEX(techniques[coverage],MATCH(O19,techniques[name],0)),""),"")</f>
        <v/>
      </c>
      <c r="Q19" s="47" t="n"/>
      <c r="R19" s="62">
        <f t="array" ref="R19">IF(Q19&lt;&gt;"",IF(INDEX(techniques[coverage],MATCH(Q19,techniques[name],0))&gt;0,INDEX(techniques[coverage],MATCH(Q19,techniques[name],0)),""),"")</f>
        <v/>
      </c>
      <c r="S19" s="47" t="inlineStr">
        <is>
          <t>Password Policy Discovery (T1201)</t>
        </is>
      </c>
      <c r="T19" s="62">
        <f t="array" ref="T19">IF(S19&lt;&gt;"",IF(INDEX(techniques[coverage],MATCH(S19,techniques[name],0))&gt;0,INDEX(techniques[coverage],MATCH(S19,techniques[name],0)),""),"")</f>
        <v/>
      </c>
      <c r="U19" s="47" t="n"/>
      <c r="V19" s="62">
        <f t="array" ref="V19">IF(U19&lt;&gt;"",IF(INDEX(techniques[coverage],MATCH(U19,techniques[name],0))&gt;0,INDEX(techniques[coverage],MATCH(U19,techniques[name],0)),""),"")</f>
        <v/>
      </c>
      <c r="W19" s="47" t="n"/>
      <c r="X19" s="62">
        <f t="array" ref="X19">IF(W19&lt;&gt;"",IF(INDEX(techniques[coverage],MATCH(W19,techniques[name],0))&gt;0,INDEX(techniques[coverage],MATCH(W19,techniques[name],0)),""),"")</f>
        <v/>
      </c>
      <c r="Y19" s="47" t="inlineStr">
        <is>
          <t>Hide Infrastructure (T1665)</t>
        </is>
      </c>
      <c r="Z19" s="62">
        <f t="array" ref="Z19">IF(Y19&lt;&gt;"",IF(INDEX(techniques[coverage],MATCH(Y19,techniques[name],0))&gt;0,INDEX(techniques[coverage],MATCH(Y19,techniques[name],0)),""),"")</f>
        <v/>
      </c>
      <c r="AA19" s="47" t="n"/>
      <c r="AB19" s="62">
        <f t="array" ref="AB19">IF(AA19&lt;&gt;"",IF(INDEX(techniques[coverage],MATCH(AA19,techniques[name],0))&gt;0,INDEX(techniques[coverage],MATCH(AA19,techniques[name],0)),""),"")</f>
        <v/>
      </c>
      <c r="AC19" s="47" t="n"/>
      <c r="AD19" s="62">
        <f t="array" ref="AD19">IF(AC19&lt;&gt;"",IF(INDEX(techniques[coverage],MATCH(AC19,techniques[name],0))&gt;0,INDEX(techniques[coverage],MATCH(AC19,techniques[name],0)),""),"")</f>
        <v/>
      </c>
    </row>
    <row r="20" ht="22.5" customHeight="1">
      <c r="A20" s="47" t="n"/>
      <c r="B20" s="62">
        <f t="array" ref="B20">IF(A20&lt;&gt;"",IF(INDEX(techniques[coverage],MATCH(A20,techniques[name],0))&gt;0,INDEX(techniques[coverage],MATCH(A20,techniques[name],0)),""),"")</f>
        <v/>
      </c>
      <c r="C20" s="47" t="n"/>
      <c r="D20" s="62">
        <f t="array" ref="D20">IF(C20&lt;&gt;"",IF(INDEX(techniques[coverage],MATCH(C20,techniques[name],0))&gt;0,INDEX(techniques[coverage],MATCH(C20,techniques[name],0)),""),"")</f>
        <v/>
      </c>
      <c r="E20" s="47" t="n"/>
      <c r="F20" s="62">
        <f t="array" ref="F20">IF(E20&lt;&gt;"",IF(INDEX(techniques[coverage],MATCH(E20,techniques[name],0))&gt;0,INDEX(techniques[coverage],MATCH(E20,techniques[name],0)),""),"")</f>
        <v/>
      </c>
      <c r="G20" s="47" t="inlineStr">
        <is>
          <t>ESXi Administration Command (T1675)</t>
        </is>
      </c>
      <c r="H20" s="62">
        <f t="array" ref="H20">IF(G20&lt;&gt;"",IF(INDEX(techniques[coverage],MATCH(G20,techniques[name],0))&gt;0,INDEX(techniques[coverage],MATCH(G20,techniques[name],0)),""),"")</f>
        <v/>
      </c>
      <c r="I20" s="47" t="inlineStr">
        <is>
          <t>Modify Authentication Process (T1556)</t>
        </is>
      </c>
      <c r="J20" s="62">
        <f t="array" ref="J20">IF(I20&lt;&gt;"",IF(INDEX(techniques[coverage],MATCH(I20,techniques[name],0))&gt;0,INDEX(techniques[coverage],MATCH(I20,techniques[name],0)),""),"")</f>
        <v/>
      </c>
      <c r="K20" s="47" t="n"/>
      <c r="L20" s="62">
        <f t="array" ref="L20">IF(K20&lt;&gt;"",IF(INDEX(techniques[coverage],MATCH(K20,techniques[name],0))&gt;0,INDEX(techniques[coverage],MATCH(K20,techniques[name],0)),""),"")</f>
        <v/>
      </c>
      <c r="M20" s="47" t="inlineStr">
        <is>
          <t>Execution Guardrails (T1480)</t>
        </is>
      </c>
      <c r="N20" s="62">
        <f t="array" ref="N20">IF(M20&lt;&gt;"",IF(INDEX(techniques[coverage],MATCH(M20,techniques[name],0))&gt;0,INDEX(techniques[coverage],MATCH(M20,techniques[name],0)),""),"")</f>
        <v/>
      </c>
      <c r="O20" s="47" t="n"/>
      <c r="P20" s="62">
        <f t="array" ref="P20">IF(O20&lt;&gt;"",IF(INDEX(techniques[coverage],MATCH(O20,techniques[name],0))&gt;0,INDEX(techniques[coverage],MATCH(O20,techniques[name],0)),""),"")</f>
        <v/>
      </c>
      <c r="Q20" s="47" t="n"/>
      <c r="R20" s="62">
        <f t="array" ref="R20">IF(Q20&lt;&gt;"",IF(INDEX(techniques[coverage],MATCH(Q20,techniques[name],0))&gt;0,INDEX(techniques[coverage],MATCH(Q20,techniques[name],0)),""),"")</f>
        <v/>
      </c>
      <c r="S20" s="47" t="inlineStr">
        <is>
          <t>Browser Information Discovery (T1217)</t>
        </is>
      </c>
      <c r="T20" s="62">
        <f t="array" ref="T20">IF(S20&lt;&gt;"",IF(INDEX(techniques[coverage],MATCH(S20,techniques[name],0))&gt;0,INDEX(techniques[coverage],MATCH(S20,techniques[name],0)),""),"")</f>
        <v/>
      </c>
      <c r="U20" s="47" t="n"/>
      <c r="V20" s="62">
        <f t="array" ref="V20">IF(U20&lt;&gt;"",IF(INDEX(techniques[coverage],MATCH(U20,techniques[name],0))&gt;0,INDEX(techniques[coverage],MATCH(U20,techniques[name],0)),""),"")</f>
        <v/>
      </c>
      <c r="W20" s="47" t="n"/>
      <c r="X20" s="62">
        <f t="array" ref="X20">IF(W20&lt;&gt;"",IF(INDEX(techniques[coverage],MATCH(W20,techniques[name],0))&gt;0,INDEX(techniques[coverage],MATCH(W20,techniques[name],0)),""),"")</f>
        <v/>
      </c>
      <c r="Y20" s="47" t="n"/>
      <c r="Z20" s="62">
        <f t="array" ref="Z20">IF(Y20&lt;&gt;"",IF(INDEX(techniques[coverage],MATCH(Y20,techniques[name],0))&gt;0,INDEX(techniques[coverage],MATCH(Y20,techniques[name],0)),""),"")</f>
        <v/>
      </c>
      <c r="AA20" s="47" t="n"/>
      <c r="AB20" s="62">
        <f t="array" ref="AB20">IF(AA20&lt;&gt;"",IF(INDEX(techniques[coverage],MATCH(AA20,techniques[name],0))&gt;0,INDEX(techniques[coverage],MATCH(AA20,techniques[name],0)),""),"")</f>
        <v/>
      </c>
      <c r="AC20" s="47" t="n"/>
      <c r="AD20" s="62">
        <f t="array" ref="AD20">IF(AC20&lt;&gt;"",IF(INDEX(techniques[coverage],MATCH(AC20,techniques[name],0))&gt;0,INDEX(techniques[coverage],MATCH(AC20,techniques[name],0)),""),"")</f>
        <v/>
      </c>
    </row>
    <row r="21" ht="22.5" customHeight="1">
      <c r="A21" s="47" t="n"/>
      <c r="B21" s="62">
        <f t="array" ref="B21">IF(A21&lt;&gt;"",IF(INDEX(techniques[coverage],MATCH(A21,techniques[name],0))&gt;0,INDEX(techniques[coverage],MATCH(A21,techniques[name],0)),""),"")</f>
        <v/>
      </c>
      <c r="C21" s="47" t="n"/>
      <c r="D21" s="62">
        <f t="array" ref="D21">IF(C21&lt;&gt;"",IF(INDEX(techniques[coverage],MATCH(C21,techniques[name],0))&gt;0,INDEX(techniques[coverage],MATCH(C21,techniques[name],0)),""),"")</f>
        <v/>
      </c>
      <c r="E21" s="47" t="n"/>
      <c r="F21" s="62">
        <f t="array" ref="F21">IF(E21&lt;&gt;"",IF(INDEX(techniques[coverage],MATCH(E21,techniques[name],0))&gt;0,INDEX(techniques[coverage],MATCH(E21,techniques[name],0)),""),"")</f>
        <v/>
      </c>
      <c r="G21" s="47" t="inlineStr">
        <is>
          <t>Poisoned Pipeline Execution (T1677)</t>
        </is>
      </c>
      <c r="H21" s="62">
        <f t="array" ref="H21">IF(G21&lt;&gt;"",IF(INDEX(techniques[coverage],MATCH(G21,techniques[name],0))&gt;0,INDEX(techniques[coverage],MATCH(G21,techniques[name],0)),""),"")</f>
        <v/>
      </c>
      <c r="I21" s="47" t="inlineStr">
        <is>
          <t>Power Settings (T1653)</t>
        </is>
      </c>
      <c r="J21" s="62">
        <f t="array" ref="J21">IF(I21&lt;&gt;"",IF(INDEX(techniques[coverage],MATCH(I21,techniques[name],0))&gt;0,INDEX(techniques[coverage],MATCH(I21,techniques[name],0)),""),"")</f>
        <v/>
      </c>
      <c r="K21" s="47" t="n"/>
      <c r="L21" s="62">
        <f t="array" ref="L21">IF(K21&lt;&gt;"",IF(INDEX(techniques[coverage],MATCH(K21,techniques[name],0))&gt;0,INDEX(techniques[coverage],MATCH(K21,techniques[name],0)),""),"")</f>
        <v/>
      </c>
      <c r="M21" s="47" t="inlineStr">
        <is>
          <t>Virtualization/Sandbox Evasion (T1497)</t>
        </is>
      </c>
      <c r="N21" s="62">
        <f t="array" ref="N21">IF(M21&lt;&gt;"",IF(INDEX(techniques[coverage],MATCH(M21,techniques[name],0))&gt;0,INDEX(techniques[coverage],MATCH(M21,techniques[name],0)),""),"")</f>
        <v/>
      </c>
      <c r="O21" s="47" t="n"/>
      <c r="P21" s="62">
        <f t="array" ref="P21">IF(O21&lt;&gt;"",IF(INDEX(techniques[coverage],MATCH(O21,techniques[name],0))&gt;0,INDEX(techniques[coverage],MATCH(O21,techniques[name],0)),""),"")</f>
        <v/>
      </c>
      <c r="Q21" s="47" t="n"/>
      <c r="R21" s="62">
        <f t="array" ref="R21">IF(Q21&lt;&gt;"",IF(INDEX(techniques[coverage],MATCH(Q21,techniques[name],0))&gt;0,INDEX(techniques[coverage],MATCH(Q21,techniques[name],0)),""),"")</f>
        <v/>
      </c>
      <c r="S21" s="47" t="inlineStr">
        <is>
          <t>Domain Trust Discovery (T1482)</t>
        </is>
      </c>
      <c r="T21" s="62">
        <f t="array" ref="T21">IF(S21&lt;&gt;"",IF(INDEX(techniques[coverage],MATCH(S21,techniques[name],0))&gt;0,INDEX(techniques[coverage],MATCH(S21,techniques[name],0)),""),"")</f>
        <v/>
      </c>
      <c r="U21" s="47" t="n"/>
      <c r="V21" s="62">
        <f t="array" ref="V21">IF(U21&lt;&gt;"",IF(INDEX(techniques[coverage],MATCH(U21,techniques[name],0))&gt;0,INDEX(techniques[coverage],MATCH(U21,techniques[name],0)),""),"")</f>
        <v/>
      </c>
      <c r="W21" s="47" t="n"/>
      <c r="X21" s="62">
        <f t="array" ref="X21">IF(W21&lt;&gt;"",IF(INDEX(techniques[coverage],MATCH(W21,techniques[name],0))&gt;0,INDEX(techniques[coverage],MATCH(W21,techniques[name],0)),""),"")</f>
        <v/>
      </c>
      <c r="Y21" s="47" t="n"/>
      <c r="Z21" s="62">
        <f t="array" ref="Z21">IF(Y21&lt;&gt;"",IF(INDEX(techniques[coverage],MATCH(Y21,techniques[name],0))&gt;0,INDEX(techniques[coverage],MATCH(Y21,techniques[name],0)),""),"")</f>
        <v/>
      </c>
      <c r="AA21" s="47" t="n"/>
      <c r="AB21" s="62">
        <f t="array" ref="AB21">IF(AA21&lt;&gt;"",IF(INDEX(techniques[coverage],MATCH(AA21,techniques[name],0))&gt;0,INDEX(techniques[coverage],MATCH(AA21,techniques[name],0)),""),"")</f>
        <v/>
      </c>
      <c r="AC21" s="47" t="n"/>
      <c r="AD21" s="62">
        <f t="array" ref="AD21">IF(AC21&lt;&gt;"",IF(INDEX(techniques[coverage],MATCH(AC21,techniques[name],0))&gt;0,INDEX(techniques[coverage],MATCH(AC21,techniques[name],0)),""),"")</f>
        <v/>
      </c>
    </row>
    <row r="22" ht="33.75" customHeight="1">
      <c r="A22" s="47" t="n"/>
      <c r="B22" s="62">
        <f t="array" ref="B22">IF(A22&lt;&gt;"",IF(INDEX(techniques[coverage],MATCH(A22,techniques[name],0))&gt;0,INDEX(techniques[coverage],MATCH(A22,techniques[name],0)),""),"")</f>
        <v/>
      </c>
      <c r="C22" s="47" t="n"/>
      <c r="D22" s="62">
        <f t="array" ref="D22">IF(C22&lt;&gt;"",IF(INDEX(techniques[coverage],MATCH(C22,techniques[name],0))&gt;0,INDEX(techniques[coverage],MATCH(C22,techniques[name],0)),""),"")</f>
        <v/>
      </c>
      <c r="E22" s="47" t="n"/>
      <c r="F22" s="62">
        <f t="array" ref="F22">IF(E22&lt;&gt;"",IF(INDEX(techniques[coverage],MATCH(E22,techniques[name],0))&gt;0,INDEX(techniques[coverage],MATCH(E22,techniques[name],0)),""),"")</f>
        <v/>
      </c>
      <c r="G22" s="47" t="n"/>
      <c r="H22" s="62">
        <f t="array" ref="H22">IF(G22&lt;&gt;"",IF(INDEX(techniques[coverage],MATCH(G22,techniques[name],0))&gt;0,INDEX(techniques[coverage],MATCH(G22,techniques[name],0)),""),"")</f>
        <v/>
      </c>
      <c r="I22" s="47" t="inlineStr">
        <is>
          <t>Exclusive Control (T1668)</t>
        </is>
      </c>
      <c r="J22" s="62">
        <f t="array" ref="J22">IF(I22&lt;&gt;"",IF(INDEX(techniques[coverage],MATCH(I22,techniques[name],0))&gt;0,INDEX(techniques[coverage],MATCH(I22,techniques[name],0)),""),"")</f>
        <v/>
      </c>
      <c r="K22" s="47" t="n"/>
      <c r="L22" s="62">
        <f t="array" ref="L22">IF(K22&lt;&gt;"",IF(INDEX(techniques[coverage],MATCH(K22,techniques[name],0))&gt;0,INDEX(techniques[coverage],MATCH(K22,techniques[name],0)),""),"")</f>
        <v/>
      </c>
      <c r="M22" s="47" t="inlineStr">
        <is>
          <t>Unused/Unsupported Cloud Regions (T1535)</t>
        </is>
      </c>
      <c r="N22" s="62">
        <f t="array" ref="N22">IF(M22&lt;&gt;"",IF(INDEX(techniques[coverage],MATCH(M22,techniques[name],0))&gt;0,INDEX(techniques[coverage],MATCH(M22,techniques[name],0)),""),"")</f>
        <v/>
      </c>
      <c r="O22" s="47" t="n"/>
      <c r="P22" s="62">
        <f t="array" ref="P22">IF(O22&lt;&gt;"",IF(INDEX(techniques[coverage],MATCH(O22,techniques[name],0))&gt;0,INDEX(techniques[coverage],MATCH(O22,techniques[name],0)),""),"")</f>
        <v/>
      </c>
      <c r="Q22" s="47" t="n"/>
      <c r="R22" s="62">
        <f t="array" ref="R22">IF(Q22&lt;&gt;"",IF(INDEX(techniques[coverage],MATCH(Q22,techniques[name],0))&gt;0,INDEX(techniques[coverage],MATCH(Q22,techniques[name],0)),""),"")</f>
        <v/>
      </c>
      <c r="S22" s="47" t="inlineStr">
        <is>
          <t>Virtualization/Sandbox Evasion (T1497)</t>
        </is>
      </c>
      <c r="T22" s="62">
        <f t="array" ref="T22">IF(S22&lt;&gt;"",IF(INDEX(techniques[coverage],MATCH(S22,techniques[name],0))&gt;0,INDEX(techniques[coverage],MATCH(S22,techniques[name],0)),""),"")</f>
        <v/>
      </c>
      <c r="U22" s="47" t="n"/>
      <c r="V22" s="62">
        <f t="array" ref="V22">IF(U22&lt;&gt;"",IF(INDEX(techniques[coverage],MATCH(U22,techniques[name],0))&gt;0,INDEX(techniques[coverage],MATCH(U22,techniques[name],0)),""),"")</f>
        <v/>
      </c>
      <c r="W22" s="47" t="n"/>
      <c r="X22" s="62">
        <f t="array" ref="X22">IF(W22&lt;&gt;"",IF(INDEX(techniques[coverage],MATCH(W22,techniques[name],0))&gt;0,INDEX(techniques[coverage],MATCH(W22,techniques[name],0)),""),"")</f>
        <v/>
      </c>
      <c r="Y22" s="47" t="n"/>
      <c r="Z22" s="62">
        <f t="array" ref="Z22">IF(Y22&lt;&gt;"",IF(INDEX(techniques[coverage],MATCH(Y22,techniques[name],0))&gt;0,INDEX(techniques[coverage],MATCH(Y22,techniques[name],0)),""),"")</f>
        <v/>
      </c>
      <c r="AA22" s="47" t="n"/>
      <c r="AB22" s="62">
        <f t="array" ref="AB22">IF(AA22&lt;&gt;"",IF(INDEX(techniques[coverage],MATCH(AA22,techniques[name],0))&gt;0,INDEX(techniques[coverage],MATCH(AA22,techniques[name],0)),""),"")</f>
        <v/>
      </c>
      <c r="AC22" s="47" t="n"/>
      <c r="AD22" s="62">
        <f t="array" ref="AD22">IF(AC22&lt;&gt;"",IF(INDEX(techniques[coverage],MATCH(AC22,techniques[name],0))&gt;0,INDEX(techniques[coverage],MATCH(AC22,techniques[name],0)),""),"")</f>
        <v/>
      </c>
    </row>
    <row r="23" ht="22.5" customHeight="1">
      <c r="A23" s="63" t="n"/>
      <c r="B23" s="62">
        <f t="array" ref="B23">IF(A23&lt;&gt;"",IF(INDEX(techniques[coverage],MATCH(A23,techniques[name],0))&gt;0,INDEX(techniques[coverage],MATCH(A23,techniques[name],0)),""),"")</f>
        <v/>
      </c>
      <c r="C23" s="63" t="n"/>
      <c r="D23" s="62">
        <f t="array" ref="D23">IF(C23&lt;&gt;"",IF(INDEX(techniques[coverage],MATCH(C23,techniques[name],0))&gt;0,INDEX(techniques[coverage],MATCH(C23,techniques[name],0)),""),"")</f>
        <v/>
      </c>
      <c r="E23" s="63" t="n"/>
      <c r="F23" s="62">
        <f t="array" ref="F23">IF(E23&lt;&gt;"",IF(INDEX(techniques[coverage],MATCH(E23,techniques[name],0))&gt;0,INDEX(techniques[coverage],MATCH(E23,techniques[name],0)),""),"")</f>
        <v/>
      </c>
      <c r="G23" s="63" t="n"/>
      <c r="H23" s="62">
        <f t="array" ref="H23">IF(G23&lt;&gt;"",IF(INDEX(techniques[coverage],MATCH(G23,techniques[name],0))&gt;0,INDEX(techniques[coverage],MATCH(G23,techniques[name],0)),""),"")</f>
        <v/>
      </c>
      <c r="I23" s="63" t="inlineStr">
        <is>
          <t>Cloud Application Integration (T1671)</t>
        </is>
      </c>
      <c r="J23" s="62">
        <f t="array" ref="J23">IF(I23&lt;&gt;"",IF(INDEX(techniques[coverage],MATCH(I23,techniques[name],0))&gt;0,INDEX(techniques[coverage],MATCH(I23,techniques[name],0)),""),"")</f>
        <v/>
      </c>
      <c r="K23" s="63" t="n"/>
      <c r="L23" s="62">
        <f t="array" ref="L23">IF(K23&lt;&gt;"",IF(INDEX(techniques[coverage],MATCH(K23,techniques[name],0))&gt;0,INDEX(techniques[coverage],MATCH(K23,techniques[name],0)),""),"")</f>
        <v/>
      </c>
      <c r="M23" s="63" t="inlineStr">
        <is>
          <t>Pre-OS Boot (T1542)</t>
        </is>
      </c>
      <c r="N23" s="62">
        <f t="array" ref="N23">IF(M23&lt;&gt;"",IF(INDEX(techniques[coverage],MATCH(M23,techniques[name],0))&gt;0,INDEX(techniques[coverage],MATCH(M23,techniques[name],0)),""),"")</f>
        <v/>
      </c>
      <c r="O23" s="63" t="n"/>
      <c r="P23" s="62">
        <f t="array" ref="P23">IF(O23&lt;&gt;"",IF(INDEX(techniques[coverage],MATCH(O23,techniques[name],0))&gt;0,INDEX(techniques[coverage],MATCH(O23,techniques[name],0)),""),"")</f>
        <v/>
      </c>
      <c r="Q23" s="63" t="n"/>
      <c r="R23" s="62">
        <f t="array" ref="R23">IF(Q23&lt;&gt;"",IF(INDEX(techniques[coverage],MATCH(Q23,techniques[name],0))&gt;0,INDEX(techniques[coverage],MATCH(Q23,techniques[name],0)),""),"")</f>
        <v/>
      </c>
      <c r="S23" s="63" t="inlineStr">
        <is>
          <t>Software Discovery (T1518)</t>
        </is>
      </c>
      <c r="T23" s="62">
        <f t="array" ref="T23">IF(S23&lt;&gt;"",IF(INDEX(techniques[coverage],MATCH(S23,techniques[name],0))&gt;0,INDEX(techniques[coverage],MATCH(S23,techniques[name],0)),""),"")</f>
        <v/>
      </c>
      <c r="U23" s="63" t="n"/>
      <c r="V23" s="62">
        <f t="array" ref="V23">IF(U23&lt;&gt;"",IF(INDEX(techniques[coverage],MATCH(U23,techniques[name],0))&gt;0,INDEX(techniques[coverage],MATCH(U23,techniques[name],0)),""),"")</f>
        <v/>
      </c>
      <c r="W23" s="63" t="n"/>
      <c r="X23" s="62">
        <f t="array" ref="X23">IF(W23&lt;&gt;"",IF(INDEX(techniques[coverage],MATCH(W23,techniques[name],0))&gt;0,INDEX(techniques[coverage],MATCH(W23,techniques[name],0)),""),"")</f>
        <v/>
      </c>
      <c r="Y23" s="63" t="n"/>
      <c r="Z23" s="62">
        <f t="array" ref="Z23">IF(Y23&lt;&gt;"",IF(INDEX(techniques[coverage],MATCH(Y23,techniques[name],0))&gt;0,INDEX(techniques[coverage],MATCH(Y23,techniques[name],0)),""),"")</f>
        <v/>
      </c>
      <c r="AA23" s="63" t="n"/>
      <c r="AB23" s="62">
        <f t="array" ref="AB23">IF(AA23&lt;&gt;"",IF(INDEX(techniques[coverage],MATCH(AA23,techniques[name],0))&gt;0,INDEX(techniques[coverage],MATCH(AA23,techniques[name],0)),""),"")</f>
        <v/>
      </c>
      <c r="AC23" s="63" t="n"/>
      <c r="AD23" s="62">
        <f t="array" ref="AD23">IF(AC23&lt;&gt;"",IF(INDEX(techniques[coverage],MATCH(AC23,techniques[name],0))&gt;0,INDEX(techniques[coverage],MATCH(AC23,techniques[name],0)),""),"")</f>
        <v/>
      </c>
    </row>
    <row r="24" ht="22.5" customHeight="1">
      <c r="A24" s="47" t="n"/>
      <c r="B24" s="62">
        <f t="array" ref="B24">IF(A24&lt;&gt;"",IF(INDEX(techniques[coverage],MATCH(A24,techniques[name],0))&gt;0,INDEX(techniques[coverage],MATCH(A24,techniques[name],0)),""),"")</f>
        <v/>
      </c>
      <c r="C24" s="47" t="n"/>
      <c r="D24" s="62">
        <f t="array" ref="D24">IF(C24&lt;&gt;"",IF(INDEX(techniques[coverage],MATCH(C24,techniques[name],0))&gt;0,INDEX(techniques[coverage],MATCH(C24,techniques[name],0)),""),"")</f>
        <v/>
      </c>
      <c r="E24" s="47" t="n"/>
      <c r="F24" s="62">
        <f t="array" ref="F24">IF(E24&lt;&gt;"",IF(INDEX(techniques[coverage],MATCH(E24,techniques[name],0))&gt;0,INDEX(techniques[coverage],MATCH(E24,techniques[name],0)),""),"")</f>
        <v/>
      </c>
      <c r="G24" s="47" t="n"/>
      <c r="H24" s="62">
        <f t="array" ref="H24">IF(G24&lt;&gt;"",IF(INDEX(techniques[coverage],MATCH(G24,techniques[name],0))&gt;0,INDEX(techniques[coverage],MATCH(G24,techniques[name],0)),""),"")</f>
        <v/>
      </c>
      <c r="I24" s="47" t="n"/>
      <c r="J24" s="62">
        <f t="array" ref="J24">IF(I24&lt;&gt;"",IF(INDEX(techniques[coverage],MATCH(I24,techniques[name],0))&gt;0,INDEX(techniques[coverage],MATCH(I24,techniques[name],0)),""),"")</f>
        <v/>
      </c>
      <c r="K24" s="47" t="n"/>
      <c r="L24" s="62">
        <f t="array" ref="L24">IF(K24&lt;&gt;"",IF(INDEX(techniques[coverage],MATCH(K24,techniques[name],0))&gt;0,INDEX(techniques[coverage],MATCH(K24,techniques[name],0)),""),"")</f>
        <v/>
      </c>
      <c r="M24" s="47" t="inlineStr">
        <is>
          <t>Hide Artifacts (T1564)</t>
        </is>
      </c>
      <c r="N24" s="62">
        <f t="array" ref="N24">IF(M24&lt;&gt;"",IF(INDEX(techniques[coverage],MATCH(M24,techniques[name],0))&gt;0,INDEX(techniques[coverage],MATCH(M24,techniques[name],0)),""),"")</f>
        <v/>
      </c>
      <c r="O24" s="47" t="n"/>
      <c r="P24" s="62">
        <f t="array" ref="P24">IF(O24&lt;&gt;"",IF(INDEX(techniques[coverage],MATCH(O24,techniques[name],0))&gt;0,INDEX(techniques[coverage],MATCH(O24,techniques[name],0)),""),"")</f>
        <v/>
      </c>
      <c r="Q24" s="47" t="n"/>
      <c r="R24" s="62">
        <f t="array" ref="R24">IF(Q24&lt;&gt;"",IF(INDEX(techniques[coverage],MATCH(Q24,techniques[name],0))&gt;0,INDEX(techniques[coverage],MATCH(Q24,techniques[name],0)),""),"")</f>
        <v/>
      </c>
      <c r="S24" s="47" t="inlineStr">
        <is>
          <t>Cloud Service Discovery (T1526)</t>
        </is>
      </c>
      <c r="T24" s="62">
        <f t="array" ref="T24">IF(S24&lt;&gt;"",IF(INDEX(techniques[coverage],MATCH(S24,techniques[name],0))&gt;0,INDEX(techniques[coverage],MATCH(S24,techniques[name],0)),""),"")</f>
        <v/>
      </c>
      <c r="U24" s="47" t="n"/>
      <c r="V24" s="62">
        <f t="array" ref="V24">IF(U24&lt;&gt;"",IF(INDEX(techniques[coverage],MATCH(U24,techniques[name],0))&gt;0,INDEX(techniques[coverage],MATCH(U24,techniques[name],0)),""),"")</f>
        <v/>
      </c>
      <c r="W24" s="47" t="n"/>
      <c r="X24" s="62">
        <f t="array" ref="X24">IF(W24&lt;&gt;"",IF(INDEX(techniques[coverage],MATCH(W24,techniques[name],0))&gt;0,INDEX(techniques[coverage],MATCH(W24,techniques[name],0)),""),"")</f>
        <v/>
      </c>
      <c r="Y24" s="47" t="n"/>
      <c r="Z24" s="62">
        <f t="array" ref="Z24">IF(Y24&lt;&gt;"",IF(INDEX(techniques[coverage],MATCH(Y24,techniques[name],0))&gt;0,INDEX(techniques[coverage],MATCH(Y24,techniques[name],0)),""),"")</f>
        <v/>
      </c>
      <c r="AA24" s="47" t="n"/>
      <c r="AB24" s="62">
        <f t="array" ref="AB24">IF(AA24&lt;&gt;"",IF(INDEX(techniques[coverage],MATCH(AA24,techniques[name],0))&gt;0,INDEX(techniques[coverage],MATCH(AA24,techniques[name],0)),""),"")</f>
        <v/>
      </c>
      <c r="AC24" s="47" t="n"/>
      <c r="AD24" s="62">
        <f t="array" ref="AD24">IF(AC24&lt;&gt;"",IF(INDEX(techniques[coverage],MATCH(AC24,techniques[name],0))&gt;0,INDEX(techniques[coverage],MATCH(AC24,techniques[name],0)),""),"")</f>
        <v/>
      </c>
    </row>
    <row r="25" ht="22.5" customHeight="1">
      <c r="A25" s="47" t="n"/>
      <c r="B25" s="62">
        <f t="array" ref="B25">IF(A25&lt;&gt;"",IF(INDEX(techniques[coverage],MATCH(A25,techniques[name],0))&gt;0,INDEX(techniques[coverage],MATCH(A25,techniques[name],0)),""),"")</f>
        <v/>
      </c>
      <c r="C25" s="47" t="n"/>
      <c r="D25" s="62">
        <f t="array" ref="D25">IF(C25&lt;&gt;"",IF(INDEX(techniques[coverage],MATCH(C25,techniques[name],0))&gt;0,INDEX(techniques[coverage],MATCH(C25,techniques[name],0)),""),"")</f>
        <v/>
      </c>
      <c r="E25" s="47" t="n"/>
      <c r="F25" s="62">
        <f t="array" ref="F25">IF(E25&lt;&gt;"",IF(INDEX(techniques[coverage],MATCH(E25,techniques[name],0))&gt;0,INDEX(techniques[coverage],MATCH(E25,techniques[name],0)),""),"")</f>
        <v/>
      </c>
      <c r="G25" s="47" t="n"/>
      <c r="H25" s="62">
        <f t="array" ref="H25">IF(G25&lt;&gt;"",IF(INDEX(techniques[coverage],MATCH(G25,techniques[name],0))&gt;0,INDEX(techniques[coverage],MATCH(G25,techniques[name],0)),""),"")</f>
        <v/>
      </c>
      <c r="I25" s="47" t="n"/>
      <c r="J25" s="62">
        <f t="array" ref="J25">IF(I25&lt;&gt;"",IF(INDEX(techniques[coverage],MATCH(I25,techniques[name],0))&gt;0,INDEX(techniques[coverage],MATCH(I25,techniques[name],0)),""),"")</f>
        <v/>
      </c>
      <c r="K25" s="47" t="n"/>
      <c r="L25" s="62">
        <f t="array" ref="L25">IF(K25&lt;&gt;"",IF(INDEX(techniques[coverage],MATCH(K25,techniques[name],0))&gt;0,INDEX(techniques[coverage],MATCH(K25,techniques[name],0)),""),"")</f>
        <v/>
      </c>
      <c r="M25" s="47" t="inlineStr">
        <is>
          <t>Hijack Execution Flow (T1574)</t>
        </is>
      </c>
      <c r="N25" s="62">
        <f t="array" ref="N25">IF(M25&lt;&gt;"",IF(INDEX(techniques[coverage],MATCH(M25,techniques[name],0))&gt;0,INDEX(techniques[coverage],MATCH(M25,techniques[name],0)),""),"")</f>
        <v/>
      </c>
      <c r="O25" s="47" t="n"/>
      <c r="P25" s="62">
        <f t="array" ref="P25">IF(O25&lt;&gt;"",IF(INDEX(techniques[coverage],MATCH(O25,techniques[name],0))&gt;0,INDEX(techniques[coverage],MATCH(O25,techniques[name],0)),""),"")</f>
        <v/>
      </c>
      <c r="Q25" s="47" t="n"/>
      <c r="R25" s="62">
        <f t="array" ref="R25">IF(Q25&lt;&gt;"",IF(INDEX(techniques[coverage],MATCH(Q25,techniques[name],0))&gt;0,INDEX(techniques[coverage],MATCH(Q25,techniques[name],0)),""),"")</f>
        <v/>
      </c>
      <c r="S25" s="47" t="inlineStr">
        <is>
          <t>Cloud Service Dashboard (T1538)</t>
        </is>
      </c>
      <c r="T25" s="62">
        <f t="array" ref="T25">IF(S25&lt;&gt;"",IF(INDEX(techniques[coverage],MATCH(S25,techniques[name],0))&gt;0,INDEX(techniques[coverage],MATCH(S25,techniques[name],0)),""),"")</f>
        <v/>
      </c>
      <c r="U25" s="47" t="n"/>
      <c r="V25" s="62">
        <f t="array" ref="V25">IF(U25&lt;&gt;"",IF(INDEX(techniques[coverage],MATCH(U25,techniques[name],0))&gt;0,INDEX(techniques[coverage],MATCH(U25,techniques[name],0)),""),"")</f>
        <v/>
      </c>
      <c r="W25" s="47" t="n"/>
      <c r="X25" s="62">
        <f t="array" ref="X25">IF(W25&lt;&gt;"",IF(INDEX(techniques[coverage],MATCH(W25,techniques[name],0))&gt;0,INDEX(techniques[coverage],MATCH(W25,techniques[name],0)),""),"")</f>
        <v/>
      </c>
      <c r="Y25" s="47" t="n"/>
      <c r="Z25" s="62">
        <f t="array" ref="Z25">IF(Y25&lt;&gt;"",IF(INDEX(techniques[coverage],MATCH(Y25,techniques[name],0))&gt;0,INDEX(techniques[coverage],MATCH(Y25,techniques[name],0)),""),"")</f>
        <v/>
      </c>
      <c r="AA25" s="47" t="n"/>
      <c r="AB25" s="62">
        <f t="array" ref="AB25">IF(AA25&lt;&gt;"",IF(INDEX(techniques[coverage],MATCH(AA25,techniques[name],0))&gt;0,INDEX(techniques[coverage],MATCH(AA25,techniques[name],0)),""),"")</f>
        <v/>
      </c>
      <c r="AC25" s="47" t="n"/>
      <c r="AD25" s="62">
        <f t="array" ref="AD25">IF(AC25&lt;&gt;"",IF(INDEX(techniques[coverage],MATCH(AC25,techniques[name],0))&gt;0,INDEX(techniques[coverage],MATCH(AC25,techniques[name],0)),""),"")</f>
        <v/>
      </c>
    </row>
    <row r="26" ht="22.5" customHeight="1">
      <c r="A26" s="63" t="n"/>
      <c r="B26" s="62">
        <f t="array" ref="B26">IF(A26&lt;&gt;"",IF(INDEX(techniques[coverage],MATCH(A26,techniques[name],0))&gt;0,INDEX(techniques[coverage],MATCH(A26,techniques[name],0)),""),"")</f>
        <v/>
      </c>
      <c r="C26" s="63" t="n"/>
      <c r="D26" s="62">
        <f t="array" ref="D26">IF(C26&lt;&gt;"",IF(INDEX(techniques[coverage],MATCH(C26,techniques[name],0))&gt;0,INDEX(techniques[coverage],MATCH(C26,techniques[name],0)),""),"")</f>
        <v/>
      </c>
      <c r="E26" s="63" t="n"/>
      <c r="F26" s="62">
        <f t="array" ref="F26">IF(E26&lt;&gt;"",IF(INDEX(techniques[coverage],MATCH(E26,techniques[name],0))&gt;0,INDEX(techniques[coverage],MATCH(E26,techniques[name],0)),""),"")</f>
        <v/>
      </c>
      <c r="G26" s="63" t="n"/>
      <c r="H26" s="62">
        <f t="array" ref="H26">IF(G26&lt;&gt;"",IF(INDEX(techniques[coverage],MATCH(G26,techniques[name],0))&gt;0,INDEX(techniques[coverage],MATCH(G26,techniques[name],0)),""),"")</f>
        <v/>
      </c>
      <c r="I26" s="63" t="n"/>
      <c r="J26" s="62">
        <f t="array" ref="J26">IF(I26&lt;&gt;"",IF(INDEX(techniques[coverage],MATCH(I26,techniques[name],0))&gt;0,INDEX(techniques[coverage],MATCH(I26,techniques[name],0)),""),"")</f>
        <v/>
      </c>
      <c r="K26" s="63" t="n"/>
      <c r="L26" s="62">
        <f t="array" ref="L26">IF(K26&lt;&gt;"",IF(INDEX(techniques[coverage],MATCH(K26,techniques[name],0))&gt;0,INDEX(techniques[coverage],MATCH(K26,techniques[name],0)),""),"")</f>
        <v/>
      </c>
      <c r="M26" s="63" t="inlineStr">
        <is>
          <t>Build Image on Host (T1612)</t>
        </is>
      </c>
      <c r="N26" s="62">
        <f t="array" ref="N26">IF(M26&lt;&gt;"",IF(INDEX(techniques[coverage],MATCH(M26,techniques[name],0))&gt;0,INDEX(techniques[coverage],MATCH(M26,techniques[name],0)),""),"")</f>
        <v/>
      </c>
      <c r="O26" s="63" t="n"/>
      <c r="P26" s="62">
        <f t="array" ref="P26">IF(O26&lt;&gt;"",IF(INDEX(techniques[coverage],MATCH(O26,techniques[name],0))&gt;0,INDEX(techniques[coverage],MATCH(O26,techniques[name],0)),""),"")</f>
        <v/>
      </c>
      <c r="Q26" s="63" t="n"/>
      <c r="R26" s="62">
        <f t="array" ref="R26">IF(Q26&lt;&gt;"",IF(INDEX(techniques[coverage],MATCH(Q26,techniques[name],0))&gt;0,INDEX(techniques[coverage],MATCH(Q26,techniques[name],0)),""),"")</f>
        <v/>
      </c>
      <c r="S26" s="63" t="inlineStr">
        <is>
          <t>Cloud Infrastructure Discovery (T1580)</t>
        </is>
      </c>
      <c r="T26" s="62">
        <f t="array" ref="T26">IF(S26&lt;&gt;"",IF(INDEX(techniques[coverage],MATCH(S26,techniques[name],0))&gt;0,INDEX(techniques[coverage],MATCH(S26,techniques[name],0)),""),"")</f>
        <v/>
      </c>
      <c r="U26" s="63" t="n"/>
      <c r="V26" s="62">
        <f t="array" ref="V26">IF(U26&lt;&gt;"",IF(INDEX(techniques[coverage],MATCH(U26,techniques[name],0))&gt;0,INDEX(techniques[coverage],MATCH(U26,techniques[name],0)),""),"")</f>
        <v/>
      </c>
      <c r="W26" s="63" t="n"/>
      <c r="X26" s="62">
        <f t="array" ref="X26">IF(W26&lt;&gt;"",IF(INDEX(techniques[coverage],MATCH(W26,techniques[name],0))&gt;0,INDEX(techniques[coverage],MATCH(W26,techniques[name],0)),""),"")</f>
        <v/>
      </c>
      <c r="Y26" s="63" t="n"/>
      <c r="Z26" s="62">
        <f t="array" ref="Z26">IF(Y26&lt;&gt;"",IF(INDEX(techniques[coverage],MATCH(Y26,techniques[name],0))&gt;0,INDEX(techniques[coverage],MATCH(Y26,techniques[name],0)),""),"")</f>
        <v/>
      </c>
      <c r="AA26" s="63" t="n"/>
      <c r="AB26" s="62">
        <f t="array" ref="AB26">IF(AA26&lt;&gt;"",IF(INDEX(techniques[coverage],MATCH(AA26,techniques[name],0))&gt;0,INDEX(techniques[coverage],MATCH(AA26,techniques[name],0)),""),"")</f>
        <v/>
      </c>
      <c r="AC26" s="63" t="n"/>
      <c r="AD26" s="62">
        <f t="array" ref="AD26">IF(AC26&lt;&gt;"",IF(INDEX(techniques[coverage],MATCH(AC26,techniques[name],0))&gt;0,INDEX(techniques[coverage],MATCH(AC26,techniques[name],0)),""),"")</f>
        <v/>
      </c>
    </row>
    <row r="27" ht="22.5" customHeight="1">
      <c r="A27" s="63" t="n"/>
      <c r="B27" s="62">
        <f t="array" ref="B27">IF(A27&lt;&gt;"",IF(INDEX(techniques[coverage],MATCH(A27,techniques[name],0))&gt;0,INDEX(techniques[coverage],MATCH(A27,techniques[name],0)),""),"")</f>
        <v/>
      </c>
      <c r="C27" s="63" t="n"/>
      <c r="D27" s="62">
        <f t="array" ref="D27">IF(C27&lt;&gt;"",IF(INDEX(techniques[coverage],MATCH(C27,techniques[name],0))&gt;0,INDEX(techniques[coverage],MATCH(C27,techniques[name],0)),""),"")</f>
        <v/>
      </c>
      <c r="E27" s="63" t="n"/>
      <c r="F27" s="62">
        <f t="array" ref="F27">IF(E27&lt;&gt;"",IF(INDEX(techniques[coverage],MATCH(E27,techniques[name],0))&gt;0,INDEX(techniques[coverage],MATCH(E27,techniques[name],0)),""),"")</f>
        <v/>
      </c>
      <c r="G27" s="63" t="n"/>
      <c r="H27" s="62">
        <f t="array" ref="H27">IF(G27&lt;&gt;"",IF(INDEX(techniques[coverage],MATCH(G27,techniques[name],0))&gt;0,INDEX(techniques[coverage],MATCH(G27,techniques[name],0)),""),"")</f>
        <v/>
      </c>
      <c r="I27" s="63" t="n"/>
      <c r="J27" s="62">
        <f t="array" ref="J27">IF(I27&lt;&gt;"",IF(INDEX(techniques[coverage],MATCH(I27,techniques[name],0))&gt;0,INDEX(techniques[coverage],MATCH(I27,techniques[name],0)),""),"")</f>
        <v/>
      </c>
      <c r="K27" s="63" t="n"/>
      <c r="L27" s="62">
        <f t="array" ref="L27">IF(K27&lt;&gt;"",IF(INDEX(techniques[coverage],MATCH(K27,techniques[name],0))&gt;0,INDEX(techniques[coverage],MATCH(K27,techniques[name],0)),""),"")</f>
        <v/>
      </c>
      <c r="M27" s="63" t="inlineStr">
        <is>
          <t>Reflective Code Loading (T1620)</t>
        </is>
      </c>
      <c r="N27" s="62">
        <f t="array" ref="N27">IF(M27&lt;&gt;"",IF(INDEX(techniques[coverage],MATCH(M27,techniques[name],0))&gt;0,INDEX(techniques[coverage],MATCH(M27,techniques[name],0)),""),"")</f>
        <v/>
      </c>
      <c r="O27" s="63" t="n"/>
      <c r="P27" s="62">
        <f t="array" ref="P27">IF(O27&lt;&gt;"",IF(INDEX(techniques[coverage],MATCH(O27,techniques[name],0))&gt;0,INDEX(techniques[coverage],MATCH(O27,techniques[name],0)),""),"")</f>
        <v/>
      </c>
      <c r="Q27" s="63" t="n"/>
      <c r="R27" s="62">
        <f t="array" ref="R27">IF(Q27&lt;&gt;"",IF(INDEX(techniques[coverage],MATCH(Q27,techniques[name],0))&gt;0,INDEX(techniques[coverage],MATCH(Q27,techniques[name],0)),""),"")</f>
        <v/>
      </c>
      <c r="S27" s="63" t="inlineStr">
        <is>
          <t>Container and Resource Discovery (T1613)</t>
        </is>
      </c>
      <c r="T27" s="62">
        <f t="array" ref="T27">IF(S27&lt;&gt;"",IF(INDEX(techniques[coverage],MATCH(S27,techniques[name],0))&gt;0,INDEX(techniques[coverage],MATCH(S27,techniques[name],0)),""),"")</f>
        <v/>
      </c>
      <c r="U27" s="63" t="n"/>
      <c r="V27" s="62">
        <f t="array" ref="V27">IF(U27&lt;&gt;"",IF(INDEX(techniques[coverage],MATCH(U27,techniques[name],0))&gt;0,INDEX(techniques[coverage],MATCH(U27,techniques[name],0)),""),"")</f>
        <v/>
      </c>
      <c r="W27" s="63" t="n"/>
      <c r="X27" s="62">
        <f t="array" ref="X27">IF(W27&lt;&gt;"",IF(INDEX(techniques[coverage],MATCH(W27,techniques[name],0))&gt;0,INDEX(techniques[coverage],MATCH(W27,techniques[name],0)),""),"")</f>
        <v/>
      </c>
      <c r="Y27" s="63" t="n"/>
      <c r="Z27" s="62">
        <f t="array" ref="Z27">IF(Y27&lt;&gt;"",IF(INDEX(techniques[coverage],MATCH(Y27,techniques[name],0))&gt;0,INDEX(techniques[coverage],MATCH(Y27,techniques[name],0)),""),"")</f>
        <v/>
      </c>
      <c r="AA27" s="63" t="n"/>
      <c r="AB27" s="62">
        <f t="array" ref="AB27">IF(AA27&lt;&gt;"",IF(INDEX(techniques[coverage],MATCH(AA27,techniques[name],0))&gt;0,INDEX(techniques[coverage],MATCH(AA27,techniques[name],0)),""),"")</f>
        <v/>
      </c>
      <c r="AC27" s="63" t="n"/>
      <c r="AD27" s="62">
        <f t="array" ref="AD27">IF(AC27&lt;&gt;"",IF(INDEX(techniques[coverage],MATCH(AC27,techniques[name],0))&gt;0,INDEX(techniques[coverage],MATCH(AC27,techniques[name],0)),""),"")</f>
        <v/>
      </c>
    </row>
    <row r="28" ht="22.5" customHeight="1">
      <c r="A28" s="63" t="n"/>
      <c r="B28" s="62">
        <f t="array" ref="B28">IF(A28&lt;&gt;"",IF(INDEX(techniques[coverage],MATCH(A28,techniques[name],0))&gt;0,INDEX(techniques[coverage],MATCH(A28,techniques[name],0)),""),"")</f>
        <v/>
      </c>
      <c r="C28" s="63" t="n"/>
      <c r="D28" s="62">
        <f t="array" ref="D28">IF(C28&lt;&gt;"",IF(INDEX(techniques[coverage],MATCH(C28,techniques[name],0))&gt;0,INDEX(techniques[coverage],MATCH(C28,techniques[name],0)),""),"")</f>
        <v/>
      </c>
      <c r="E28" s="63" t="n"/>
      <c r="F28" s="62">
        <f t="array" ref="F28">IF(E28&lt;&gt;"",IF(INDEX(techniques[coverage],MATCH(E28,techniques[name],0))&gt;0,INDEX(techniques[coverage],MATCH(E28,techniques[name],0)),""),"")</f>
        <v/>
      </c>
      <c r="G28" s="63" t="n"/>
      <c r="H28" s="62">
        <f t="array" ref="H28">IF(G28&lt;&gt;"",IF(INDEX(techniques[coverage],MATCH(G28,techniques[name],0))&gt;0,INDEX(techniques[coverage],MATCH(G28,techniques[name],0)),""),"")</f>
        <v/>
      </c>
      <c r="I28" s="63" t="n"/>
      <c r="J28" s="62">
        <f t="array" ref="J28">IF(I28&lt;&gt;"",IF(INDEX(techniques[coverage],MATCH(I28,techniques[name],0))&gt;0,INDEX(techniques[coverage],MATCH(I28,techniques[name],0)),""),"")</f>
        <v/>
      </c>
      <c r="K28" s="63" t="n"/>
      <c r="L28" s="62">
        <f t="array" ref="L28">IF(K28&lt;&gt;"",IF(INDEX(techniques[coverage],MATCH(K28,techniques[name],0))&gt;0,INDEX(techniques[coverage],MATCH(K28,techniques[name],0)),""),"")</f>
        <v/>
      </c>
      <c r="M28" s="63" t="inlineStr">
        <is>
          <t>Debugger Evasion (T1622)</t>
        </is>
      </c>
      <c r="N28" s="62">
        <f t="array" ref="N28">IF(M28&lt;&gt;"",IF(INDEX(techniques[coverage],MATCH(M28,techniques[name],0))&gt;0,INDEX(techniques[coverage],MATCH(M28,techniques[name],0)),""),"")</f>
        <v/>
      </c>
      <c r="O28" s="63" t="n"/>
      <c r="P28" s="62">
        <f t="array" ref="P28">IF(O28&lt;&gt;"",IF(INDEX(techniques[coverage],MATCH(O28,techniques[name],0))&gt;0,INDEX(techniques[coverage],MATCH(O28,techniques[name],0)),""),"")</f>
        <v/>
      </c>
      <c r="Q28" s="63" t="n"/>
      <c r="R28" s="62">
        <f t="array" ref="R28">IF(Q28&lt;&gt;"",IF(INDEX(techniques[coverage],MATCH(Q28,techniques[name],0))&gt;0,INDEX(techniques[coverage],MATCH(Q28,techniques[name],0)),""),"")</f>
        <v/>
      </c>
      <c r="S28" s="63" t="inlineStr">
        <is>
          <t>System Location Discovery (T1614)</t>
        </is>
      </c>
      <c r="T28" s="62">
        <f t="array" ref="T28">IF(S28&lt;&gt;"",IF(INDEX(techniques[coverage],MATCH(S28,techniques[name],0))&gt;0,INDEX(techniques[coverage],MATCH(S28,techniques[name],0)),""),"")</f>
        <v/>
      </c>
      <c r="U28" s="63" t="n"/>
      <c r="V28" s="62">
        <f t="array" ref="V28">IF(U28&lt;&gt;"",IF(INDEX(techniques[coverage],MATCH(U28,techniques[name],0))&gt;0,INDEX(techniques[coverage],MATCH(U28,techniques[name],0)),""),"")</f>
        <v/>
      </c>
      <c r="W28" s="63" t="n"/>
      <c r="X28" s="62">
        <f t="array" ref="X28">IF(W28&lt;&gt;"",IF(INDEX(techniques[coverage],MATCH(W28,techniques[name],0))&gt;0,INDEX(techniques[coverage],MATCH(W28,techniques[name],0)),""),"")</f>
        <v/>
      </c>
      <c r="Y28" s="63" t="n"/>
      <c r="Z28" s="62">
        <f t="array" ref="Z28">IF(Y28&lt;&gt;"",IF(INDEX(techniques[coverage],MATCH(Y28,techniques[name],0))&gt;0,INDEX(techniques[coverage],MATCH(Y28,techniques[name],0)),""),"")</f>
        <v/>
      </c>
      <c r="AA28" s="63" t="n"/>
      <c r="AB28" s="62">
        <f t="array" ref="AB28">IF(AA28&lt;&gt;"",IF(INDEX(techniques[coverage],MATCH(AA28,techniques[name],0))&gt;0,INDEX(techniques[coverage],MATCH(AA28,techniques[name],0)),""),"")</f>
        <v/>
      </c>
      <c r="AC28" s="63" t="n"/>
      <c r="AD28" s="62">
        <f t="array" ref="AD28">IF(AC28&lt;&gt;"",IF(INDEX(techniques[coverage],MATCH(AC28,techniques[name],0))&gt;0,INDEX(techniques[coverage],MATCH(AC28,techniques[name],0)),""),"")</f>
        <v/>
      </c>
    </row>
    <row r="29" ht="33.75" customHeight="1">
      <c r="A29" s="63" t="n"/>
      <c r="B29" s="62">
        <f t="array" ref="B29">IF(A29&lt;&gt;"",IF(INDEX(techniques[coverage],MATCH(A29,techniques[name],0))&gt;0,INDEX(techniques[coverage],MATCH(A29,techniques[name],0)),""),"")</f>
        <v/>
      </c>
      <c r="C29" s="63" t="n"/>
      <c r="D29" s="62">
        <f t="array" ref="D29">IF(C29&lt;&gt;"",IF(INDEX(techniques[coverage],MATCH(C29,techniques[name],0))&gt;0,INDEX(techniques[coverage],MATCH(C29,techniques[name],0)),""),"")</f>
        <v/>
      </c>
      <c r="E29" s="63" t="n"/>
      <c r="F29" s="62">
        <f t="array" ref="F29">IF(E29&lt;&gt;"",IF(INDEX(techniques[coverage],MATCH(E29,techniques[name],0))&gt;0,INDEX(techniques[coverage],MATCH(E29,techniques[name],0)),""),"")</f>
        <v/>
      </c>
      <c r="G29" s="63" t="n"/>
      <c r="H29" s="62">
        <f t="array" ref="H29">IF(G29&lt;&gt;"",IF(INDEX(techniques[coverage],MATCH(G29,techniques[name],0))&gt;0,INDEX(techniques[coverage],MATCH(G29,techniques[name],0)),""),"")</f>
        <v/>
      </c>
      <c r="I29" s="63" t="n"/>
      <c r="J29" s="62">
        <f t="array" ref="J29">IF(I29&lt;&gt;"",IF(INDEX(techniques[coverage],MATCH(I29,techniques[name],0))&gt;0,INDEX(techniques[coverage],MATCH(I29,techniques[name],0)),""),"")</f>
        <v/>
      </c>
      <c r="K29" s="63" t="n"/>
      <c r="L29" s="62">
        <f t="array" ref="L29">IF(K29&lt;&gt;"",IF(INDEX(techniques[coverage],MATCH(K29,techniques[name],0))&gt;0,INDEX(techniques[coverage],MATCH(K29,techniques[name],0)),""),"")</f>
        <v/>
      </c>
      <c r="M29" s="63" t="inlineStr">
        <is>
          <t>Delay Execution (T1678)</t>
        </is>
      </c>
      <c r="N29" s="62">
        <f t="array" ref="N29">IF(M29&lt;&gt;"",IF(INDEX(techniques[coverage],MATCH(M29,techniques[name],0))&gt;0,INDEX(techniques[coverage],MATCH(M29,techniques[name],0)),""),"")</f>
        <v/>
      </c>
      <c r="O29" s="63" t="n"/>
      <c r="P29" s="62">
        <f t="array" ref="P29">IF(O29&lt;&gt;"",IF(INDEX(techniques[coverage],MATCH(O29,techniques[name],0))&gt;0,INDEX(techniques[coverage],MATCH(O29,techniques[name],0)),""),"")</f>
        <v/>
      </c>
      <c r="Q29" s="63" t="n"/>
      <c r="R29" s="62">
        <f t="array" ref="R29">IF(Q29&lt;&gt;"",IF(INDEX(techniques[coverage],MATCH(Q29,techniques[name],0))&gt;0,INDEX(techniques[coverage],MATCH(Q29,techniques[name],0)),""),"")</f>
        <v/>
      </c>
      <c r="S29" s="63" t="inlineStr">
        <is>
          <t>Group Policy Discovery (T1615)</t>
        </is>
      </c>
      <c r="T29" s="62">
        <f t="array" ref="T29">IF(S29&lt;&gt;"",IF(INDEX(techniques[coverage],MATCH(S29,techniques[name],0))&gt;0,INDEX(techniques[coverage],MATCH(S29,techniques[name],0)),""),"")</f>
        <v/>
      </c>
      <c r="U29" s="63" t="n"/>
      <c r="V29" s="62">
        <f t="array" ref="V29">IF(U29&lt;&gt;"",IF(INDEX(techniques[coverage],MATCH(U29,techniques[name],0))&gt;0,INDEX(techniques[coverage],MATCH(U29,techniques[name],0)),""),"")</f>
        <v/>
      </c>
      <c r="W29" s="63" t="n"/>
      <c r="X29" s="62">
        <f t="array" ref="X29">IF(W29&lt;&gt;"",IF(INDEX(techniques[coverage],MATCH(W29,techniques[name],0))&gt;0,INDEX(techniques[coverage],MATCH(W29,techniques[name],0)),""),"")</f>
        <v/>
      </c>
      <c r="Y29" s="63" t="n"/>
      <c r="Z29" s="62">
        <f t="array" ref="Z29">IF(Y29&lt;&gt;"",IF(INDEX(techniques[coverage],MATCH(Y29,techniques[name],0))&gt;0,INDEX(techniques[coverage],MATCH(Y29,techniques[name],0)),""),"")</f>
        <v/>
      </c>
      <c r="AA29" s="63" t="n"/>
      <c r="AB29" s="62">
        <f t="array" ref="AB29">IF(AA29&lt;&gt;"",IF(INDEX(techniques[coverage],MATCH(AA29,techniques[name],0))&gt;0,INDEX(techniques[coverage],MATCH(AA29,techniques[name],0)),""),"")</f>
        <v/>
      </c>
      <c r="AC29" s="63" t="n"/>
      <c r="AD29" s="62">
        <f t="array" ref="AD29">IF(AC29&lt;&gt;"",IF(INDEX(techniques[coverage],MATCH(AC29,techniques[name],0))&gt;0,INDEX(techniques[coverage],MATCH(AC29,techniques[name],0)),""),"")</f>
        <v/>
      </c>
    </row>
    <row r="30" ht="22.5" customHeight="1">
      <c r="A30" s="63" t="n"/>
      <c r="B30" s="62">
        <f t="array" ref="B30">IF(A30&lt;&gt;"",IF(INDEX(techniques[coverage],MATCH(A30,techniques[name],0))&gt;0,INDEX(techniques[coverage],MATCH(A30,techniques[name],0)),""),"")</f>
        <v/>
      </c>
      <c r="C30" s="63" t="n"/>
      <c r="D30" s="62">
        <f t="array" ref="D30">IF(C30&lt;&gt;"",IF(INDEX(techniques[coverage],MATCH(C30,techniques[name],0))&gt;0,INDEX(techniques[coverage],MATCH(C30,techniques[name],0)),""),"")</f>
        <v/>
      </c>
      <c r="E30" s="63" t="n"/>
      <c r="F30" s="62">
        <f t="array" ref="F30">IF(E30&lt;&gt;"",IF(INDEX(techniques[coverage],MATCH(E30,techniques[name],0))&gt;0,INDEX(techniques[coverage],MATCH(E30,techniques[name],0)),""),"")</f>
        <v/>
      </c>
      <c r="G30" s="63" t="n"/>
      <c r="H30" s="62">
        <f t="array" ref="H30">IF(G30&lt;&gt;"",IF(INDEX(techniques[coverage],MATCH(G30,techniques[name],0))&gt;0,INDEX(techniques[coverage],MATCH(G30,techniques[name],0)),""),"")</f>
        <v/>
      </c>
      <c r="I30" s="63" t="n"/>
      <c r="J30" s="62">
        <f t="array" ref="J30">IF(I30&lt;&gt;"",IF(INDEX(techniques[coverage],MATCH(I30,techniques[name],0))&gt;0,INDEX(techniques[coverage],MATCH(I30,techniques[name],0)),""),"")</f>
        <v/>
      </c>
      <c r="K30" s="63" t="n"/>
      <c r="L30" s="62">
        <f t="array" ref="L30">IF(K30&lt;&gt;"",IF(INDEX(techniques[coverage],MATCH(K30,techniques[name],0))&gt;0,INDEX(techniques[coverage],MATCH(K30,techniques[name],0)),""),"")</f>
        <v/>
      </c>
      <c r="M30" s="63" t="inlineStr">
        <is>
          <t>Selective Exclusion (T1679)</t>
        </is>
      </c>
      <c r="N30" s="62">
        <f t="array" ref="N30">IF(M30&lt;&gt;"",IF(INDEX(techniques[coverage],MATCH(M30,techniques[name],0))&gt;0,INDEX(techniques[coverage],MATCH(M30,techniques[name],0)),""),"")</f>
        <v/>
      </c>
      <c r="O30" s="63" t="n"/>
      <c r="P30" s="62">
        <f t="array" ref="P30">IF(O30&lt;&gt;"",IF(INDEX(techniques[coverage],MATCH(O30,techniques[name],0))&gt;0,INDEX(techniques[coverage],MATCH(O30,techniques[name],0)),""),"")</f>
        <v/>
      </c>
      <c r="Q30" s="63" t="n"/>
      <c r="R30" s="62">
        <f t="array" ref="R30">IF(Q30&lt;&gt;"",IF(INDEX(techniques[coverage],MATCH(Q30,techniques[name],0))&gt;0,INDEX(techniques[coverage],MATCH(Q30,techniques[name],0)),""),"")</f>
        <v/>
      </c>
      <c r="S30" s="63" t="inlineStr">
        <is>
          <t>Cloud Storage Object Discovery (T1619)</t>
        </is>
      </c>
      <c r="T30" s="62">
        <f t="array" ref="T30">IF(S30&lt;&gt;"",IF(INDEX(techniques[coverage],MATCH(S30,techniques[name],0))&gt;0,INDEX(techniques[coverage],MATCH(S30,techniques[name],0)),""),"")</f>
        <v/>
      </c>
      <c r="U30" s="63" t="n"/>
      <c r="V30" s="62">
        <f t="array" ref="V30">IF(U30&lt;&gt;"",IF(INDEX(techniques[coverage],MATCH(U30,techniques[name],0))&gt;0,INDEX(techniques[coverage],MATCH(U30,techniques[name],0)),""),"")</f>
        <v/>
      </c>
      <c r="W30" s="63" t="n"/>
      <c r="X30" s="62">
        <f t="array" ref="X30">IF(W30&lt;&gt;"",IF(INDEX(techniques[coverage],MATCH(W30,techniques[name],0))&gt;0,INDEX(techniques[coverage],MATCH(W30,techniques[name],0)),""),"")</f>
        <v/>
      </c>
      <c r="Y30" s="63" t="n"/>
      <c r="Z30" s="62">
        <f t="array" ref="Z30">IF(Y30&lt;&gt;"",IF(INDEX(techniques[coverage],MATCH(Y30,techniques[name],0))&gt;0,INDEX(techniques[coverage],MATCH(Y30,techniques[name],0)),""),"")</f>
        <v/>
      </c>
      <c r="AA30" s="63" t="n"/>
      <c r="AB30" s="62">
        <f t="array" ref="AB30">IF(AA30&lt;&gt;"",IF(INDEX(techniques[coverage],MATCH(AA30,techniques[name],0))&gt;0,INDEX(techniques[coverage],MATCH(AA30,techniques[name],0)),""),"")</f>
        <v/>
      </c>
      <c r="AC30" s="63" t="n"/>
      <c r="AD30" s="62">
        <f t="array" ref="AD30">IF(AC30&lt;&gt;"",IF(INDEX(techniques[coverage],MATCH(AC30,techniques[name],0))&gt;0,INDEX(techniques[coverage],MATCH(AC30,techniques[name],0)),""),"")</f>
        <v/>
      </c>
    </row>
    <row r="31" ht="22.5" customHeight="1">
      <c r="A31" s="47" t="n"/>
      <c r="B31" s="62">
        <f t="array" ref="B31">IF(A31&lt;&gt;"",IF(INDEX(techniques[coverage],MATCH(A31,techniques[name],0))&gt;0,INDEX(techniques[coverage],MATCH(A31,techniques[name],0)),""),"")</f>
        <v/>
      </c>
      <c r="C31" s="47" t="n"/>
      <c r="D31" s="62">
        <f t="array" ref="D31">IF(C31&lt;&gt;"",IF(INDEX(techniques[coverage],MATCH(C31,techniques[name],0))&gt;0,INDEX(techniques[coverage],MATCH(C31,techniques[name],0)),""),"")</f>
        <v/>
      </c>
      <c r="E31" s="47" t="n"/>
      <c r="F31" s="62">
        <f t="array" ref="F31">IF(E31&lt;&gt;"",IF(INDEX(techniques[coverage],MATCH(E31,techniques[name],0))&gt;0,INDEX(techniques[coverage],MATCH(E31,techniques[name],0)),""),"")</f>
        <v/>
      </c>
      <c r="G31" s="47" t="n"/>
      <c r="H31" s="62">
        <f t="array" ref="H31">IF(G31&lt;&gt;"",IF(INDEX(techniques[coverage],MATCH(G31,techniques[name],0))&gt;0,INDEX(techniques[coverage],MATCH(G31,techniques[name],0)),""),"")</f>
        <v/>
      </c>
      <c r="I31" s="47" t="n"/>
      <c r="J31" s="62">
        <f t="array" ref="J31">IF(I31&lt;&gt;"",IF(INDEX(techniques[coverage],MATCH(I31,techniques[name],0))&gt;0,INDEX(techniques[coverage],MATCH(I31,techniques[name],0)),""),"")</f>
        <v/>
      </c>
      <c r="K31" s="47" t="n"/>
      <c r="L31" s="62">
        <f t="array" ref="L31">IF(K31&lt;&gt;"",IF(INDEX(techniques[coverage],MATCH(K31,techniques[name],0))&gt;0,INDEX(techniques[coverage],MATCH(K31,techniques[name],0)),""),"")</f>
        <v/>
      </c>
      <c r="M31" s="47" t="inlineStr">
        <is>
          <t>Social Engineering (T1684)</t>
        </is>
      </c>
      <c r="N31" s="62">
        <f t="array" ref="N31">IF(M31&lt;&gt;"",IF(INDEX(techniques[coverage],MATCH(M31,techniques[name],0))&gt;0,INDEX(techniques[coverage],MATCH(M31,techniques[name],0)),""),"")</f>
        <v/>
      </c>
      <c r="O31" s="47" t="n"/>
      <c r="P31" s="62">
        <f t="array" ref="P31">IF(O31&lt;&gt;"",IF(INDEX(techniques[coverage],MATCH(O31,techniques[name],0))&gt;0,INDEX(techniques[coverage],MATCH(O31,techniques[name],0)),""),"")</f>
        <v/>
      </c>
      <c r="Q31" s="47" t="n"/>
      <c r="R31" s="62">
        <f t="array" ref="R31">IF(Q31&lt;&gt;"",IF(INDEX(techniques[coverage],MATCH(Q31,techniques[name],0))&gt;0,INDEX(techniques[coverage],MATCH(Q31,techniques[name],0)),""),"")</f>
        <v/>
      </c>
      <c r="S31" s="47" t="inlineStr">
        <is>
          <t>Debugger Evasion (T1622)</t>
        </is>
      </c>
      <c r="T31" s="62">
        <f t="array" ref="T31">IF(S31&lt;&gt;"",IF(INDEX(techniques[coverage],MATCH(S31,techniques[name],0))&gt;0,INDEX(techniques[coverage],MATCH(S31,techniques[name],0)),""),"")</f>
        <v/>
      </c>
      <c r="U31" s="47" t="n"/>
      <c r="V31" s="62">
        <f t="array" ref="V31">IF(U31&lt;&gt;"",IF(INDEX(techniques[coverage],MATCH(U31,techniques[name],0))&gt;0,INDEX(techniques[coverage],MATCH(U31,techniques[name],0)),""),"")</f>
        <v/>
      </c>
      <c r="W31" s="47" t="n"/>
      <c r="X31" s="62">
        <f t="array" ref="X31">IF(W31&lt;&gt;"",IF(INDEX(techniques[coverage],MATCH(W31,techniques[name],0))&gt;0,INDEX(techniques[coverage],MATCH(W31,techniques[name],0)),""),"")</f>
        <v/>
      </c>
      <c r="Y31" s="47" t="n"/>
      <c r="Z31" s="62">
        <f t="array" ref="Z31">IF(Y31&lt;&gt;"",IF(INDEX(techniques[coverage],MATCH(Y31,techniques[name],0))&gt;0,INDEX(techniques[coverage],MATCH(Y31,techniques[name],0)),""),"")</f>
        <v/>
      </c>
      <c r="AA31" s="47" t="n"/>
      <c r="AB31" s="62">
        <f t="array" ref="AB31">IF(AA31&lt;&gt;"",IF(INDEX(techniques[coverage],MATCH(AA31,techniques[name],0))&gt;0,INDEX(techniques[coverage],MATCH(AA31,techniques[name],0)),""),"")</f>
        <v/>
      </c>
      <c r="AC31" s="47" t="n"/>
      <c r="AD31" s="62">
        <f t="array" ref="AD31">IF(AC31&lt;&gt;"",IF(INDEX(techniques[coverage],MATCH(AC31,techniques[name],0))&gt;0,INDEX(techniques[coverage],MATCH(AC31,techniques[name],0)),""),"")</f>
        <v/>
      </c>
    </row>
    <row r="32">
      <c r="A32" s="47" t="n"/>
      <c r="B32" s="62">
        <f t="array" ref="B32">IF(A32&lt;&gt;"",IF(INDEX(techniques[coverage],MATCH(A32,techniques[name],0))&gt;0,INDEX(techniques[coverage],MATCH(A32,techniques[name],0)),""),"")</f>
        <v/>
      </c>
      <c r="C32" s="47" t="n"/>
      <c r="D32" s="62">
        <f t="array" ref="D32">IF(C32&lt;&gt;"",IF(INDEX(techniques[coverage],MATCH(C32,techniques[name],0))&gt;0,INDEX(techniques[coverage],MATCH(C32,techniques[name],0)),""),"")</f>
        <v/>
      </c>
      <c r="E32" s="47" t="n"/>
      <c r="F32" s="62">
        <f t="array" ref="F32">IF(E32&lt;&gt;"",IF(INDEX(techniques[coverage],MATCH(E32,techniques[name],0))&gt;0,INDEX(techniques[coverage],MATCH(E32,techniques[name],0)),""),"")</f>
        <v/>
      </c>
      <c r="G32" s="47" t="n"/>
      <c r="H32" s="62">
        <f t="array" ref="H32">IF(G32&lt;&gt;"",IF(INDEX(techniques[coverage],MATCH(G32,techniques[name],0))&gt;0,INDEX(techniques[coverage],MATCH(G32,techniques[name],0)),""),"")</f>
        <v/>
      </c>
      <c r="I32" s="47" t="n"/>
      <c r="J32" s="62">
        <f t="array" ref="J32">IF(I32&lt;&gt;"",IF(INDEX(techniques[coverage],MATCH(I32,techniques[name],0))&gt;0,INDEX(techniques[coverage],MATCH(I32,techniques[name],0)),""),"")</f>
        <v/>
      </c>
      <c r="K32" s="47" t="n"/>
      <c r="L32" s="62">
        <f t="array" ref="L32">IF(K32&lt;&gt;"",IF(INDEX(techniques[coverage],MATCH(K32,techniques[name],0))&gt;0,INDEX(techniques[coverage],MATCH(K32,techniques[name],0)),""),"")</f>
        <v/>
      </c>
      <c r="M32" s="47" t="n"/>
      <c r="N32" s="62">
        <f t="array" ref="N32">IF(M32&lt;&gt;"",IF(INDEX(techniques[coverage],MATCH(M32,techniques[name],0))&gt;0,INDEX(techniques[coverage],MATCH(M32,techniques[name],0)),""),"")</f>
        <v/>
      </c>
      <c r="O32" s="47" t="n"/>
      <c r="P32" s="62">
        <f t="array" ref="P32">IF(O32&lt;&gt;"",IF(INDEX(techniques[coverage],MATCH(O32,techniques[name],0))&gt;0,INDEX(techniques[coverage],MATCH(O32,techniques[name],0)),""),"")</f>
        <v/>
      </c>
      <c r="Q32" s="47" t="n"/>
      <c r="R32" s="62">
        <f t="array" ref="R32">IF(Q32&lt;&gt;"",IF(INDEX(techniques[coverage],MATCH(Q32,techniques[name],0))&gt;0,INDEX(techniques[coverage],MATCH(Q32,techniques[name],0)),""),"")</f>
        <v/>
      </c>
      <c r="S32" s="47" t="inlineStr">
        <is>
          <t>Device Driver Discovery (T1652)</t>
        </is>
      </c>
      <c r="T32" s="62">
        <f t="array" ref="T32">IF(S32&lt;&gt;"",IF(INDEX(techniques[coverage],MATCH(S32,techniques[name],0))&gt;0,INDEX(techniques[coverage],MATCH(S32,techniques[name],0)),""),"")</f>
        <v/>
      </c>
      <c r="U32" s="47" t="n"/>
      <c r="V32" s="62">
        <f t="array" ref="V32">IF(U32&lt;&gt;"",IF(INDEX(techniques[coverage],MATCH(U32,techniques[name],0))&gt;0,INDEX(techniques[coverage],MATCH(U32,techniques[name],0)),""),"")</f>
        <v/>
      </c>
      <c r="W32" s="47" t="n"/>
      <c r="X32" s="62">
        <f t="array" ref="X32">IF(W32&lt;&gt;"",IF(INDEX(techniques[coverage],MATCH(W32,techniques[name],0))&gt;0,INDEX(techniques[coverage],MATCH(W32,techniques[name],0)),""),"")</f>
        <v/>
      </c>
      <c r="Y32" s="47" t="n"/>
      <c r="Z32" s="62">
        <f t="array" ref="Z32">IF(Y32&lt;&gt;"",IF(INDEX(techniques[coverage],MATCH(Y32,techniques[name],0))&gt;0,INDEX(techniques[coverage],MATCH(Y32,techniques[name],0)),""),"")</f>
        <v/>
      </c>
      <c r="AA32" s="47" t="n"/>
      <c r="AB32" s="62">
        <f t="array" ref="AB32">IF(AA32&lt;&gt;"",IF(INDEX(techniques[coverage],MATCH(AA32,techniques[name],0))&gt;0,INDEX(techniques[coverage],MATCH(AA32,techniques[name],0)),""),"")</f>
        <v/>
      </c>
      <c r="AC32" s="47" t="n"/>
      <c r="AD32" s="62">
        <f t="array" ref="AD32">IF(AC32&lt;&gt;"",IF(INDEX(techniques[coverage],MATCH(AC32,techniques[name],0))&gt;0,INDEX(techniques[coverage],MATCH(AC32,techniques[name],0)),""),"")</f>
        <v/>
      </c>
    </row>
    <row r="33">
      <c r="A33" s="47" t="n"/>
      <c r="B33" s="62">
        <f t="array" ref="B33">IF(A33&lt;&gt;"",IF(INDEX(techniques[coverage],MATCH(A33,techniques[name],0))&gt;0,INDEX(techniques[coverage],MATCH(A33,techniques[name],0)),""),"")</f>
        <v/>
      </c>
      <c r="C33" s="47" t="n"/>
      <c r="D33" s="62">
        <f t="array" ref="D33">IF(C33&lt;&gt;"",IF(INDEX(techniques[coverage],MATCH(C33,techniques[name],0))&gt;0,INDEX(techniques[coverage],MATCH(C33,techniques[name],0)),""),"")</f>
        <v/>
      </c>
      <c r="E33" s="47" t="n"/>
      <c r="F33" s="62">
        <f t="array" ref="F33">IF(E33&lt;&gt;"",IF(INDEX(techniques[coverage],MATCH(E33,techniques[name],0))&gt;0,INDEX(techniques[coverage],MATCH(E33,techniques[name],0)),""),"")</f>
        <v/>
      </c>
      <c r="G33" s="47" t="n"/>
      <c r="H33" s="62">
        <f t="array" ref="H33">IF(G33&lt;&gt;"",IF(INDEX(techniques[coverage],MATCH(G33,techniques[name],0))&gt;0,INDEX(techniques[coverage],MATCH(G33,techniques[name],0)),""),"")</f>
        <v/>
      </c>
      <c r="I33" s="47" t="n"/>
      <c r="J33" s="62">
        <f t="array" ref="J33">IF(I33&lt;&gt;"",IF(INDEX(techniques[coverage],MATCH(I33,techniques[name],0))&gt;0,INDEX(techniques[coverage],MATCH(I33,techniques[name],0)),""),"")</f>
        <v/>
      </c>
      <c r="K33" s="47" t="n"/>
      <c r="L33" s="62">
        <f t="array" ref="L33">IF(K33&lt;&gt;"",IF(INDEX(techniques[coverage],MATCH(K33,techniques[name],0))&gt;0,INDEX(techniques[coverage],MATCH(K33,techniques[name],0)),""),"")</f>
        <v/>
      </c>
      <c r="M33" s="47" t="n"/>
      <c r="N33" s="62">
        <f t="array" ref="N33">IF(M33&lt;&gt;"",IF(INDEX(techniques[coverage],MATCH(M33,techniques[name],0))&gt;0,INDEX(techniques[coverage],MATCH(M33,techniques[name],0)),""),"")</f>
        <v/>
      </c>
      <c r="O33" s="47" t="n"/>
      <c r="P33" s="62">
        <f t="array" ref="P33">IF(O33&lt;&gt;"",IF(INDEX(techniques[coverage],MATCH(O33,techniques[name],0))&gt;0,INDEX(techniques[coverage],MATCH(O33,techniques[name],0)),""),"")</f>
        <v/>
      </c>
      <c r="Q33" s="47" t="n"/>
      <c r="R33" s="62">
        <f t="array" ref="R33">IF(Q33&lt;&gt;"",IF(INDEX(techniques[coverage],MATCH(Q33,techniques[name],0))&gt;0,INDEX(techniques[coverage],MATCH(Q33,techniques[name],0)),""),"")</f>
        <v/>
      </c>
      <c r="S33" s="47" t="inlineStr">
        <is>
          <t>Log Enumeration (T1654)</t>
        </is>
      </c>
      <c r="T33" s="62">
        <f t="array" ref="T33">IF(S33&lt;&gt;"",IF(INDEX(techniques[coverage],MATCH(S33,techniques[name],0))&gt;0,INDEX(techniques[coverage],MATCH(S33,techniques[name],0)),""),"")</f>
        <v/>
      </c>
      <c r="U33" s="47" t="n"/>
      <c r="V33" s="62">
        <f t="array" ref="V33">IF(U33&lt;&gt;"",IF(INDEX(techniques[coverage],MATCH(U33,techniques[name],0))&gt;0,INDEX(techniques[coverage],MATCH(U33,techniques[name],0)),""),"")</f>
        <v/>
      </c>
      <c r="W33" s="47" t="n"/>
      <c r="X33" s="62">
        <f t="array" ref="X33">IF(W33&lt;&gt;"",IF(INDEX(techniques[coverage],MATCH(W33,techniques[name],0))&gt;0,INDEX(techniques[coverage],MATCH(W33,techniques[name],0)),""),"")</f>
        <v/>
      </c>
      <c r="Y33" s="47" t="n"/>
      <c r="Z33" s="62">
        <f t="array" ref="Z33">IF(Y33&lt;&gt;"",IF(INDEX(techniques[coverage],MATCH(Y33,techniques[name],0))&gt;0,INDEX(techniques[coverage],MATCH(Y33,techniques[name],0)),""),"")</f>
        <v/>
      </c>
      <c r="AA33" s="47" t="n"/>
      <c r="AB33" s="62">
        <f t="array" ref="AB33">IF(AA33&lt;&gt;"",IF(INDEX(techniques[coverage],MATCH(AA33,techniques[name],0))&gt;0,INDEX(techniques[coverage],MATCH(AA33,techniques[name],0)),""),"")</f>
        <v/>
      </c>
      <c r="AC33" s="47" t="n"/>
      <c r="AD33" s="62">
        <f t="array" ref="AD33">IF(AC33&lt;&gt;"",IF(INDEX(techniques[coverage],MATCH(AC33,techniques[name],0))&gt;0,INDEX(techniques[coverage],MATCH(AC33,techniques[name],0)),""),"")</f>
        <v/>
      </c>
    </row>
    <row r="34" ht="22.5" customHeight="1">
      <c r="A34" s="47" t="n"/>
      <c r="B34" s="62">
        <f t="array" ref="B34">IF(A34&lt;&gt;"",IF(INDEX(techniques[coverage],MATCH(A34,techniques[name],0))&gt;0,INDEX(techniques[coverage],MATCH(A34,techniques[name],0)),""),"")</f>
        <v/>
      </c>
      <c r="C34" s="47" t="n"/>
      <c r="D34" s="62">
        <f t="array" ref="D34">IF(C34&lt;&gt;"",IF(INDEX(techniques[coverage],MATCH(C34,techniques[name],0))&gt;0,INDEX(techniques[coverage],MATCH(C34,techniques[name],0)),""),"")</f>
        <v/>
      </c>
      <c r="E34" s="47" t="n"/>
      <c r="F34" s="62">
        <f t="array" ref="F34">IF(E34&lt;&gt;"",IF(INDEX(techniques[coverage],MATCH(E34,techniques[name],0))&gt;0,INDEX(techniques[coverage],MATCH(E34,techniques[name],0)),""),"")</f>
        <v/>
      </c>
      <c r="G34" s="47" t="n"/>
      <c r="H34" s="62">
        <f t="array" ref="H34">IF(G34&lt;&gt;"",IF(INDEX(techniques[coverage],MATCH(G34,techniques[name],0))&gt;0,INDEX(techniques[coverage],MATCH(G34,techniques[name],0)),""),"")</f>
        <v/>
      </c>
      <c r="I34" s="47" t="n"/>
      <c r="J34" s="62">
        <f t="array" ref="J34">IF(I34&lt;&gt;"",IF(INDEX(techniques[coverage],MATCH(I34,techniques[name],0))&gt;0,INDEX(techniques[coverage],MATCH(I34,techniques[name],0)),""),"")</f>
        <v/>
      </c>
      <c r="K34" s="47" t="n"/>
      <c r="L34" s="62">
        <f t="array" ref="L34">IF(K34&lt;&gt;"",IF(INDEX(techniques[coverage],MATCH(K34,techniques[name],0))&gt;0,INDEX(techniques[coverage],MATCH(K34,techniques[name],0)),""),"")</f>
        <v/>
      </c>
      <c r="M34" s="47" t="n"/>
      <c r="N34" s="62">
        <f t="array" ref="N34">IF(M34&lt;&gt;"",IF(INDEX(techniques[coverage],MATCH(M34,techniques[name],0))&gt;0,INDEX(techniques[coverage],MATCH(M34,techniques[name],0)),""),"")</f>
        <v/>
      </c>
      <c r="O34" s="47" t="n"/>
      <c r="P34" s="62">
        <f t="array" ref="P34">IF(O34&lt;&gt;"",IF(INDEX(techniques[coverage],MATCH(O34,techniques[name],0))&gt;0,INDEX(techniques[coverage],MATCH(O34,techniques[name],0)),""),"")</f>
        <v/>
      </c>
      <c r="Q34" s="47" t="n"/>
      <c r="R34" s="62">
        <f t="array" ref="R34">IF(Q34&lt;&gt;"",IF(INDEX(techniques[coverage],MATCH(Q34,techniques[name],0))&gt;0,INDEX(techniques[coverage],MATCH(Q34,techniques[name],0)),""),"")</f>
        <v/>
      </c>
      <c r="S34" s="47" t="inlineStr">
        <is>
          <t>Virtual Machine Discovery (T1673)</t>
        </is>
      </c>
      <c r="T34" s="62">
        <f t="array" ref="T34">IF(S34&lt;&gt;"",IF(INDEX(techniques[coverage],MATCH(S34,techniques[name],0))&gt;0,INDEX(techniques[coverage],MATCH(S34,techniques[name],0)),""),"")</f>
        <v/>
      </c>
      <c r="U34" s="47" t="n"/>
      <c r="V34" s="62">
        <f t="array" ref="V34">IF(U34&lt;&gt;"",IF(INDEX(techniques[coverage],MATCH(U34,techniques[name],0))&gt;0,INDEX(techniques[coverage],MATCH(U34,techniques[name],0)),""),"")</f>
        <v/>
      </c>
      <c r="W34" s="47" t="n"/>
      <c r="X34" s="62">
        <f t="array" ref="X34">IF(W34&lt;&gt;"",IF(INDEX(techniques[coverage],MATCH(W34,techniques[name],0))&gt;0,INDEX(techniques[coverage],MATCH(W34,techniques[name],0)),""),"")</f>
        <v/>
      </c>
      <c r="Y34" s="47" t="n"/>
      <c r="Z34" s="62">
        <f t="array" ref="Z34">IF(Y34&lt;&gt;"",IF(INDEX(techniques[coverage],MATCH(Y34,techniques[name],0))&gt;0,INDEX(techniques[coverage],MATCH(Y34,techniques[name],0)),""),"")</f>
        <v/>
      </c>
      <c r="AA34" s="47" t="n"/>
      <c r="AB34" s="62">
        <f t="array" ref="AB34">IF(AA34&lt;&gt;"",IF(INDEX(techniques[coverage],MATCH(AA34,techniques[name],0))&gt;0,INDEX(techniques[coverage],MATCH(AA34,techniques[name],0)),""),"")</f>
        <v/>
      </c>
      <c r="AC34" s="47" t="n"/>
      <c r="AD34" s="62">
        <f t="array" ref="AD34">IF(AC34&lt;&gt;"",IF(INDEX(techniques[coverage],MATCH(AC34,techniques[name],0))&gt;0,INDEX(techniques[coverage],MATCH(AC34,techniques[name],0)),""),"")</f>
        <v/>
      </c>
    </row>
    <row r="35" ht="22.5" customHeight="1">
      <c r="A35" s="47" t="n"/>
      <c r="B35" s="62">
        <f t="array" ref="B35">IF(A35&lt;&gt;"",IF(INDEX(techniques[coverage],MATCH(A35,techniques[name],0))&gt;0,INDEX(techniques[coverage],MATCH(A35,techniques[name],0)),""),"")</f>
        <v/>
      </c>
      <c r="C35" s="47" t="n"/>
      <c r="D35" s="62">
        <f t="array" ref="D35">IF(C35&lt;&gt;"",IF(INDEX(techniques[coverage],MATCH(C35,techniques[name],0))&gt;0,INDEX(techniques[coverage],MATCH(C35,techniques[name],0)),""),"")</f>
        <v/>
      </c>
      <c r="E35" s="47" t="n"/>
      <c r="F35" s="62">
        <f t="array" ref="F35">IF(E35&lt;&gt;"",IF(INDEX(techniques[coverage],MATCH(E35,techniques[name],0))&gt;0,INDEX(techniques[coverage],MATCH(E35,techniques[name],0)),""),"")</f>
        <v/>
      </c>
      <c r="G35" s="47" t="n"/>
      <c r="H35" s="62">
        <f t="array" ref="H35">IF(G35&lt;&gt;"",IF(INDEX(techniques[coverage],MATCH(G35,techniques[name],0))&gt;0,INDEX(techniques[coverage],MATCH(G35,techniques[name],0)),""),"")</f>
        <v/>
      </c>
      <c r="I35" s="47" t="n"/>
      <c r="J35" s="62">
        <f t="array" ref="J35">IF(I35&lt;&gt;"",IF(INDEX(techniques[coverage],MATCH(I35,techniques[name],0))&gt;0,INDEX(techniques[coverage],MATCH(I35,techniques[name],0)),""),"")</f>
        <v/>
      </c>
      <c r="K35" s="47" t="n"/>
      <c r="L35" s="62">
        <f t="array" ref="L35">IF(K35&lt;&gt;"",IF(INDEX(techniques[coverage],MATCH(K35,techniques[name],0))&gt;0,INDEX(techniques[coverage],MATCH(K35,techniques[name],0)),""),"")</f>
        <v/>
      </c>
      <c r="M35" s="47" t="n"/>
      <c r="N35" s="62">
        <f t="array" ref="N35">IF(M35&lt;&gt;"",IF(INDEX(techniques[coverage],MATCH(M35,techniques[name],0))&gt;0,INDEX(techniques[coverage],MATCH(M35,techniques[name],0)),""),"")</f>
        <v/>
      </c>
      <c r="O35" s="47" t="n"/>
      <c r="P35" s="62">
        <f t="array" ref="P35">IF(O35&lt;&gt;"",IF(INDEX(techniques[coverage],MATCH(O35,techniques[name],0))&gt;0,INDEX(techniques[coverage],MATCH(O35,techniques[name],0)),""),"")</f>
        <v/>
      </c>
      <c r="Q35" s="47" t="n"/>
      <c r="R35" s="62">
        <f t="array" ref="R35">IF(Q35&lt;&gt;"",IF(INDEX(techniques[coverage],MATCH(Q35,techniques[name],0))&gt;0,INDEX(techniques[coverage],MATCH(Q35,techniques[name],0)),""),"")</f>
        <v/>
      </c>
      <c r="S35" s="47" t="inlineStr">
        <is>
          <t>Local Storage Discovery (T1680)</t>
        </is>
      </c>
      <c r="T35" s="62">
        <f t="array" ref="T35">IF(S35&lt;&gt;"",IF(INDEX(techniques[coverage],MATCH(S35,techniques[name],0))&gt;0,INDEX(techniques[coverage],MATCH(S35,techniques[name],0)),""),"")</f>
        <v/>
      </c>
      <c r="U35" s="47" t="n"/>
      <c r="V35" s="62">
        <f t="array" ref="V35">IF(U35&lt;&gt;"",IF(INDEX(techniques[coverage],MATCH(U35,techniques[name],0))&gt;0,INDEX(techniques[coverage],MATCH(U35,techniques[name],0)),""),"")</f>
        <v/>
      </c>
      <c r="W35" s="47" t="n"/>
      <c r="X35" s="62">
        <f t="array" ref="X35">IF(W35&lt;&gt;"",IF(INDEX(techniques[coverage],MATCH(W35,techniques[name],0))&gt;0,INDEX(techniques[coverage],MATCH(W35,techniques[name],0)),""),"")</f>
        <v/>
      </c>
      <c r="Y35" s="47" t="n"/>
      <c r="Z35" s="62">
        <f t="array" ref="Z35">IF(Y35&lt;&gt;"",IF(INDEX(techniques[coverage],MATCH(Y35,techniques[name],0))&gt;0,INDEX(techniques[coverage],MATCH(Y35,techniques[name],0)),""),"")</f>
        <v/>
      </c>
      <c r="AA35" s="47" t="n"/>
      <c r="AB35" s="62">
        <f t="array" ref="AB35">IF(AA35&lt;&gt;"",IF(INDEX(techniques[coverage],MATCH(AA35,techniques[name],0))&gt;0,INDEX(techniques[coverage],MATCH(AA35,techniques[name],0)),""),"")</f>
        <v/>
      </c>
      <c r="AC35" s="47" t="n"/>
      <c r="AD35" s="62">
        <f t="array" ref="AD35">IF(AC35&lt;&gt;"",IF(INDEX(techniques[coverage],MATCH(AC35,techniques[name],0))&gt;0,INDEX(techniques[coverage],MATCH(AC35,techniques[name],0)),""),"")</f>
        <v/>
      </c>
    </row>
    <row r="36" ht="22.5" customHeight="1">
      <c r="A36" s="47" t="n"/>
      <c r="B36" s="62">
        <f t="array" ref="B36">IF(A36&lt;&gt;"",IF(INDEX(techniques[coverage],MATCH(A36,techniques[name],0))&gt;0,INDEX(techniques[coverage],MATCH(A36,techniques[name],0)),""),"")</f>
        <v/>
      </c>
      <c r="C36" s="47" t="n"/>
      <c r="D36" s="62">
        <f t="array" ref="D36">IF(C36&lt;&gt;"",IF(INDEX(techniques[coverage],MATCH(C36,techniques[name],0))&gt;0,INDEX(techniques[coverage],MATCH(C36,techniques[name],0)),""),"")</f>
        <v/>
      </c>
      <c r="E36" s="47" t="n"/>
      <c r="F36" s="62">
        <f t="array" ref="F36">IF(E36&lt;&gt;"",IF(INDEX(techniques[coverage],MATCH(E36,techniques[name],0))&gt;0,INDEX(techniques[coverage],MATCH(E36,techniques[name],0)),""),"")</f>
        <v/>
      </c>
      <c r="G36" s="47" t="n"/>
      <c r="H36" s="62">
        <f t="array" ref="H36">IF(G36&lt;&gt;"",IF(INDEX(techniques[coverage],MATCH(G36,techniques[name],0))&gt;0,INDEX(techniques[coverage],MATCH(G36,techniques[name],0)),""),"")</f>
        <v/>
      </c>
      <c r="I36" s="47" t="n"/>
      <c r="J36" s="62">
        <f t="array" ref="J36">IF(I36&lt;&gt;"",IF(INDEX(techniques[coverage],MATCH(I36,techniques[name],0))&gt;0,INDEX(techniques[coverage],MATCH(I36,techniques[name],0)),""),"")</f>
        <v/>
      </c>
      <c r="K36" s="47" t="n"/>
      <c r="L36" s="62">
        <f t="array" ref="L36">IF(K36&lt;&gt;"",IF(INDEX(techniques[coverage],MATCH(K36,techniques[name],0))&gt;0,INDEX(techniques[coverage],MATCH(K36,techniques[name],0)),""),"")</f>
        <v/>
      </c>
      <c r="M36" s="47" t="n"/>
      <c r="N36" s="62">
        <f t="array" ref="N36">IF(M36&lt;&gt;"",IF(INDEX(techniques[coverage],MATCH(M36,techniques[name],0))&gt;0,INDEX(techniques[coverage],MATCH(M36,techniques[name],0)),""),"")</f>
        <v/>
      </c>
      <c r="O36" s="47" t="n"/>
      <c r="P36" s="62">
        <f t="array" ref="P36">IF(O36&lt;&gt;"",IF(INDEX(techniques[coverage],MATCH(O36,techniques[name],0))&gt;0,INDEX(techniques[coverage],MATCH(O36,techniques[name],0)),""),"")</f>
        <v/>
      </c>
      <c r="Q36" s="47" t="n"/>
      <c r="R36" s="62">
        <f t="array" ref="R36">IF(Q36&lt;&gt;"",IF(INDEX(techniques[coverage],MATCH(Q36,techniques[name],0))&gt;0,INDEX(techniques[coverage],MATCH(Q36,techniques[name],0)),""),"")</f>
        <v/>
      </c>
      <c r="S36" s="47" t="n"/>
      <c r="T36" s="62">
        <f t="array" ref="T36">IF(S36&lt;&gt;"",IF(INDEX(techniques[coverage],MATCH(S36,techniques[name],0))&gt;0,INDEX(techniques[coverage],MATCH(S36,techniques[name],0)),""),"")</f>
        <v/>
      </c>
      <c r="U36" s="47" t="n"/>
      <c r="V36" s="62">
        <f t="array" ref="V36">IF(U36&lt;&gt;"",IF(INDEX(techniques[coverage],MATCH(U36,techniques[name],0))&gt;0,INDEX(techniques[coverage],MATCH(U36,techniques[name],0)),""),"")</f>
        <v/>
      </c>
      <c r="W36" s="47" t="n"/>
      <c r="X36" s="62">
        <f t="array" ref="X36">IF(W36&lt;&gt;"",IF(INDEX(techniques[coverage],MATCH(W36,techniques[name],0))&gt;0,INDEX(techniques[coverage],MATCH(W36,techniques[name],0)),""),"")</f>
        <v/>
      </c>
      <c r="Y36" s="47" t="n"/>
      <c r="Z36" s="62">
        <f t="array" ref="Z36">IF(Y36&lt;&gt;"",IF(INDEX(techniques[coverage],MATCH(Y36,techniques[name],0))&gt;0,INDEX(techniques[coverage],MATCH(Y36,techniques[name],0)),""),"")</f>
        <v/>
      </c>
      <c r="AA36" s="47" t="n"/>
      <c r="AB36" s="62">
        <f t="array" ref="AB36">IF(AA36&lt;&gt;"",IF(INDEX(techniques[coverage],MATCH(AA36,techniques[name],0))&gt;0,INDEX(techniques[coverage],MATCH(AA36,techniques[name],0)),""),"")</f>
        <v/>
      </c>
      <c r="AC36" s="47" t="n"/>
      <c r="AD36" s="62">
        <f t="array" ref="AD36">IF(AC36&lt;&gt;"",IF(INDEX(techniques[coverage],MATCH(AC36,techniques[name],0))&gt;0,INDEX(techniques[coverage],MATCH(AC36,techniques[name],0)),""),"")</f>
        <v/>
      </c>
    </row>
    <row r="37">
      <c r="A37" s="47" t="n"/>
      <c r="B37" s="62">
        <f t="array" ref="B37">IF(A37&lt;&gt;"",IF(INDEX(techniques[coverage],MATCH(A37,techniques[name],0))&gt;0,INDEX(techniques[coverage],MATCH(A37,techniques[name],0)),""),"")</f>
        <v/>
      </c>
      <c r="C37" s="47" t="n"/>
      <c r="D37" s="62">
        <f t="array" ref="D37">IF(C37&lt;&gt;"",IF(INDEX(techniques[coverage],MATCH(C37,techniques[name],0))&gt;0,INDEX(techniques[coverage],MATCH(C37,techniques[name],0)),""),"")</f>
        <v/>
      </c>
      <c r="E37" s="47" t="n"/>
      <c r="F37" s="62">
        <f t="array" ref="F37">IF(E37&lt;&gt;"",IF(INDEX(techniques[coverage],MATCH(E37,techniques[name],0))&gt;0,INDEX(techniques[coverage],MATCH(E37,techniques[name],0)),""),"")</f>
        <v/>
      </c>
      <c r="G37" s="47" t="n"/>
      <c r="H37" s="62">
        <f t="array" ref="H37">IF(G37&lt;&gt;"",IF(INDEX(techniques[coverage],MATCH(G37,techniques[name],0))&gt;0,INDEX(techniques[coverage],MATCH(G37,techniques[name],0)),""),"")</f>
        <v/>
      </c>
      <c r="I37" s="47" t="n"/>
      <c r="J37" s="62">
        <f t="array" ref="J37">IF(I37&lt;&gt;"",IF(INDEX(techniques[coverage],MATCH(I37,techniques[name],0))&gt;0,INDEX(techniques[coverage],MATCH(I37,techniques[name],0)),""),"")</f>
        <v/>
      </c>
      <c r="K37" s="47" t="n"/>
      <c r="L37" s="62">
        <f t="array" ref="L37">IF(K37&lt;&gt;"",IF(INDEX(techniques[coverage],MATCH(K37,techniques[name],0))&gt;0,INDEX(techniques[coverage],MATCH(K37,techniques[name],0)),""),"")</f>
        <v/>
      </c>
      <c r="M37" s="47" t="n"/>
      <c r="N37" s="62">
        <f t="array" ref="N37">IF(M37&lt;&gt;"",IF(INDEX(techniques[coverage],MATCH(M37,techniques[name],0))&gt;0,INDEX(techniques[coverage],MATCH(M37,techniques[name],0)),""),"")</f>
        <v/>
      </c>
      <c r="O37" s="47" t="n"/>
      <c r="P37" s="62">
        <f t="array" ref="P37">IF(O37&lt;&gt;"",IF(INDEX(techniques[coverage],MATCH(O37,techniques[name],0))&gt;0,INDEX(techniques[coverage],MATCH(O37,techniques[name],0)),""),"")</f>
        <v/>
      </c>
      <c r="Q37" s="47" t="n"/>
      <c r="R37" s="62">
        <f t="array" ref="R37">IF(Q37&lt;&gt;"",IF(INDEX(techniques[coverage],MATCH(Q37,techniques[name],0))&gt;0,INDEX(techniques[coverage],MATCH(Q37,techniques[name],0)),""),"")</f>
        <v/>
      </c>
      <c r="S37" s="47" t="n"/>
      <c r="T37" s="62">
        <f t="array" ref="T37">IF(S37&lt;&gt;"",IF(INDEX(techniques[coverage],MATCH(S37,techniques[name],0))&gt;0,INDEX(techniques[coverage],MATCH(S37,techniques[name],0)),""),"")</f>
        <v/>
      </c>
      <c r="U37" s="47" t="n"/>
      <c r="V37" s="62">
        <f t="array" ref="V37">IF(U37&lt;&gt;"",IF(INDEX(techniques[coverage],MATCH(U37,techniques[name],0))&gt;0,INDEX(techniques[coverage],MATCH(U37,techniques[name],0)),""),"")</f>
        <v/>
      </c>
      <c r="W37" s="47" t="n"/>
      <c r="X37" s="62">
        <f t="array" ref="X37">IF(W37&lt;&gt;"",IF(INDEX(techniques[coverage],MATCH(W37,techniques[name],0))&gt;0,INDEX(techniques[coverage],MATCH(W37,techniques[name],0)),""),"")</f>
        <v/>
      </c>
      <c r="Y37" s="47" t="n"/>
      <c r="Z37" s="62">
        <f t="array" ref="Z37">IF(Y37&lt;&gt;"",IF(INDEX(techniques[coverage],MATCH(Y37,techniques[name],0))&gt;0,INDEX(techniques[coverage],MATCH(Y37,techniques[name],0)),""),"")</f>
        <v/>
      </c>
      <c r="AA37" s="47" t="n"/>
      <c r="AB37" s="62">
        <f t="array" ref="AB37">IF(AA37&lt;&gt;"",IF(INDEX(techniques[coverage],MATCH(AA37,techniques[name],0))&gt;0,INDEX(techniques[coverage],MATCH(AA37,techniques[name],0)),""),"")</f>
        <v/>
      </c>
      <c r="AC37" s="47" t="n"/>
      <c r="AD37" s="62">
        <f t="array" ref="AD37">IF(AC37&lt;&gt;"",IF(INDEX(techniques[coverage],MATCH(AC37,techniques[name],0))&gt;0,INDEX(techniques[coverage],MATCH(AC37,techniques[name],0)),""),"")</f>
        <v/>
      </c>
    </row>
    <row r="38" ht="22.5" customHeight="1">
      <c r="A38" s="47" t="n"/>
      <c r="B38" s="62">
        <f t="array" ref="B38">IF(A38&lt;&gt;"",IF(INDEX(techniques[coverage],MATCH(A38,techniques[name],0))&gt;0,INDEX(techniques[coverage],MATCH(A38,techniques[name],0)),""),"")</f>
        <v/>
      </c>
      <c r="C38" s="47" t="n"/>
      <c r="D38" s="62">
        <f t="array" ref="D38">IF(C38&lt;&gt;"",IF(INDEX(techniques[coverage],MATCH(C38,techniques[name],0))&gt;0,INDEX(techniques[coverage],MATCH(C38,techniques[name],0)),""),"")</f>
        <v/>
      </c>
      <c r="E38" s="47" t="n"/>
      <c r="F38" s="62">
        <f t="array" ref="F38">IF(E38&lt;&gt;"",IF(INDEX(techniques[coverage],MATCH(E38,techniques[name],0))&gt;0,INDEX(techniques[coverage],MATCH(E38,techniques[name],0)),""),"")</f>
        <v/>
      </c>
      <c r="G38" s="47" t="n"/>
      <c r="H38" s="62">
        <f t="array" ref="H38">IF(G38&lt;&gt;"",IF(INDEX(techniques[coverage],MATCH(G38,techniques[name],0))&gt;0,INDEX(techniques[coverage],MATCH(G38,techniques[name],0)),""),"")</f>
        <v/>
      </c>
      <c r="I38" s="47" t="n"/>
      <c r="J38" s="62">
        <f t="array" ref="J38">IF(I38&lt;&gt;"",IF(INDEX(techniques[coverage],MATCH(I38,techniques[name],0))&gt;0,INDEX(techniques[coverage],MATCH(I38,techniques[name],0)),""),"")</f>
        <v/>
      </c>
      <c r="K38" s="47" t="n"/>
      <c r="L38" s="62">
        <f t="array" ref="L38">IF(K38&lt;&gt;"",IF(INDEX(techniques[coverage],MATCH(K38,techniques[name],0))&gt;0,INDEX(techniques[coverage],MATCH(K38,techniques[name],0)),""),"")</f>
        <v/>
      </c>
      <c r="M38" s="47" t="n"/>
      <c r="N38" s="62">
        <f t="array" ref="N38">IF(M38&lt;&gt;"",IF(INDEX(techniques[coverage],MATCH(M38,techniques[name],0))&gt;0,INDEX(techniques[coverage],MATCH(M38,techniques[name],0)),""),"")</f>
        <v/>
      </c>
      <c r="O38" s="47" t="n"/>
      <c r="P38" s="62">
        <f t="array" ref="P38">IF(O38&lt;&gt;"",IF(INDEX(techniques[coverage],MATCH(O38,techniques[name],0))&gt;0,INDEX(techniques[coverage],MATCH(O38,techniques[name],0)),""),"")</f>
        <v/>
      </c>
      <c r="Q38" s="47" t="n"/>
      <c r="R38" s="62">
        <f t="array" ref="R38">IF(Q38&lt;&gt;"",IF(INDEX(techniques[coverage],MATCH(Q38,techniques[name],0))&gt;0,INDEX(techniques[coverage],MATCH(Q38,techniques[name],0)),""),"")</f>
        <v/>
      </c>
      <c r="S38" s="47" t="n"/>
      <c r="T38" s="62">
        <f t="array" ref="T38">IF(S38&lt;&gt;"",IF(INDEX(techniques[coverage],MATCH(S38,techniques[name],0))&gt;0,INDEX(techniques[coverage],MATCH(S38,techniques[name],0)),""),"")</f>
        <v/>
      </c>
      <c r="U38" s="47" t="n"/>
      <c r="V38" s="62">
        <f t="array" ref="V38">IF(U38&lt;&gt;"",IF(INDEX(techniques[coverage],MATCH(U38,techniques[name],0))&gt;0,INDEX(techniques[coverage],MATCH(U38,techniques[name],0)),""),"")</f>
        <v/>
      </c>
      <c r="W38" s="47" t="n"/>
      <c r="X38" s="62">
        <f t="array" ref="X38">IF(W38&lt;&gt;"",IF(INDEX(techniques[coverage],MATCH(W38,techniques[name],0))&gt;0,INDEX(techniques[coverage],MATCH(W38,techniques[name],0)),""),"")</f>
        <v/>
      </c>
      <c r="Y38" s="47" t="n"/>
      <c r="Z38" s="62">
        <f t="array" ref="Z38">IF(Y38&lt;&gt;"",IF(INDEX(techniques[coverage],MATCH(Y38,techniques[name],0))&gt;0,INDEX(techniques[coverage],MATCH(Y38,techniques[name],0)),""),"")</f>
        <v/>
      </c>
      <c r="AA38" s="47" t="n"/>
      <c r="AB38" s="62">
        <f t="array" ref="AB38">IF(AA38&lt;&gt;"",IF(INDEX(techniques[coverage],MATCH(AA38,techniques[name],0))&gt;0,INDEX(techniques[coverage],MATCH(AA38,techniques[name],0)),""),"")</f>
        <v/>
      </c>
      <c r="AC38" s="47" t="n"/>
      <c r="AD38" s="62">
        <f t="array" ref="AD38">IF(AC38&lt;&gt;"",IF(INDEX(techniques[coverage],MATCH(AC38,techniques[name],0))&gt;0,INDEX(techniques[coverage],MATCH(AC38,techniques[name],0)),""),"")</f>
        <v/>
      </c>
    </row>
    <row r="39">
      <c r="A39" s="47" t="n"/>
      <c r="B39" s="62">
        <f t="array" ref="B39">IF(A39&lt;&gt;"",IF(INDEX(techniques[coverage],MATCH(A39,techniques[name],0))&gt;0,INDEX(techniques[coverage],MATCH(A39,techniques[name],0)),""),"")</f>
        <v/>
      </c>
      <c r="C39" s="47" t="n"/>
      <c r="D39" s="62">
        <f t="array" ref="D39">IF(C39&lt;&gt;"",IF(INDEX(techniques[coverage],MATCH(C39,techniques[name],0))&gt;0,INDEX(techniques[coverage],MATCH(C39,techniques[name],0)),""),"")</f>
        <v/>
      </c>
      <c r="E39" s="47" t="n"/>
      <c r="F39" s="62">
        <f t="array" ref="F39">IF(E39&lt;&gt;"",IF(INDEX(techniques[coverage],MATCH(E39,techniques[name],0))&gt;0,INDEX(techniques[coverage],MATCH(E39,techniques[name],0)),""),"")</f>
        <v/>
      </c>
      <c r="G39" s="47" t="n"/>
      <c r="H39" s="62">
        <f t="array" ref="H39">IF(G39&lt;&gt;"",IF(INDEX(techniques[coverage],MATCH(G39,techniques[name],0))&gt;0,INDEX(techniques[coverage],MATCH(G39,techniques[name],0)),""),"")</f>
        <v/>
      </c>
      <c r="I39" s="47" t="n"/>
      <c r="J39" s="62">
        <f t="array" ref="J39">IF(I39&lt;&gt;"",IF(INDEX(techniques[coverage],MATCH(I39,techniques[name],0))&gt;0,INDEX(techniques[coverage],MATCH(I39,techniques[name],0)),""),"")</f>
        <v/>
      </c>
      <c r="K39" s="47" t="n"/>
      <c r="L39" s="62">
        <f t="array" ref="L39">IF(K39&lt;&gt;"",IF(INDEX(techniques[coverage],MATCH(K39,techniques[name],0))&gt;0,INDEX(techniques[coverage],MATCH(K39,techniques[name],0)),""),"")</f>
        <v/>
      </c>
      <c r="M39" s="47" t="n"/>
      <c r="N39" s="62">
        <f t="array" ref="N39">IF(M39&lt;&gt;"",IF(INDEX(techniques[coverage],MATCH(M39,techniques[name],0))&gt;0,INDEX(techniques[coverage],MATCH(M39,techniques[name],0)),""),"")</f>
        <v/>
      </c>
      <c r="O39" s="47" t="n"/>
      <c r="P39" s="62">
        <f t="array" ref="P39">IF(O39&lt;&gt;"",IF(INDEX(techniques[coverage],MATCH(O39,techniques[name],0))&gt;0,INDEX(techniques[coverage],MATCH(O39,techniques[name],0)),""),"")</f>
        <v/>
      </c>
      <c r="Q39" s="47" t="n"/>
      <c r="R39" s="62">
        <f t="array" ref="R39">IF(Q39&lt;&gt;"",IF(INDEX(techniques[coverage],MATCH(Q39,techniques[name],0))&gt;0,INDEX(techniques[coverage],MATCH(Q39,techniques[name],0)),""),"")</f>
        <v/>
      </c>
      <c r="S39" s="47" t="n"/>
      <c r="T39" s="62">
        <f t="array" ref="T39">IF(S39&lt;&gt;"",IF(INDEX(techniques[coverage],MATCH(S39,techniques[name],0))&gt;0,INDEX(techniques[coverage],MATCH(S39,techniques[name],0)),""),"")</f>
        <v/>
      </c>
      <c r="U39" s="47" t="n"/>
      <c r="V39" s="62">
        <f t="array" ref="V39">IF(U39&lt;&gt;"",IF(INDEX(techniques[coverage],MATCH(U39,techniques[name],0))&gt;0,INDEX(techniques[coverage],MATCH(U39,techniques[name],0)),""),"")</f>
        <v/>
      </c>
      <c r="W39" s="47" t="n"/>
      <c r="X39" s="62">
        <f t="array" ref="X39">IF(W39&lt;&gt;"",IF(INDEX(techniques[coverage],MATCH(W39,techniques[name],0))&gt;0,INDEX(techniques[coverage],MATCH(W39,techniques[name],0)),""),"")</f>
        <v/>
      </c>
      <c r="Y39" s="47" t="n"/>
      <c r="Z39" s="62">
        <f t="array" ref="Z39">IF(Y39&lt;&gt;"",IF(INDEX(techniques[coverage],MATCH(Y39,techniques[name],0))&gt;0,INDEX(techniques[coverage],MATCH(Y39,techniques[name],0)),""),"")</f>
        <v/>
      </c>
      <c r="AA39" s="47" t="n"/>
      <c r="AB39" s="62">
        <f t="array" ref="AB39">IF(AA39&lt;&gt;"",IF(INDEX(techniques[coverage],MATCH(AA39,techniques[name],0))&gt;0,INDEX(techniques[coverage],MATCH(AA39,techniques[name],0)),""),"")</f>
        <v/>
      </c>
      <c r="AC39" s="47" t="n"/>
      <c r="AD39" s="62">
        <f t="array" ref="AD39">IF(AC39&lt;&gt;"",IF(INDEX(techniques[coverage],MATCH(AC39,techniques[name],0))&gt;0,INDEX(techniques[coverage],MATCH(AC39,techniques[name],0)),""),"")</f>
        <v/>
      </c>
    </row>
    <row r="40">
      <c r="A40" s="47" t="n"/>
      <c r="B40" s="62">
        <f t="array" ref="B40">IF(A40&lt;&gt;"",IF(INDEX(techniques[coverage],MATCH(A40,techniques[name],0))&gt;0,INDEX(techniques[coverage],MATCH(A40,techniques[name],0)),""),"")</f>
        <v/>
      </c>
      <c r="C40" s="47" t="n"/>
      <c r="D40" s="62">
        <f t="array" ref="D40">IF(C40&lt;&gt;"",IF(INDEX(techniques[coverage],MATCH(C40,techniques[name],0))&gt;0,INDEX(techniques[coverage],MATCH(C40,techniques[name],0)),""),"")</f>
        <v/>
      </c>
      <c r="E40" s="47" t="n"/>
      <c r="F40" s="62">
        <f t="array" ref="F40">IF(E40&lt;&gt;"",IF(INDEX(techniques[coverage],MATCH(E40,techniques[name],0))&gt;0,INDEX(techniques[coverage],MATCH(E40,techniques[name],0)),""),"")</f>
        <v/>
      </c>
      <c r="G40" s="47" t="n"/>
      <c r="H40" s="62">
        <f t="array" ref="H40">IF(G40&lt;&gt;"",IF(INDEX(techniques[coverage],MATCH(G40,techniques[name],0))&gt;0,INDEX(techniques[coverage],MATCH(G40,techniques[name],0)),""),"")</f>
        <v/>
      </c>
      <c r="I40" s="47" t="n"/>
      <c r="J40" s="62">
        <f t="array" ref="J40">IF(I40&lt;&gt;"",IF(INDEX(techniques[coverage],MATCH(I40,techniques[name],0))&gt;0,INDEX(techniques[coverage],MATCH(I40,techniques[name],0)),""),"")</f>
        <v/>
      </c>
      <c r="K40" s="47" t="n"/>
      <c r="L40" s="62">
        <f t="array" ref="L40">IF(K40&lt;&gt;"",IF(INDEX(techniques[coverage],MATCH(K40,techniques[name],0))&gt;0,INDEX(techniques[coverage],MATCH(K40,techniques[name],0)),""),"")</f>
        <v/>
      </c>
      <c r="M40" s="47" t="n"/>
      <c r="N40" s="62">
        <f t="array" ref="N40">IF(M40&lt;&gt;"",IF(INDEX(techniques[coverage],MATCH(M40,techniques[name],0))&gt;0,INDEX(techniques[coverage],MATCH(M40,techniques[name],0)),""),"")</f>
        <v/>
      </c>
      <c r="O40" s="47" t="n"/>
      <c r="P40" s="62">
        <f t="array" ref="P40">IF(O40&lt;&gt;"",IF(INDEX(techniques[coverage],MATCH(O40,techniques[name],0))&gt;0,INDEX(techniques[coverage],MATCH(O40,techniques[name],0)),""),"")</f>
        <v/>
      </c>
      <c r="Q40" s="47" t="n"/>
      <c r="R40" s="62">
        <f t="array" ref="R40">IF(Q40&lt;&gt;"",IF(INDEX(techniques[coverage],MATCH(Q40,techniques[name],0))&gt;0,INDEX(techniques[coverage],MATCH(Q40,techniques[name],0)),""),"")</f>
        <v/>
      </c>
      <c r="S40" s="47" t="n"/>
      <c r="T40" s="62">
        <f t="array" ref="T40">IF(S40&lt;&gt;"",IF(INDEX(techniques[coverage],MATCH(S40,techniques[name],0))&gt;0,INDEX(techniques[coverage],MATCH(S40,techniques[name],0)),""),"")</f>
        <v/>
      </c>
      <c r="U40" s="47" t="n"/>
      <c r="V40" s="62">
        <f t="array" ref="V40">IF(U40&lt;&gt;"",IF(INDEX(techniques[coverage],MATCH(U40,techniques[name],0))&gt;0,INDEX(techniques[coverage],MATCH(U40,techniques[name],0)),""),"")</f>
        <v/>
      </c>
      <c r="W40" s="47" t="n"/>
      <c r="X40" s="62">
        <f t="array" ref="X40">IF(W40&lt;&gt;"",IF(INDEX(techniques[coverage],MATCH(W40,techniques[name],0))&gt;0,INDEX(techniques[coverage],MATCH(W40,techniques[name],0)),""),"")</f>
        <v/>
      </c>
      <c r="Y40" s="47" t="n"/>
      <c r="Z40" s="62">
        <f t="array" ref="Z40">IF(Y40&lt;&gt;"",IF(INDEX(techniques[coverage],MATCH(Y40,techniques[name],0))&gt;0,INDEX(techniques[coverage],MATCH(Y40,techniques[name],0)),""),"")</f>
        <v/>
      </c>
      <c r="AA40" s="47" t="n"/>
      <c r="AB40" s="62">
        <f t="array" ref="AB40">IF(AA40&lt;&gt;"",IF(INDEX(techniques[coverage],MATCH(AA40,techniques[name],0))&gt;0,INDEX(techniques[coverage],MATCH(AA40,techniques[name],0)),""),"")</f>
        <v/>
      </c>
      <c r="AC40" s="47" t="n"/>
      <c r="AD40" s="62">
        <f t="array" ref="AD40">IF(AC40&lt;&gt;"",IF(INDEX(techniques[coverage],MATCH(AC40,techniques[name],0))&gt;0,INDEX(techniques[coverage],MATCH(AC40,techniques[name],0)),""),"")</f>
        <v/>
      </c>
    </row>
    <row r="41" ht="22.5" customHeight="1">
      <c r="A41" s="47" t="n"/>
      <c r="B41" s="62">
        <f t="array" ref="B41">IF(A41&lt;&gt;"",IF(INDEX(techniques[coverage],MATCH(A41,techniques[name],0))&gt;0,INDEX(techniques[coverage],MATCH(A41,techniques[name],0)),""),"")</f>
        <v/>
      </c>
      <c r="C41" s="47" t="n"/>
      <c r="D41" s="62">
        <f t="array" ref="D41">IF(C41&lt;&gt;"",IF(INDEX(techniques[coverage],MATCH(C41,techniques[name],0))&gt;0,INDEX(techniques[coverage],MATCH(C41,techniques[name],0)),""),"")</f>
        <v/>
      </c>
      <c r="E41" s="47" t="n"/>
      <c r="F41" s="62">
        <f t="array" ref="F41">IF(E41&lt;&gt;"",IF(INDEX(techniques[coverage],MATCH(E41,techniques[name],0))&gt;0,INDEX(techniques[coverage],MATCH(E41,techniques[name],0)),""),"")</f>
        <v/>
      </c>
      <c r="G41" s="47" t="n"/>
      <c r="H41" s="62">
        <f t="array" ref="H41">IF(G41&lt;&gt;"",IF(INDEX(techniques[coverage],MATCH(G41,techniques[name],0))&gt;0,INDEX(techniques[coverage],MATCH(G41,techniques[name],0)),""),"")</f>
        <v/>
      </c>
      <c r="I41" s="47" t="n"/>
      <c r="J41" s="62">
        <f t="array" ref="J41">IF(I41&lt;&gt;"",IF(INDEX(techniques[coverage],MATCH(I41,techniques[name],0))&gt;0,INDEX(techniques[coverage],MATCH(I41,techniques[name],0)),""),"")</f>
        <v/>
      </c>
      <c r="K41" s="47" t="n"/>
      <c r="L41" s="62">
        <f t="array" ref="L41">IF(K41&lt;&gt;"",IF(INDEX(techniques[coverage],MATCH(K41,techniques[name],0))&gt;0,INDEX(techniques[coverage],MATCH(K41,techniques[name],0)),""),"")</f>
        <v/>
      </c>
      <c r="M41" s="47" t="n"/>
      <c r="N41" s="62">
        <f t="array" ref="N41">IF(M41&lt;&gt;"",IF(INDEX(techniques[coverage],MATCH(M41,techniques[name],0))&gt;0,INDEX(techniques[coverage],MATCH(M41,techniques[name],0)),""),"")</f>
        <v/>
      </c>
      <c r="O41" s="47" t="n"/>
      <c r="P41" s="62">
        <f t="array" ref="P41">IF(O41&lt;&gt;"",IF(INDEX(techniques[coverage],MATCH(O41,techniques[name],0))&gt;0,INDEX(techniques[coverage],MATCH(O41,techniques[name],0)),""),"")</f>
        <v/>
      </c>
      <c r="Q41" s="47" t="n"/>
      <c r="R41" s="62">
        <f t="array" ref="R41">IF(Q41&lt;&gt;"",IF(INDEX(techniques[coverage],MATCH(Q41,techniques[name],0))&gt;0,INDEX(techniques[coverage],MATCH(Q41,techniques[name],0)),""),"")</f>
        <v/>
      </c>
      <c r="S41" s="47" t="n"/>
      <c r="T41" s="62">
        <f t="array" ref="T41">IF(S41&lt;&gt;"",IF(INDEX(techniques[coverage],MATCH(S41,techniques[name],0))&gt;0,INDEX(techniques[coverage],MATCH(S41,techniques[name],0)),""),"")</f>
        <v/>
      </c>
      <c r="U41" s="47" t="n"/>
      <c r="V41" s="62">
        <f t="array" ref="V41">IF(U41&lt;&gt;"",IF(INDEX(techniques[coverage],MATCH(U41,techniques[name],0))&gt;0,INDEX(techniques[coverage],MATCH(U41,techniques[name],0)),""),"")</f>
        <v/>
      </c>
      <c r="W41" s="47" t="n"/>
      <c r="X41" s="62">
        <f t="array" ref="X41">IF(W41&lt;&gt;"",IF(INDEX(techniques[coverage],MATCH(W41,techniques[name],0))&gt;0,INDEX(techniques[coverage],MATCH(W41,techniques[name],0)),""),"")</f>
        <v/>
      </c>
      <c r="Y41" s="47" t="n"/>
      <c r="Z41" s="62">
        <f t="array" ref="Z41">IF(Y41&lt;&gt;"",IF(INDEX(techniques[coverage],MATCH(Y41,techniques[name],0))&gt;0,INDEX(techniques[coverage],MATCH(Y41,techniques[name],0)),""),"")</f>
        <v/>
      </c>
      <c r="AA41" s="47" t="n"/>
      <c r="AB41" s="62">
        <f t="array" ref="AB41">IF(AA41&lt;&gt;"",IF(INDEX(techniques[coverage],MATCH(AA41,techniques[name],0))&gt;0,INDEX(techniques[coverage],MATCH(AA41,techniques[name],0)),""),"")</f>
        <v/>
      </c>
      <c r="AC41" s="47" t="n"/>
      <c r="AD41" s="62">
        <f t="array" ref="AD41">IF(AC41&lt;&gt;"",IF(INDEX(techniques[coverage],MATCH(AC41,techniques[name],0))&gt;0,INDEX(techniques[coverage],MATCH(AC41,techniques[name],0)),""),"")</f>
        <v/>
      </c>
    </row>
    <row r="42">
      <c r="A42" s="47" t="n"/>
      <c r="B42" s="62">
        <f t="array" ref="B42">IF(A42&lt;&gt;"",IF(INDEX(techniques[coverage],MATCH(A42,techniques[name],0))&gt;0,INDEX(techniques[coverage],MATCH(A42,techniques[name],0)),""),"")</f>
        <v/>
      </c>
      <c r="C42" s="47" t="n"/>
      <c r="D42" s="62">
        <f t="array" ref="D42">IF(C42&lt;&gt;"",IF(INDEX(techniques[coverage],MATCH(C42,techniques[name],0))&gt;0,INDEX(techniques[coverage],MATCH(C42,techniques[name],0)),""),"")</f>
        <v/>
      </c>
      <c r="E42" s="47" t="n"/>
      <c r="F42" s="62">
        <f t="array" ref="F42">IF(E42&lt;&gt;"",IF(INDEX(techniques[coverage],MATCH(E42,techniques[name],0))&gt;0,INDEX(techniques[coverage],MATCH(E42,techniques[name],0)),""),"")</f>
        <v/>
      </c>
      <c r="G42" s="47" t="n"/>
      <c r="H42" s="62">
        <f t="array" ref="H42">IF(G42&lt;&gt;"",IF(INDEX(techniques[coverage],MATCH(G42,techniques[name],0))&gt;0,INDEX(techniques[coverage],MATCH(G42,techniques[name],0)),""),"")</f>
        <v/>
      </c>
      <c r="I42" s="47" t="n"/>
      <c r="J42" s="62">
        <f t="array" ref="J42">IF(I42&lt;&gt;"",IF(INDEX(techniques[coverage],MATCH(I42,techniques[name],0))&gt;0,INDEX(techniques[coverage],MATCH(I42,techniques[name],0)),""),"")</f>
        <v/>
      </c>
      <c r="K42" s="47" t="n"/>
      <c r="L42" s="62">
        <f t="array" ref="L42">IF(K42&lt;&gt;"",IF(INDEX(techniques[coverage],MATCH(K42,techniques[name],0))&gt;0,INDEX(techniques[coverage],MATCH(K42,techniques[name],0)),""),"")</f>
        <v/>
      </c>
      <c r="M42" s="47" t="n"/>
      <c r="N42" s="62">
        <f t="array" ref="N42">IF(M42&lt;&gt;"",IF(INDEX(techniques[coverage],MATCH(M42,techniques[name],0))&gt;0,INDEX(techniques[coverage],MATCH(M42,techniques[name],0)),""),"")</f>
        <v/>
      </c>
      <c r="O42" s="47" t="n"/>
      <c r="P42" s="62">
        <f t="array" ref="P42">IF(O42&lt;&gt;"",IF(INDEX(techniques[coverage],MATCH(O42,techniques[name],0))&gt;0,INDEX(techniques[coverage],MATCH(O42,techniques[name],0)),""),"")</f>
        <v/>
      </c>
      <c r="Q42" s="47" t="n"/>
      <c r="R42" s="62">
        <f t="array" ref="R42">IF(Q42&lt;&gt;"",IF(INDEX(techniques[coverage],MATCH(Q42,techniques[name],0))&gt;0,INDEX(techniques[coverage],MATCH(Q42,techniques[name],0)),""),"")</f>
        <v/>
      </c>
      <c r="S42" s="47" t="n"/>
      <c r="T42" s="62">
        <f t="array" ref="T42">IF(S42&lt;&gt;"",IF(INDEX(techniques[coverage],MATCH(S42,techniques[name],0))&gt;0,INDEX(techniques[coverage],MATCH(S42,techniques[name],0)),""),"")</f>
        <v/>
      </c>
      <c r="U42" s="47" t="n"/>
      <c r="V42" s="62">
        <f t="array" ref="V42">IF(U42&lt;&gt;"",IF(INDEX(techniques[coverage],MATCH(U42,techniques[name],0))&gt;0,INDEX(techniques[coverage],MATCH(U42,techniques[name],0)),""),"")</f>
        <v/>
      </c>
      <c r="W42" s="47" t="n"/>
      <c r="X42" s="62">
        <f t="array" ref="X42">IF(W42&lt;&gt;"",IF(INDEX(techniques[coverage],MATCH(W42,techniques[name],0))&gt;0,INDEX(techniques[coverage],MATCH(W42,techniques[name],0)),""),"")</f>
        <v/>
      </c>
      <c r="Y42" s="47" t="n"/>
      <c r="Z42" s="62">
        <f t="array" ref="Z42">IF(Y42&lt;&gt;"",IF(INDEX(techniques[coverage],MATCH(Y42,techniques[name],0))&gt;0,INDEX(techniques[coverage],MATCH(Y42,techniques[name],0)),""),"")</f>
        <v/>
      </c>
      <c r="AA42" s="47" t="n"/>
      <c r="AB42" s="62">
        <f t="array" ref="AB42">IF(AA42&lt;&gt;"",IF(INDEX(techniques[coverage],MATCH(AA42,techniques[name],0))&gt;0,INDEX(techniques[coverage],MATCH(AA42,techniques[name],0)),""),"")</f>
        <v/>
      </c>
      <c r="AC42" s="47" t="n"/>
      <c r="AD42" s="62">
        <f t="array" ref="AD42">IF(AC42&lt;&gt;"",IF(INDEX(techniques[coverage],MATCH(AC42,techniques[name],0))&gt;0,INDEX(techniques[coverage],MATCH(AC42,techniques[name],0)),""),"")</f>
        <v/>
      </c>
    </row>
    <row r="43">
      <c r="A43" s="45" t="n"/>
      <c r="B43" s="62">
        <f t="array" ref="B43">IF(A43&lt;&gt;"",IF(INDEX(techniques[coverage],MATCH(A43,techniques[name],0))&gt;0,INDEX(techniques[coverage],MATCH(A43,techniques[name],0)),""),"")</f>
        <v/>
      </c>
      <c r="C43" s="45" t="n"/>
      <c r="D43" s="62">
        <f t="array" ref="D43">IF(C43&lt;&gt;"",IF(INDEX(techniques[coverage],MATCH(C43,techniques[name],0))&gt;0,INDEX(techniques[coverage],MATCH(C43,techniques[name],0)),""),"")</f>
        <v/>
      </c>
      <c r="E43" s="45" t="n"/>
      <c r="F43" s="62">
        <f t="array" ref="F43">IF(E43&lt;&gt;"",IF(INDEX(techniques[coverage],MATCH(E43,techniques[name],0))&gt;0,INDEX(techniques[coverage],MATCH(E43,techniques[name],0)),""),"")</f>
        <v/>
      </c>
      <c r="G43" s="45" t="n"/>
      <c r="H43" s="62">
        <f t="array" ref="H43">IF(G43&lt;&gt;"",IF(INDEX(techniques[coverage],MATCH(G43,techniques[name],0))&gt;0,INDEX(techniques[coverage],MATCH(G43,techniques[name],0)),""),"")</f>
        <v/>
      </c>
      <c r="I43" s="45" t="n"/>
      <c r="J43" s="62">
        <f t="array" ref="J43">IF(I43&lt;&gt;"",IF(INDEX(techniques[coverage],MATCH(I43,techniques[name],0))&gt;0,INDEX(techniques[coverage],MATCH(I43,techniques[name],0)),""),"")</f>
        <v/>
      </c>
      <c r="K43" s="45" t="n"/>
      <c r="L43" s="62">
        <f t="array" ref="L43">IF(K43&lt;&gt;"",IF(INDEX(techniques[coverage],MATCH(K43,techniques[name],0))&gt;0,INDEX(techniques[coverage],MATCH(K43,techniques[name],0)),""),"")</f>
        <v/>
      </c>
      <c r="M43" s="45" t="n"/>
      <c r="N43" s="62">
        <f t="array" ref="N43">IF(M43&lt;&gt;"",IF(INDEX(techniques[coverage],MATCH(M43,techniques[name],0))&gt;0,INDEX(techniques[coverage],MATCH(M43,techniques[name],0)),""),"")</f>
        <v/>
      </c>
      <c r="O43" s="45" t="n"/>
      <c r="P43" s="62">
        <f t="array" ref="P43">IF(O43&lt;&gt;"",IF(INDEX(techniques[coverage],MATCH(O43,techniques[name],0))&gt;0,INDEX(techniques[coverage],MATCH(O43,techniques[name],0)),""),"")</f>
        <v/>
      </c>
      <c r="Q43" s="45" t="n"/>
      <c r="R43" s="62">
        <f t="array" ref="R43">IF(Q43&lt;&gt;"",IF(INDEX(techniques[coverage],MATCH(Q43,techniques[name],0))&gt;0,INDEX(techniques[coverage],MATCH(Q43,techniques[name],0)),""),"")</f>
        <v/>
      </c>
      <c r="S43" s="45" t="n"/>
      <c r="T43" s="62">
        <f t="array" ref="T43">IF(S43&lt;&gt;"",IF(INDEX(techniques[coverage],MATCH(S43,techniques[name],0))&gt;0,INDEX(techniques[coverage],MATCH(S43,techniques[name],0)),""),"")</f>
        <v/>
      </c>
      <c r="U43" s="45" t="n"/>
      <c r="V43" s="62">
        <f t="array" ref="V43">IF(U43&lt;&gt;"",IF(INDEX(techniques[coverage],MATCH(U43,techniques[name],0))&gt;0,INDEX(techniques[coverage],MATCH(U43,techniques[name],0)),""),"")</f>
        <v/>
      </c>
      <c r="W43" s="45" t="n"/>
      <c r="X43" s="62">
        <f t="array" ref="X43">IF(W43&lt;&gt;"",IF(INDEX(techniques[coverage],MATCH(W43,techniques[name],0))&gt;0,INDEX(techniques[coverage],MATCH(W43,techniques[name],0)),""),"")</f>
        <v/>
      </c>
      <c r="Y43" s="45" t="n"/>
      <c r="Z43" s="62">
        <f t="array" ref="Z43">IF(Y43&lt;&gt;"",IF(INDEX(techniques[coverage],MATCH(Y43,techniques[name],0))&gt;0,INDEX(techniques[coverage],MATCH(Y43,techniques[name],0)),""),"")</f>
        <v/>
      </c>
      <c r="AA43" s="45" t="n"/>
      <c r="AB43" s="62">
        <f t="array" ref="AB43">IF(AA43&lt;&gt;"",IF(INDEX(techniques[coverage],MATCH(AA43,techniques[name],0))&gt;0,INDEX(techniques[coverage],MATCH(AA43,techniques[name],0)),""),"")</f>
        <v/>
      </c>
      <c r="AC43" s="45" t="n"/>
      <c r="AD43" s="62">
        <f t="array" ref="AD43">IF(AC43&lt;&gt;"",IF(INDEX(techniques[coverage],MATCH(AC43,techniques[name],0))&gt;0,INDEX(techniques[coverage],MATCH(AC43,techniques[name],0)),""),"")</f>
        <v/>
      </c>
    </row>
    <row r="44">
      <c r="A44" s="45" t="n"/>
      <c r="B44" s="62">
        <f t="array" ref="B44">IF(A44&lt;&gt;"",IF(INDEX(techniques[coverage],MATCH(A44,techniques[name],0))&gt;0,INDEX(techniques[coverage],MATCH(A44,techniques[name],0)),""),"")</f>
        <v/>
      </c>
      <c r="C44" s="45" t="n"/>
      <c r="D44" s="62">
        <f t="array" ref="D44">IF(C44&lt;&gt;"",IF(INDEX(techniques[coverage],MATCH(C44,techniques[name],0))&gt;0,INDEX(techniques[coverage],MATCH(C44,techniques[name],0)),""),"")</f>
        <v/>
      </c>
      <c r="E44" s="45" t="n"/>
      <c r="F44" s="62">
        <f t="array" ref="F44">IF(E44&lt;&gt;"",IF(INDEX(techniques[coverage],MATCH(E44,techniques[name],0))&gt;0,INDEX(techniques[coverage],MATCH(E44,techniques[name],0)),""),"")</f>
        <v/>
      </c>
      <c r="G44" s="45" t="n"/>
      <c r="H44" s="62">
        <f t="array" ref="H44">IF(G44&lt;&gt;"",IF(INDEX(techniques[coverage],MATCH(G44,techniques[name],0))&gt;0,INDEX(techniques[coverage],MATCH(G44,techniques[name],0)),""),"")</f>
        <v/>
      </c>
      <c r="I44" s="45" t="n"/>
      <c r="J44" s="62">
        <f t="array" ref="J44">IF(I44&lt;&gt;"",IF(INDEX(techniques[coverage],MATCH(I44,techniques[name],0))&gt;0,INDEX(techniques[coverage],MATCH(I44,techniques[name],0)),""),"")</f>
        <v/>
      </c>
      <c r="K44" s="45" t="n"/>
      <c r="L44" s="62">
        <f t="array" ref="L44">IF(K44&lt;&gt;"",IF(INDEX(techniques[coverage],MATCH(K44,techniques[name],0))&gt;0,INDEX(techniques[coverage],MATCH(K44,techniques[name],0)),""),"")</f>
        <v/>
      </c>
      <c r="M44" s="45" t="n"/>
      <c r="N44" s="62">
        <f t="array" ref="N44">IF(M44&lt;&gt;"",IF(INDEX(techniques[coverage],MATCH(M44,techniques[name],0))&gt;0,INDEX(techniques[coverage],MATCH(M44,techniques[name],0)),""),"")</f>
        <v/>
      </c>
      <c r="O44" s="45" t="n"/>
      <c r="P44" s="62">
        <f t="array" ref="P44">IF(O44&lt;&gt;"",IF(INDEX(techniques[coverage],MATCH(O44,techniques[name],0))&gt;0,INDEX(techniques[coverage],MATCH(O44,techniques[name],0)),""),"")</f>
        <v/>
      </c>
      <c r="Q44" s="45" t="n"/>
      <c r="R44" s="62">
        <f t="array" ref="R44">IF(Q44&lt;&gt;"",IF(INDEX(techniques[coverage],MATCH(Q44,techniques[name],0))&gt;0,INDEX(techniques[coverage],MATCH(Q44,techniques[name],0)),""),"")</f>
        <v/>
      </c>
      <c r="S44" s="45" t="n"/>
      <c r="T44" s="62">
        <f t="array" ref="T44">IF(S44&lt;&gt;"",IF(INDEX(techniques[coverage],MATCH(S44,techniques[name],0))&gt;0,INDEX(techniques[coverage],MATCH(S44,techniques[name],0)),""),"")</f>
        <v/>
      </c>
      <c r="U44" s="45" t="n"/>
      <c r="V44" s="62">
        <f t="array" ref="V44">IF(U44&lt;&gt;"",IF(INDEX(techniques[coverage],MATCH(U44,techniques[name],0))&gt;0,INDEX(techniques[coverage],MATCH(U44,techniques[name],0)),""),"")</f>
        <v/>
      </c>
      <c r="W44" s="45" t="n"/>
      <c r="X44" s="62">
        <f t="array" ref="X44">IF(W44&lt;&gt;"",IF(INDEX(techniques[coverage],MATCH(W44,techniques[name],0))&gt;0,INDEX(techniques[coverage],MATCH(W44,techniques[name],0)),""),"")</f>
        <v/>
      </c>
      <c r="Y44" s="45" t="n"/>
      <c r="Z44" s="62">
        <f t="array" ref="Z44">IF(Y44&lt;&gt;"",IF(INDEX(techniques[coverage],MATCH(Y44,techniques[name],0))&gt;0,INDEX(techniques[coverage],MATCH(Y44,techniques[name],0)),""),"")</f>
        <v/>
      </c>
      <c r="AA44" s="45" t="n"/>
      <c r="AB44" s="62">
        <f t="array" ref="AB44">IF(AA44&lt;&gt;"",IF(INDEX(techniques[coverage],MATCH(AA44,techniques[name],0))&gt;0,INDEX(techniques[coverage],MATCH(AA44,techniques[name],0)),""),"")</f>
        <v/>
      </c>
      <c r="AC44" s="45" t="n"/>
      <c r="AD44" s="62">
        <f t="array" ref="AD44">IF(AC44&lt;&gt;"",IF(INDEX(techniques[coverage],MATCH(AC44,techniques[name],0))&gt;0,INDEX(techniques[coverage],MATCH(AC44,techniques[name],0)),""),"")</f>
        <v/>
      </c>
    </row>
    <row r="45">
      <c r="A45" s="45" t="n"/>
      <c r="B45" s="62">
        <f t="array" ref="B45">IF(A45&lt;&gt;"",IF(INDEX(techniques[coverage],MATCH(A45,techniques[name],0))&gt;0,INDEX(techniques[coverage],MATCH(A45,techniques[name],0)),""),"")</f>
        <v/>
      </c>
      <c r="C45" s="45" t="n"/>
      <c r="D45" s="62">
        <f t="array" ref="D45">IF(C45&lt;&gt;"",IF(INDEX(techniques[coverage],MATCH(C45,techniques[name],0))&gt;0,INDEX(techniques[coverage],MATCH(C45,techniques[name],0)),""),"")</f>
        <v/>
      </c>
      <c r="E45" s="45" t="n"/>
      <c r="F45" s="62">
        <f t="array" ref="F45">IF(E45&lt;&gt;"",IF(INDEX(techniques[coverage],MATCH(E45,techniques[name],0))&gt;0,INDEX(techniques[coverage],MATCH(E45,techniques[name],0)),""),"")</f>
        <v/>
      </c>
      <c r="G45" s="45" t="n"/>
      <c r="H45" s="62">
        <f t="array" ref="H45">IF(G45&lt;&gt;"",IF(INDEX(techniques[coverage],MATCH(G45,techniques[name],0))&gt;0,INDEX(techniques[coverage],MATCH(G45,techniques[name],0)),""),"")</f>
        <v/>
      </c>
      <c r="I45" s="45" t="n"/>
      <c r="J45" s="62">
        <f t="array" ref="J45">IF(I45&lt;&gt;"",IF(INDEX(techniques[coverage],MATCH(I45,techniques[name],0))&gt;0,INDEX(techniques[coverage],MATCH(I45,techniques[name],0)),""),"")</f>
        <v/>
      </c>
      <c r="K45" s="45" t="n"/>
      <c r="L45" s="62">
        <f t="array" ref="L45">IF(K45&lt;&gt;"",IF(INDEX(techniques[coverage],MATCH(K45,techniques[name],0))&gt;0,INDEX(techniques[coverage],MATCH(K45,techniques[name],0)),""),"")</f>
        <v/>
      </c>
      <c r="M45" s="45" t="n"/>
      <c r="N45" s="62">
        <f t="array" ref="N45">IF(M45&lt;&gt;"",IF(INDEX(techniques[coverage],MATCH(M45,techniques[name],0))&gt;0,INDEX(techniques[coverage],MATCH(M45,techniques[name],0)),""),"")</f>
        <v/>
      </c>
      <c r="O45" s="45" t="n"/>
      <c r="P45" s="62">
        <f t="array" ref="P45">IF(O45&lt;&gt;"",IF(INDEX(techniques[coverage],MATCH(O45,techniques[name],0))&gt;0,INDEX(techniques[coverage],MATCH(O45,techniques[name],0)),""),"")</f>
        <v/>
      </c>
      <c r="Q45" s="45" t="n"/>
      <c r="R45" s="62">
        <f t="array" ref="R45">IF(Q45&lt;&gt;"",IF(INDEX(techniques[coverage],MATCH(Q45,techniques[name],0))&gt;0,INDEX(techniques[coverage],MATCH(Q45,techniques[name],0)),""),"")</f>
        <v/>
      </c>
      <c r="S45" s="45" t="n"/>
      <c r="T45" s="62">
        <f t="array" ref="T45">IF(S45&lt;&gt;"",IF(INDEX(techniques[coverage],MATCH(S45,techniques[name],0))&gt;0,INDEX(techniques[coverage],MATCH(S45,techniques[name],0)),""),"")</f>
        <v/>
      </c>
      <c r="U45" s="45" t="n"/>
      <c r="V45" s="62">
        <f t="array" ref="V45">IF(U45&lt;&gt;"",IF(INDEX(techniques[coverage],MATCH(U45,techniques[name],0))&gt;0,INDEX(techniques[coverage],MATCH(U45,techniques[name],0)),""),"")</f>
        <v/>
      </c>
      <c r="W45" s="45" t="n"/>
      <c r="X45" s="62">
        <f t="array" ref="X45">IF(W45&lt;&gt;"",IF(INDEX(techniques[coverage],MATCH(W45,techniques[name],0))&gt;0,INDEX(techniques[coverage],MATCH(W45,techniques[name],0)),""),"")</f>
        <v/>
      </c>
      <c r="Y45" s="45" t="n"/>
      <c r="Z45" s="62">
        <f t="array" ref="Z45">IF(Y45&lt;&gt;"",IF(INDEX(techniques[coverage],MATCH(Y45,techniques[name],0))&gt;0,INDEX(techniques[coverage],MATCH(Y45,techniques[name],0)),""),"")</f>
        <v/>
      </c>
      <c r="AA45" s="45" t="n"/>
      <c r="AB45" s="62">
        <f t="array" ref="AB45">IF(AA45&lt;&gt;"",IF(INDEX(techniques[coverage],MATCH(AA45,techniques[name],0))&gt;0,INDEX(techniques[coverage],MATCH(AA45,techniques[name],0)),""),"")</f>
        <v/>
      </c>
      <c r="AC45" s="45" t="n"/>
      <c r="AD45" s="62">
        <f t="array" ref="AD45">IF(AC45&lt;&gt;"",IF(INDEX(techniques[coverage],MATCH(AC45,techniques[name],0))&gt;0,INDEX(techniques[coverage],MATCH(AC45,techniques[name],0)),""),"")</f>
        <v/>
      </c>
    </row>
    <row r="46">
      <c r="A46" s="45" t="n"/>
      <c r="B46" s="62">
        <f t="array" ref="B46">IF(A46&lt;&gt;"",IF(INDEX(techniques[coverage],MATCH(A46,techniques[name],0))&gt;0,INDEX(techniques[coverage],MATCH(A46,techniques[name],0)),""),"")</f>
        <v/>
      </c>
      <c r="C46" s="45" t="n"/>
      <c r="D46" s="62">
        <f t="array" ref="D46">IF(C46&lt;&gt;"",IF(INDEX(techniques[coverage],MATCH(C46,techniques[name],0))&gt;0,INDEX(techniques[coverage],MATCH(C46,techniques[name],0)),""),"")</f>
        <v/>
      </c>
      <c r="E46" s="45" t="n"/>
      <c r="F46" s="62">
        <f t="array" ref="F46">IF(E46&lt;&gt;"",IF(INDEX(techniques[coverage],MATCH(E46,techniques[name],0))&gt;0,INDEX(techniques[coverage],MATCH(E46,techniques[name],0)),""),"")</f>
        <v/>
      </c>
      <c r="G46" s="45" t="n"/>
      <c r="H46" s="62">
        <f t="array" ref="H46">IF(G46&lt;&gt;"",IF(INDEX(techniques[coverage],MATCH(G46,techniques[name],0))&gt;0,INDEX(techniques[coverage],MATCH(G46,techniques[name],0)),""),"")</f>
        <v/>
      </c>
      <c r="I46" s="45" t="n"/>
      <c r="J46" s="62">
        <f t="array" ref="J46">IF(I46&lt;&gt;"",IF(INDEX(techniques[coverage],MATCH(I46,techniques[name],0))&gt;0,INDEX(techniques[coverage],MATCH(I46,techniques[name],0)),""),"")</f>
        <v/>
      </c>
      <c r="K46" s="45" t="n"/>
      <c r="L46" s="62">
        <f t="array" ref="L46">IF(K46&lt;&gt;"",IF(INDEX(techniques[coverage],MATCH(K46,techniques[name],0))&gt;0,INDEX(techniques[coverage],MATCH(K46,techniques[name],0)),""),"")</f>
        <v/>
      </c>
      <c r="M46" s="45" t="n"/>
      <c r="N46" s="62">
        <f t="array" ref="N46">IF(M46&lt;&gt;"",IF(INDEX(techniques[coverage],MATCH(M46,techniques[name],0))&gt;0,INDEX(techniques[coverage],MATCH(M46,techniques[name],0)),""),"")</f>
        <v/>
      </c>
      <c r="O46" s="45" t="n"/>
      <c r="P46" s="62">
        <f t="array" ref="P46">IF(O46&lt;&gt;"",IF(INDEX(techniques[coverage],MATCH(O46,techniques[name],0))&gt;0,INDEX(techniques[coverage],MATCH(O46,techniques[name],0)),""),"")</f>
        <v/>
      </c>
      <c r="Q46" s="45" t="n"/>
      <c r="R46" s="62">
        <f t="array" ref="R46">IF(Q46&lt;&gt;"",IF(INDEX(techniques[coverage],MATCH(Q46,techniques[name],0))&gt;0,INDEX(techniques[coverage],MATCH(Q46,techniques[name],0)),""),"")</f>
        <v/>
      </c>
      <c r="S46" s="45" t="n"/>
      <c r="T46" s="62">
        <f t="array" ref="T46">IF(S46&lt;&gt;"",IF(INDEX(techniques[coverage],MATCH(S46,techniques[name],0))&gt;0,INDEX(techniques[coverage],MATCH(S46,techniques[name],0)),""),"")</f>
        <v/>
      </c>
      <c r="U46" s="45" t="n"/>
      <c r="V46" s="62">
        <f t="array" ref="V46">IF(U46&lt;&gt;"",IF(INDEX(techniques[coverage],MATCH(U46,techniques[name],0))&gt;0,INDEX(techniques[coverage],MATCH(U46,techniques[name],0)),""),"")</f>
        <v/>
      </c>
      <c r="W46" s="45" t="n"/>
      <c r="X46" s="62">
        <f t="array" ref="X46">IF(W46&lt;&gt;"",IF(INDEX(techniques[coverage],MATCH(W46,techniques[name],0))&gt;0,INDEX(techniques[coverage],MATCH(W46,techniques[name],0)),""),"")</f>
        <v/>
      </c>
      <c r="Y46" s="45" t="n"/>
      <c r="Z46" s="62">
        <f t="array" ref="Z46">IF(Y46&lt;&gt;"",IF(INDEX(techniques[coverage],MATCH(Y46,techniques[name],0))&gt;0,INDEX(techniques[coverage],MATCH(Y46,techniques[name],0)),""),"")</f>
        <v/>
      </c>
      <c r="AA46" s="45" t="n"/>
      <c r="AB46" s="62">
        <f t="array" ref="AB46">IF(AA46&lt;&gt;"",IF(INDEX(techniques[coverage],MATCH(AA46,techniques[name],0))&gt;0,INDEX(techniques[coverage],MATCH(AA46,techniques[name],0)),""),"")</f>
        <v/>
      </c>
      <c r="AC46" s="45" t="n"/>
      <c r="AD46" s="62">
        <f t="array" ref="AD46">IF(AC46&lt;&gt;"",IF(INDEX(techniques[coverage],MATCH(AC46,techniques[name],0))&gt;0,INDEX(techniques[coverage],MATCH(AC46,techniques[name],0)),""),"")</f>
        <v/>
      </c>
    </row>
    <row r="47">
      <c r="A47" s="45" t="n"/>
      <c r="B47" s="62">
        <f t="array" ref="B47">IF(A47&lt;&gt;"",IF(INDEX(techniques[coverage],MATCH(A47,techniques[name],0))&gt;0,INDEX(techniques[coverage],MATCH(A47,techniques[name],0)),""),"")</f>
        <v/>
      </c>
      <c r="C47" s="45" t="n"/>
      <c r="D47" s="62">
        <f t="array" ref="D47">IF(C47&lt;&gt;"",IF(INDEX(techniques[coverage],MATCH(C47,techniques[name],0))&gt;0,INDEX(techniques[coverage],MATCH(C47,techniques[name],0)),""),"")</f>
        <v/>
      </c>
      <c r="E47" s="45" t="n"/>
      <c r="F47" s="62">
        <f t="array" ref="F47">IF(E47&lt;&gt;"",IF(INDEX(techniques[coverage],MATCH(E47,techniques[name],0))&gt;0,INDEX(techniques[coverage],MATCH(E47,techniques[name],0)),""),"")</f>
        <v/>
      </c>
      <c r="G47" s="45" t="n"/>
      <c r="H47" s="62">
        <f t="array" ref="H47">IF(G47&lt;&gt;"",IF(INDEX(techniques[coverage],MATCH(G47,techniques[name],0))&gt;0,INDEX(techniques[coverage],MATCH(G47,techniques[name],0)),""),"")</f>
        <v/>
      </c>
      <c r="I47" s="45" t="n"/>
      <c r="J47" s="62">
        <f t="array" ref="J47">IF(I47&lt;&gt;"",IF(INDEX(techniques[coverage],MATCH(I47,techniques[name],0))&gt;0,INDEX(techniques[coverage],MATCH(I47,techniques[name],0)),""),"")</f>
        <v/>
      </c>
      <c r="K47" s="45" t="n"/>
      <c r="L47" s="62">
        <f t="array" ref="L47">IF(K47&lt;&gt;"",IF(INDEX(techniques[coverage],MATCH(K47,techniques[name],0))&gt;0,INDEX(techniques[coverage],MATCH(K47,techniques[name],0)),""),"")</f>
        <v/>
      </c>
      <c r="M47" s="45" t="n"/>
      <c r="N47" s="62">
        <f t="array" ref="N47">IF(M47&lt;&gt;"",IF(INDEX(techniques[coverage],MATCH(M47,techniques[name],0))&gt;0,INDEX(techniques[coverage],MATCH(M47,techniques[name],0)),""),"")</f>
        <v/>
      </c>
      <c r="O47" s="45" t="n"/>
      <c r="P47" s="62">
        <f t="array" ref="P47">IF(O47&lt;&gt;"",IF(INDEX(techniques[coverage],MATCH(O47,techniques[name],0))&gt;0,INDEX(techniques[coverage],MATCH(O47,techniques[name],0)),""),"")</f>
        <v/>
      </c>
      <c r="Q47" s="45" t="n"/>
      <c r="R47" s="62">
        <f t="array" ref="R47">IF(Q47&lt;&gt;"",IF(INDEX(techniques[coverage],MATCH(Q47,techniques[name],0))&gt;0,INDEX(techniques[coverage],MATCH(Q47,techniques[name],0)),""),"")</f>
        <v/>
      </c>
      <c r="S47" s="45" t="n"/>
      <c r="T47" s="62">
        <f t="array" ref="T47">IF(S47&lt;&gt;"",IF(INDEX(techniques[coverage],MATCH(S47,techniques[name],0))&gt;0,INDEX(techniques[coverage],MATCH(S47,techniques[name],0)),""),"")</f>
        <v/>
      </c>
      <c r="U47" s="45" t="n"/>
      <c r="V47" s="62">
        <f t="array" ref="V47">IF(U47&lt;&gt;"",IF(INDEX(techniques[coverage],MATCH(U47,techniques[name],0))&gt;0,INDEX(techniques[coverage],MATCH(U47,techniques[name],0)),""),"")</f>
        <v/>
      </c>
      <c r="W47" s="45" t="n"/>
      <c r="X47" s="62">
        <f t="array" ref="X47">IF(W47&lt;&gt;"",IF(INDEX(techniques[coverage],MATCH(W47,techniques[name],0))&gt;0,INDEX(techniques[coverage],MATCH(W47,techniques[name],0)),""),"")</f>
        <v/>
      </c>
      <c r="Y47" s="45" t="n"/>
      <c r="Z47" s="62">
        <f t="array" ref="Z47">IF(Y47&lt;&gt;"",IF(INDEX(techniques[coverage],MATCH(Y47,techniques[name],0))&gt;0,INDEX(techniques[coverage],MATCH(Y47,techniques[name],0)),""),"")</f>
        <v/>
      </c>
      <c r="AA47" s="45" t="n"/>
      <c r="AB47" s="62">
        <f t="array" ref="AB47">IF(AA47&lt;&gt;"",IF(INDEX(techniques[coverage],MATCH(AA47,techniques[name],0))&gt;0,INDEX(techniques[coverage],MATCH(AA47,techniques[name],0)),""),"")</f>
        <v/>
      </c>
      <c r="AC47" s="45" t="n"/>
      <c r="AD47" s="62">
        <f t="array" ref="AD47">IF(AC47&lt;&gt;"",IF(INDEX(techniques[coverage],MATCH(AC47,techniques[name],0))&gt;0,INDEX(techniques[coverage],MATCH(AC47,techniques[name],0)),""),"")</f>
        <v/>
      </c>
    </row>
    <row r="48">
      <c r="A48" s="45" t="n"/>
      <c r="B48" s="62">
        <f t="array" ref="B48">IF(A48&lt;&gt;"",IF(INDEX(techniques[coverage],MATCH(A48,techniques[name],0))&gt;0,INDEX(techniques[coverage],MATCH(A48,techniques[name],0)),""),"")</f>
        <v/>
      </c>
      <c r="C48" s="45" t="n"/>
      <c r="D48" s="62">
        <f t="array" ref="D48">IF(C48&lt;&gt;"",IF(INDEX(techniques[coverage],MATCH(C48,techniques[name],0))&gt;0,INDEX(techniques[coverage],MATCH(C48,techniques[name],0)),""),"")</f>
        <v/>
      </c>
      <c r="E48" s="45" t="n"/>
      <c r="F48" s="62">
        <f t="array" ref="F48">IF(E48&lt;&gt;"",IF(INDEX(techniques[coverage],MATCH(E48,techniques[name],0))&gt;0,INDEX(techniques[coverage],MATCH(E48,techniques[name],0)),""),"")</f>
        <v/>
      </c>
      <c r="G48" s="45" t="n"/>
      <c r="H48" s="62">
        <f t="array" ref="H48">IF(G48&lt;&gt;"",IF(INDEX(techniques[coverage],MATCH(G48,techniques[name],0))&gt;0,INDEX(techniques[coverage],MATCH(G48,techniques[name],0)),""),"")</f>
        <v/>
      </c>
      <c r="I48" s="45" t="n"/>
      <c r="J48" s="62">
        <f t="array" ref="J48">IF(I48&lt;&gt;"",IF(INDEX(techniques[coverage],MATCH(I48,techniques[name],0))&gt;0,INDEX(techniques[coverage],MATCH(I48,techniques[name],0)),""),"")</f>
        <v/>
      </c>
      <c r="K48" s="45" t="n"/>
      <c r="L48" s="62">
        <f t="array" ref="L48">IF(K48&lt;&gt;"",IF(INDEX(techniques[coverage],MATCH(K48,techniques[name],0))&gt;0,INDEX(techniques[coverage],MATCH(K48,techniques[name],0)),""),"")</f>
        <v/>
      </c>
      <c r="M48" s="45" t="n"/>
      <c r="N48" s="62">
        <f t="array" ref="N48">IF(M48&lt;&gt;"",IF(INDEX(techniques[coverage],MATCH(M48,techniques[name],0))&gt;0,INDEX(techniques[coverage],MATCH(M48,techniques[name],0)),""),"")</f>
        <v/>
      </c>
      <c r="O48" s="45" t="n"/>
      <c r="P48" s="62">
        <f t="array" ref="P48">IF(O48&lt;&gt;"",IF(INDEX(techniques[coverage],MATCH(O48,techniques[name],0))&gt;0,INDEX(techniques[coverage],MATCH(O48,techniques[name],0)),""),"")</f>
        <v/>
      </c>
      <c r="Q48" s="45" t="n"/>
      <c r="R48" s="62">
        <f t="array" ref="R48">IF(Q48&lt;&gt;"",IF(INDEX(techniques[coverage],MATCH(Q48,techniques[name],0))&gt;0,INDEX(techniques[coverage],MATCH(Q48,techniques[name],0)),""),"")</f>
        <v/>
      </c>
      <c r="S48" s="45" t="n"/>
      <c r="T48" s="62">
        <f t="array" ref="T48">IF(S48&lt;&gt;"",IF(INDEX(techniques[coverage],MATCH(S48,techniques[name],0))&gt;0,INDEX(techniques[coverage],MATCH(S48,techniques[name],0)),""),"")</f>
        <v/>
      </c>
      <c r="U48" s="45" t="n"/>
      <c r="V48" s="62">
        <f t="array" ref="V48">IF(U48&lt;&gt;"",IF(INDEX(techniques[coverage],MATCH(U48,techniques[name],0))&gt;0,INDEX(techniques[coverage],MATCH(U48,techniques[name],0)),""),"")</f>
        <v/>
      </c>
      <c r="W48" s="45" t="n"/>
      <c r="X48" s="62">
        <f t="array" ref="X48">IF(W48&lt;&gt;"",IF(INDEX(techniques[coverage],MATCH(W48,techniques[name],0))&gt;0,INDEX(techniques[coverage],MATCH(W48,techniques[name],0)),""),"")</f>
        <v/>
      </c>
      <c r="Y48" s="45" t="n"/>
      <c r="Z48" s="62">
        <f t="array" ref="Z48">IF(Y48&lt;&gt;"",IF(INDEX(techniques[coverage],MATCH(Y48,techniques[name],0))&gt;0,INDEX(techniques[coverage],MATCH(Y48,techniques[name],0)),""),"")</f>
        <v/>
      </c>
      <c r="AA48" s="45" t="n"/>
      <c r="AB48" s="62">
        <f t="array" ref="AB48">IF(AA48&lt;&gt;"",IF(INDEX(techniques[coverage],MATCH(AA48,techniques[name],0))&gt;0,INDEX(techniques[coverage],MATCH(AA48,techniques[name],0)),""),"")</f>
        <v/>
      </c>
      <c r="AC48" s="45" t="n"/>
      <c r="AD48" s="62">
        <f t="array" ref="AD48">IF(AC48&lt;&gt;"",IF(INDEX(techniques[coverage],MATCH(AC48,techniques[name],0))&gt;0,INDEX(techniques[coverage],MATCH(AC48,techniques[name],0)),""),"")</f>
        <v/>
      </c>
    </row>
    <row r="49">
      <c r="A49" s="45" t="n"/>
      <c r="B49" s="62">
        <f t="array" ref="B49">IF(A49&lt;&gt;"",IF(INDEX(techniques[coverage],MATCH(A49,techniques[name],0))&gt;0,INDEX(techniques[coverage],MATCH(A49,techniques[name],0)),""),"")</f>
        <v/>
      </c>
      <c r="C49" s="45" t="n"/>
      <c r="D49" s="62">
        <f t="array" ref="D49">IF(C49&lt;&gt;"",IF(INDEX(techniques[coverage],MATCH(C49,techniques[name],0))&gt;0,INDEX(techniques[coverage],MATCH(C49,techniques[name],0)),""),"")</f>
        <v/>
      </c>
      <c r="E49" s="45" t="n"/>
      <c r="F49" s="62">
        <f t="array" ref="F49">IF(E49&lt;&gt;"",IF(INDEX(techniques[coverage],MATCH(E49,techniques[name],0))&gt;0,INDEX(techniques[coverage],MATCH(E49,techniques[name],0)),""),"")</f>
        <v/>
      </c>
      <c r="G49" s="45" t="n"/>
      <c r="H49" s="62">
        <f t="array" ref="H49">IF(G49&lt;&gt;"",IF(INDEX(techniques[coverage],MATCH(G49,techniques[name],0))&gt;0,INDEX(techniques[coverage],MATCH(G49,techniques[name],0)),""),"")</f>
        <v/>
      </c>
      <c r="I49" s="45" t="n"/>
      <c r="J49" s="62">
        <f t="array" ref="J49">IF(I49&lt;&gt;"",IF(INDEX(techniques[coverage],MATCH(I49,techniques[name],0))&gt;0,INDEX(techniques[coverage],MATCH(I49,techniques[name],0)),""),"")</f>
        <v/>
      </c>
      <c r="K49" s="45" t="n"/>
      <c r="L49" s="62">
        <f t="array" ref="L49">IF(K49&lt;&gt;"",IF(INDEX(techniques[coverage],MATCH(K49,techniques[name],0))&gt;0,INDEX(techniques[coverage],MATCH(K49,techniques[name],0)),""),"")</f>
        <v/>
      </c>
      <c r="M49" s="45" t="n"/>
      <c r="N49" s="62">
        <f t="array" ref="N49">IF(M49&lt;&gt;"",IF(INDEX(techniques[coverage],MATCH(M49,techniques[name],0))&gt;0,INDEX(techniques[coverage],MATCH(M49,techniques[name],0)),""),"")</f>
        <v/>
      </c>
      <c r="O49" s="45" t="n"/>
      <c r="P49" s="62">
        <f t="array" ref="P49">IF(O49&lt;&gt;"",IF(INDEX(techniques[coverage],MATCH(O49,techniques[name],0))&gt;0,INDEX(techniques[coverage],MATCH(O49,techniques[name],0)),""),"")</f>
        <v/>
      </c>
      <c r="Q49" s="45" t="n"/>
      <c r="R49" s="62">
        <f t="array" ref="R49">IF(Q49&lt;&gt;"",IF(INDEX(techniques[coverage],MATCH(Q49,techniques[name],0))&gt;0,INDEX(techniques[coverage],MATCH(Q49,techniques[name],0)),""),"")</f>
        <v/>
      </c>
      <c r="S49" s="45" t="n"/>
      <c r="T49" s="62">
        <f t="array" ref="T49">IF(S49&lt;&gt;"",IF(INDEX(techniques[coverage],MATCH(S49,techniques[name],0))&gt;0,INDEX(techniques[coverage],MATCH(S49,techniques[name],0)),""),"")</f>
        <v/>
      </c>
      <c r="U49" s="45" t="n"/>
      <c r="V49" s="62">
        <f t="array" ref="V49">IF(U49&lt;&gt;"",IF(INDEX(techniques[coverage],MATCH(U49,techniques[name],0))&gt;0,INDEX(techniques[coverage],MATCH(U49,techniques[name],0)),""),"")</f>
        <v/>
      </c>
      <c r="W49" s="45" t="n"/>
      <c r="X49" s="62">
        <f t="array" ref="X49">IF(W49&lt;&gt;"",IF(INDEX(techniques[coverage],MATCH(W49,techniques[name],0))&gt;0,INDEX(techniques[coverage],MATCH(W49,techniques[name],0)),""),"")</f>
        <v/>
      </c>
      <c r="Y49" s="45" t="n"/>
      <c r="Z49" s="62">
        <f t="array" ref="Z49">IF(Y49&lt;&gt;"",IF(INDEX(techniques[coverage],MATCH(Y49,techniques[name],0))&gt;0,INDEX(techniques[coverage],MATCH(Y49,techniques[name],0)),""),"")</f>
        <v/>
      </c>
      <c r="AA49" s="45" t="n"/>
      <c r="AB49" s="62">
        <f t="array" ref="AB49">IF(AA49&lt;&gt;"",IF(INDEX(techniques[coverage],MATCH(AA49,techniques[name],0))&gt;0,INDEX(techniques[coverage],MATCH(AA49,techniques[name],0)),""),"")</f>
        <v/>
      </c>
      <c r="AC49" s="45" t="n"/>
      <c r="AD49" s="62">
        <f t="array" ref="AD49">IF(AC49&lt;&gt;"",IF(INDEX(techniques[coverage],MATCH(AC49,techniques[name],0))&gt;0,INDEX(techniques[coverage],MATCH(AC49,techniques[name],0)),""),"")</f>
        <v/>
      </c>
    </row>
    <row r="50">
      <c r="A50" s="45" t="n"/>
      <c r="B50" s="62">
        <f t="array" ref="B50">IF(A50&lt;&gt;"",IF(INDEX(techniques[coverage],MATCH(A50,techniques[name],0))&gt;0,INDEX(techniques[coverage],MATCH(A50,techniques[name],0)),""),"")</f>
        <v/>
      </c>
      <c r="C50" s="45" t="n"/>
      <c r="D50" s="62">
        <f t="array" ref="D50">IF(C50&lt;&gt;"",IF(INDEX(techniques[coverage],MATCH(C50,techniques[name],0))&gt;0,INDEX(techniques[coverage],MATCH(C50,techniques[name],0)),""),"")</f>
        <v/>
      </c>
      <c r="E50" s="45" t="n"/>
      <c r="F50" s="62">
        <f t="array" ref="F50">IF(E50&lt;&gt;"",IF(INDEX(techniques[coverage],MATCH(E50,techniques[name],0))&gt;0,INDEX(techniques[coverage],MATCH(E50,techniques[name],0)),""),"")</f>
        <v/>
      </c>
      <c r="G50" s="45" t="n"/>
      <c r="H50" s="62">
        <f t="array" ref="H50">IF(G50&lt;&gt;"",IF(INDEX(techniques[coverage],MATCH(G50,techniques[name],0))&gt;0,INDEX(techniques[coverage],MATCH(G50,techniques[name],0)),""),"")</f>
        <v/>
      </c>
      <c r="I50" s="45" t="n"/>
      <c r="J50" s="62">
        <f t="array" ref="J50">IF(I50&lt;&gt;"",IF(INDEX(techniques[coverage],MATCH(I50,techniques[name],0))&gt;0,INDEX(techniques[coverage],MATCH(I50,techniques[name],0)),""),"")</f>
        <v/>
      </c>
      <c r="K50" s="45" t="n"/>
      <c r="L50" s="62">
        <f t="array" ref="L50">IF(K50&lt;&gt;"",IF(INDEX(techniques[coverage],MATCH(K50,techniques[name],0))&gt;0,INDEX(techniques[coverage],MATCH(K50,techniques[name],0)),""),"")</f>
        <v/>
      </c>
      <c r="M50" s="45" t="n"/>
      <c r="N50" s="62">
        <f t="array" ref="N50">IF(M50&lt;&gt;"",IF(INDEX(techniques[coverage],MATCH(M50,techniques[name],0))&gt;0,INDEX(techniques[coverage],MATCH(M50,techniques[name],0)),""),"")</f>
        <v/>
      </c>
      <c r="O50" s="45" t="n"/>
      <c r="P50" s="62">
        <f t="array" ref="P50">IF(O50&lt;&gt;"",IF(INDEX(techniques[coverage],MATCH(O50,techniques[name],0))&gt;0,INDEX(techniques[coverage],MATCH(O50,techniques[name],0)),""),"")</f>
        <v/>
      </c>
      <c r="Q50" s="45" t="n"/>
      <c r="R50" s="62">
        <f t="array" ref="R50">IF(Q50&lt;&gt;"",IF(INDEX(techniques[coverage],MATCH(Q50,techniques[name],0))&gt;0,INDEX(techniques[coverage],MATCH(Q50,techniques[name],0)),""),"")</f>
        <v/>
      </c>
      <c r="S50" s="45" t="n"/>
      <c r="T50" s="62">
        <f t="array" ref="T50">IF(S50&lt;&gt;"",IF(INDEX(techniques[coverage],MATCH(S50,techniques[name],0))&gt;0,INDEX(techniques[coverage],MATCH(S50,techniques[name],0)),""),"")</f>
        <v/>
      </c>
      <c r="U50" s="45" t="n"/>
      <c r="V50" s="62">
        <f t="array" ref="V50">IF(U50&lt;&gt;"",IF(INDEX(techniques[coverage],MATCH(U50,techniques[name],0))&gt;0,INDEX(techniques[coverage],MATCH(U50,techniques[name],0)),""),"")</f>
        <v/>
      </c>
      <c r="W50" s="45" t="n"/>
      <c r="X50" s="62">
        <f t="array" ref="X50">IF(W50&lt;&gt;"",IF(INDEX(techniques[coverage],MATCH(W50,techniques[name],0))&gt;0,INDEX(techniques[coverage],MATCH(W50,techniques[name],0)),""),"")</f>
        <v/>
      </c>
      <c r="Y50" s="45" t="n"/>
      <c r="Z50" s="62">
        <f t="array" ref="Z50">IF(Y50&lt;&gt;"",IF(INDEX(techniques[coverage],MATCH(Y50,techniques[name],0))&gt;0,INDEX(techniques[coverage],MATCH(Y50,techniques[name],0)),""),"")</f>
        <v/>
      </c>
      <c r="AA50" s="45" t="n"/>
      <c r="AB50" s="62">
        <f t="array" ref="AB50">IF(AA50&lt;&gt;"",IF(INDEX(techniques[coverage],MATCH(AA50,techniques[name],0))&gt;0,INDEX(techniques[coverage],MATCH(AA50,techniques[name],0)),""),"")</f>
        <v/>
      </c>
      <c r="AC50" s="45" t="n"/>
      <c r="AD50" s="62">
        <f t="array" ref="AD50">IF(AC50&lt;&gt;"",IF(INDEX(techniques[coverage],MATCH(AC50,techniques[name],0))&gt;0,INDEX(techniques[coverage],MATCH(AC50,techniques[name],0)),""),"")</f>
        <v/>
      </c>
    </row>
    <row r="51">
      <c r="A51" s="45" t="n"/>
      <c r="B51" s="62">
        <f t="array" ref="B51">IF(A51&lt;&gt;"",IF(INDEX(techniques[coverage],MATCH(A51,techniques[name],0))&gt;0,INDEX(techniques[coverage],MATCH(A51,techniques[name],0)),""),"")</f>
        <v/>
      </c>
      <c r="C51" s="45" t="n"/>
      <c r="D51" s="62">
        <f t="array" ref="D51">IF(C51&lt;&gt;"",IF(INDEX(techniques[coverage],MATCH(C51,techniques[name],0))&gt;0,INDEX(techniques[coverage],MATCH(C51,techniques[name],0)),""),"")</f>
        <v/>
      </c>
      <c r="E51" s="45" t="n"/>
      <c r="F51" s="62">
        <f t="array" ref="F51">IF(E51&lt;&gt;"",IF(INDEX(techniques[coverage],MATCH(E51,techniques[name],0))&gt;0,INDEX(techniques[coverage],MATCH(E51,techniques[name],0)),""),"")</f>
        <v/>
      </c>
      <c r="G51" s="45" t="n"/>
      <c r="H51" s="62">
        <f t="array" ref="H51">IF(G51&lt;&gt;"",IF(INDEX(techniques[coverage],MATCH(G51,techniques[name],0))&gt;0,INDEX(techniques[coverage],MATCH(G51,techniques[name],0)),""),"")</f>
        <v/>
      </c>
      <c r="I51" s="45" t="n"/>
      <c r="J51" s="62">
        <f t="array" ref="J51">IF(I51&lt;&gt;"",IF(INDEX(techniques[coverage],MATCH(I51,techniques[name],0))&gt;0,INDEX(techniques[coverage],MATCH(I51,techniques[name],0)),""),"")</f>
        <v/>
      </c>
      <c r="K51" s="45" t="n"/>
      <c r="L51" s="62">
        <f t="array" ref="L51">IF(K51&lt;&gt;"",IF(INDEX(techniques[coverage],MATCH(K51,techniques[name],0))&gt;0,INDEX(techniques[coverage],MATCH(K51,techniques[name],0)),""),"")</f>
        <v/>
      </c>
      <c r="M51" s="45" t="n"/>
      <c r="N51" s="62">
        <f t="array" ref="N51">IF(M51&lt;&gt;"",IF(INDEX(techniques[coverage],MATCH(M51,techniques[name],0))&gt;0,INDEX(techniques[coverage],MATCH(M51,techniques[name],0)),""),"")</f>
        <v/>
      </c>
      <c r="O51" s="45" t="n"/>
      <c r="P51" s="62">
        <f t="array" ref="P51">IF(O51&lt;&gt;"",IF(INDEX(techniques[coverage],MATCH(O51,techniques[name],0))&gt;0,INDEX(techniques[coverage],MATCH(O51,techniques[name],0)),""),"")</f>
        <v/>
      </c>
      <c r="Q51" s="45" t="n"/>
      <c r="R51" s="62">
        <f t="array" ref="R51">IF(Q51&lt;&gt;"",IF(INDEX(techniques[coverage],MATCH(Q51,techniques[name],0))&gt;0,INDEX(techniques[coverage],MATCH(Q51,techniques[name],0)),""),"")</f>
        <v/>
      </c>
      <c r="S51" s="45" t="n"/>
      <c r="T51" s="62">
        <f t="array" ref="T51">IF(S51&lt;&gt;"",IF(INDEX(techniques[coverage],MATCH(S51,techniques[name],0))&gt;0,INDEX(techniques[coverage],MATCH(S51,techniques[name],0)),""),"")</f>
        <v/>
      </c>
      <c r="U51" s="45" t="n"/>
      <c r="V51" s="62">
        <f t="array" ref="V51">IF(U51&lt;&gt;"",IF(INDEX(techniques[coverage],MATCH(U51,techniques[name],0))&gt;0,INDEX(techniques[coverage],MATCH(U51,techniques[name],0)),""),"")</f>
        <v/>
      </c>
      <c r="W51" s="45" t="n"/>
      <c r="X51" s="62">
        <f t="array" ref="X51">IF(W51&lt;&gt;"",IF(INDEX(techniques[coverage],MATCH(W51,techniques[name],0))&gt;0,INDEX(techniques[coverage],MATCH(W51,techniques[name],0)),""),"")</f>
        <v/>
      </c>
      <c r="Y51" s="45" t="n"/>
      <c r="Z51" s="62">
        <f t="array" ref="Z51">IF(Y51&lt;&gt;"",IF(INDEX(techniques[coverage],MATCH(Y51,techniques[name],0))&gt;0,INDEX(techniques[coverage],MATCH(Y51,techniques[name],0)),""),"")</f>
        <v/>
      </c>
      <c r="AA51" s="45" t="n"/>
      <c r="AB51" s="62">
        <f t="array" ref="AB51">IF(AA51&lt;&gt;"",IF(INDEX(techniques[coverage],MATCH(AA51,techniques[name],0))&gt;0,INDEX(techniques[coverage],MATCH(AA51,techniques[name],0)),""),"")</f>
        <v/>
      </c>
      <c r="AC51" s="45" t="n"/>
      <c r="AD51" s="62">
        <f t="array" ref="AD51">IF(AC51&lt;&gt;"",IF(INDEX(techniques[coverage],MATCH(AC51,techniques[name],0))&gt;0,INDEX(techniques[coverage],MATCH(AC51,techniques[name],0)),""),"")</f>
        <v/>
      </c>
    </row>
    <row r="52">
      <c r="A52" s="45" t="n"/>
      <c r="B52" s="62">
        <f t="array" ref="B52">IF(A52&lt;&gt;"",IF(INDEX(techniques[coverage],MATCH(A52,techniques[name],0))&gt;0,INDEX(techniques[coverage],MATCH(A52,techniques[name],0)),""),"")</f>
        <v/>
      </c>
      <c r="C52" s="45" t="n"/>
      <c r="D52" s="62">
        <f t="array" ref="D52">IF(C52&lt;&gt;"",IF(INDEX(techniques[coverage],MATCH(C52,techniques[name],0))&gt;0,INDEX(techniques[coverage],MATCH(C52,techniques[name],0)),""),"")</f>
        <v/>
      </c>
      <c r="E52" s="45" t="n"/>
      <c r="F52" s="62">
        <f t="array" ref="F52">IF(E52&lt;&gt;"",IF(INDEX(techniques[coverage],MATCH(E52,techniques[name],0))&gt;0,INDEX(techniques[coverage],MATCH(E52,techniques[name],0)),""),"")</f>
        <v/>
      </c>
      <c r="G52" s="45" t="n"/>
      <c r="H52" s="62">
        <f t="array" ref="H52">IF(G52&lt;&gt;"",IF(INDEX(techniques[coverage],MATCH(G52,techniques[name],0))&gt;0,INDEX(techniques[coverage],MATCH(G52,techniques[name],0)),""),"")</f>
        <v/>
      </c>
      <c r="I52" s="45" t="n"/>
      <c r="J52" s="62">
        <f t="array" ref="J52">IF(I52&lt;&gt;"",IF(INDEX(techniques[coverage],MATCH(I52,techniques[name],0))&gt;0,INDEX(techniques[coverage],MATCH(I52,techniques[name],0)),""),"")</f>
        <v/>
      </c>
      <c r="K52" s="45" t="n"/>
      <c r="L52" s="62">
        <f t="array" ref="L52">IF(K52&lt;&gt;"",IF(INDEX(techniques[coverage],MATCH(K52,techniques[name],0))&gt;0,INDEX(techniques[coverage],MATCH(K52,techniques[name],0)),""),"")</f>
        <v/>
      </c>
      <c r="M52" s="45" t="n"/>
      <c r="N52" s="62">
        <f t="array" ref="N52">IF(M52&lt;&gt;"",IF(INDEX(techniques[coverage],MATCH(M52,techniques[name],0))&gt;0,INDEX(techniques[coverage],MATCH(M52,techniques[name],0)),""),"")</f>
        <v/>
      </c>
      <c r="O52" s="45" t="n"/>
      <c r="P52" s="62">
        <f t="array" ref="P52">IF(O52&lt;&gt;"",IF(INDEX(techniques[coverage],MATCH(O52,techniques[name],0))&gt;0,INDEX(techniques[coverage],MATCH(O52,techniques[name],0)),""),"")</f>
        <v/>
      </c>
      <c r="Q52" s="45" t="n"/>
      <c r="R52" s="62">
        <f t="array" ref="R52">IF(Q52&lt;&gt;"",IF(INDEX(techniques[coverage],MATCH(Q52,techniques[name],0))&gt;0,INDEX(techniques[coverage],MATCH(Q52,techniques[name],0)),""),"")</f>
        <v/>
      </c>
      <c r="S52" s="45" t="n"/>
      <c r="T52" s="62">
        <f t="array" ref="T52">IF(S52&lt;&gt;"",IF(INDEX(techniques[coverage],MATCH(S52,techniques[name],0))&gt;0,INDEX(techniques[coverage],MATCH(S52,techniques[name],0)),""),"")</f>
        <v/>
      </c>
      <c r="U52" s="45" t="n"/>
      <c r="V52" s="62">
        <f t="array" ref="V52">IF(U52&lt;&gt;"",IF(INDEX(techniques[coverage],MATCH(U52,techniques[name],0))&gt;0,INDEX(techniques[coverage],MATCH(U52,techniques[name],0)),""),"")</f>
        <v/>
      </c>
      <c r="W52" s="45" t="n"/>
      <c r="X52" s="62">
        <f t="array" ref="X52">IF(W52&lt;&gt;"",IF(INDEX(techniques[coverage],MATCH(W52,techniques[name],0))&gt;0,INDEX(techniques[coverage],MATCH(W52,techniques[name],0)),""),"")</f>
        <v/>
      </c>
      <c r="Y52" s="45" t="n"/>
      <c r="Z52" s="62">
        <f t="array" ref="Z52">IF(Y52&lt;&gt;"",IF(INDEX(techniques[coverage],MATCH(Y52,techniques[name],0))&gt;0,INDEX(techniques[coverage],MATCH(Y52,techniques[name],0)),""),"")</f>
        <v/>
      </c>
      <c r="AA52" s="45" t="n"/>
      <c r="AB52" s="62">
        <f t="array" ref="AB52">IF(AA52&lt;&gt;"",IF(INDEX(techniques[coverage],MATCH(AA52,techniques[name],0))&gt;0,INDEX(techniques[coverage],MATCH(AA52,techniques[name],0)),""),"")</f>
        <v/>
      </c>
      <c r="AC52" s="45" t="n"/>
      <c r="AD52" s="62">
        <f t="array" ref="AD52">IF(AC52&lt;&gt;"",IF(INDEX(techniques[coverage],MATCH(AC52,techniques[name],0))&gt;0,INDEX(techniques[coverage],MATCH(AC52,techniques[name],0)),""),"")</f>
        <v/>
      </c>
    </row>
    <row r="53">
      <c r="A53" s="45" t="n"/>
      <c r="B53" s="62">
        <f t="array" ref="B53">IF(A53&lt;&gt;"",IF(INDEX(techniques[coverage],MATCH(A53,techniques[name],0))&gt;0,INDEX(techniques[coverage],MATCH(A53,techniques[name],0)),""),"")</f>
        <v/>
      </c>
      <c r="C53" s="45" t="n"/>
      <c r="D53" s="62">
        <f t="array" ref="D53">IF(C53&lt;&gt;"",IF(INDEX(techniques[coverage],MATCH(C53,techniques[name],0))&gt;0,INDEX(techniques[coverage],MATCH(C53,techniques[name],0)),""),"")</f>
        <v/>
      </c>
      <c r="E53" s="45" t="n"/>
      <c r="F53" s="62">
        <f t="array" ref="F53">IF(E53&lt;&gt;"",IF(INDEX(techniques[coverage],MATCH(E53,techniques[name],0))&gt;0,INDEX(techniques[coverage],MATCH(E53,techniques[name],0)),""),"")</f>
        <v/>
      </c>
      <c r="G53" s="45" t="n"/>
      <c r="H53" s="62">
        <f t="array" ref="H53">IF(G53&lt;&gt;"",IF(INDEX(techniques[coverage],MATCH(G53,techniques[name],0))&gt;0,INDEX(techniques[coverage],MATCH(G53,techniques[name],0)),""),"")</f>
        <v/>
      </c>
      <c r="I53" s="45" t="n"/>
      <c r="J53" s="62">
        <f t="array" ref="J53">IF(I53&lt;&gt;"",IF(INDEX(techniques[coverage],MATCH(I53,techniques[name],0))&gt;0,INDEX(techniques[coverage],MATCH(I53,techniques[name],0)),""),"")</f>
        <v/>
      </c>
      <c r="K53" s="45" t="n"/>
      <c r="L53" s="62">
        <f t="array" ref="L53">IF(K53&lt;&gt;"",IF(INDEX(techniques[coverage],MATCH(K53,techniques[name],0))&gt;0,INDEX(techniques[coverage],MATCH(K53,techniques[name],0)),""),"")</f>
        <v/>
      </c>
      <c r="M53" s="45" t="n"/>
      <c r="N53" s="62">
        <f t="array" ref="N53">IF(M53&lt;&gt;"",IF(INDEX(techniques[coverage],MATCH(M53,techniques[name],0))&gt;0,INDEX(techniques[coverage],MATCH(M53,techniques[name],0)),""),"")</f>
        <v/>
      </c>
      <c r="O53" s="45" t="n"/>
      <c r="P53" s="62">
        <f t="array" ref="P53">IF(O53&lt;&gt;"",IF(INDEX(techniques[coverage],MATCH(O53,techniques[name],0))&gt;0,INDEX(techniques[coverage],MATCH(O53,techniques[name],0)),""),"")</f>
        <v/>
      </c>
      <c r="Q53" s="45" t="n"/>
      <c r="R53" s="62">
        <f t="array" ref="R53">IF(Q53&lt;&gt;"",IF(INDEX(techniques[coverage],MATCH(Q53,techniques[name],0))&gt;0,INDEX(techniques[coverage],MATCH(Q53,techniques[name],0)),""),"")</f>
        <v/>
      </c>
      <c r="S53" s="45" t="n"/>
      <c r="T53" s="62">
        <f t="array" ref="T53">IF(S53&lt;&gt;"",IF(INDEX(techniques[coverage],MATCH(S53,techniques[name],0))&gt;0,INDEX(techniques[coverage],MATCH(S53,techniques[name],0)),""),"")</f>
        <v/>
      </c>
      <c r="U53" s="45" t="n"/>
      <c r="V53" s="62">
        <f t="array" ref="V53">IF(U53&lt;&gt;"",IF(INDEX(techniques[coverage],MATCH(U53,techniques[name],0))&gt;0,INDEX(techniques[coverage],MATCH(U53,techniques[name],0)),""),"")</f>
        <v/>
      </c>
      <c r="W53" s="45" t="n"/>
      <c r="X53" s="62">
        <f t="array" ref="X53">IF(W53&lt;&gt;"",IF(INDEX(techniques[coverage],MATCH(W53,techniques[name],0))&gt;0,INDEX(techniques[coverage],MATCH(W53,techniques[name],0)),""),"")</f>
        <v/>
      </c>
      <c r="Y53" s="45" t="n"/>
      <c r="Z53" s="62">
        <f t="array" ref="Z53">IF(Y53&lt;&gt;"",IF(INDEX(techniques[coverage],MATCH(Y53,techniques[name],0))&gt;0,INDEX(techniques[coverage],MATCH(Y53,techniques[name],0)),""),"")</f>
        <v/>
      </c>
      <c r="AA53" s="45" t="n"/>
      <c r="AB53" s="62">
        <f t="array" ref="AB53">IF(AA53&lt;&gt;"",IF(INDEX(techniques[coverage],MATCH(AA53,techniques[name],0))&gt;0,INDEX(techniques[coverage],MATCH(AA53,techniques[name],0)),""),"")</f>
        <v/>
      </c>
      <c r="AC53" s="45" t="n"/>
      <c r="AD53" s="62">
        <f t="array" ref="AD53">IF(AC53&lt;&gt;"",IF(INDEX(techniques[coverage],MATCH(AC53,techniques[name],0))&gt;0,INDEX(techniques[coverage],MATCH(AC53,techniques[name],0)),""),"")</f>
        <v/>
      </c>
    </row>
    <row r="54">
      <c r="A54" s="45" t="n"/>
      <c r="B54" s="62">
        <f t="array" ref="B54">IF(A54&lt;&gt;"",IF(INDEX(techniques[coverage],MATCH(A54,techniques[name],0))&gt;0,INDEX(techniques[coverage],MATCH(A54,techniques[name],0)),""),"")</f>
        <v/>
      </c>
      <c r="C54" s="45" t="n"/>
      <c r="D54" s="62">
        <f t="array" ref="D54">IF(C54&lt;&gt;"",IF(INDEX(techniques[coverage],MATCH(C54,techniques[name],0))&gt;0,INDEX(techniques[coverage],MATCH(C54,techniques[name],0)),""),"")</f>
        <v/>
      </c>
      <c r="E54" s="45" t="n"/>
      <c r="F54" s="62">
        <f t="array" ref="F54">IF(E54&lt;&gt;"",IF(INDEX(techniques[coverage],MATCH(E54,techniques[name],0))&gt;0,INDEX(techniques[coverage],MATCH(E54,techniques[name],0)),""),"")</f>
        <v/>
      </c>
      <c r="G54" s="45" t="n"/>
      <c r="H54" s="62">
        <f t="array" ref="H54">IF(G54&lt;&gt;"",IF(INDEX(techniques[coverage],MATCH(G54,techniques[name],0))&gt;0,INDEX(techniques[coverage],MATCH(G54,techniques[name],0)),""),"")</f>
        <v/>
      </c>
      <c r="I54" s="45" t="n"/>
      <c r="J54" s="62">
        <f t="array" ref="J54">IF(I54&lt;&gt;"",IF(INDEX(techniques[coverage],MATCH(I54,techniques[name],0))&gt;0,INDEX(techniques[coverage],MATCH(I54,techniques[name],0)),""),"")</f>
        <v/>
      </c>
      <c r="K54" s="45" t="n"/>
      <c r="L54" s="62">
        <f t="array" ref="L54">IF(K54&lt;&gt;"",IF(INDEX(techniques[coverage],MATCH(K54,techniques[name],0))&gt;0,INDEX(techniques[coverage],MATCH(K54,techniques[name],0)),""),"")</f>
        <v/>
      </c>
      <c r="M54" s="45" t="n"/>
      <c r="N54" s="62">
        <f t="array" ref="N54">IF(M54&lt;&gt;"",IF(INDEX(techniques[coverage],MATCH(M54,techniques[name],0))&gt;0,INDEX(techniques[coverage],MATCH(M54,techniques[name],0)),""),"")</f>
        <v/>
      </c>
      <c r="O54" s="45" t="n"/>
      <c r="P54" s="62">
        <f t="array" ref="P54">IF(O54&lt;&gt;"",IF(INDEX(techniques[coverage],MATCH(O54,techniques[name],0))&gt;0,INDEX(techniques[coverage],MATCH(O54,techniques[name],0)),""),"")</f>
        <v/>
      </c>
      <c r="Q54" s="45" t="n"/>
      <c r="R54" s="62">
        <f t="array" ref="R54">IF(Q54&lt;&gt;"",IF(INDEX(techniques[coverage],MATCH(Q54,techniques[name],0))&gt;0,INDEX(techniques[coverage],MATCH(Q54,techniques[name],0)),""),"")</f>
        <v/>
      </c>
      <c r="S54" s="45" t="n"/>
      <c r="T54" s="62">
        <f t="array" ref="T54">IF(S54&lt;&gt;"",IF(INDEX(techniques[coverage],MATCH(S54,techniques[name],0))&gt;0,INDEX(techniques[coverage],MATCH(S54,techniques[name],0)),""),"")</f>
        <v/>
      </c>
      <c r="U54" s="45" t="n"/>
      <c r="V54" s="62">
        <f t="array" ref="V54">IF(U54&lt;&gt;"",IF(INDEX(techniques[coverage],MATCH(U54,techniques[name],0))&gt;0,INDEX(techniques[coverage],MATCH(U54,techniques[name],0)),""),"")</f>
        <v/>
      </c>
      <c r="W54" s="45" t="n"/>
      <c r="X54" s="62">
        <f t="array" ref="X54">IF(W54&lt;&gt;"",IF(INDEX(techniques[coverage],MATCH(W54,techniques[name],0))&gt;0,INDEX(techniques[coverage],MATCH(W54,techniques[name],0)),""),"")</f>
        <v/>
      </c>
      <c r="Y54" s="45" t="n"/>
      <c r="Z54" s="62">
        <f t="array" ref="Z54">IF(Y54&lt;&gt;"",IF(INDEX(techniques[coverage],MATCH(Y54,techniques[name],0))&gt;0,INDEX(techniques[coverage],MATCH(Y54,techniques[name],0)),""),"")</f>
        <v/>
      </c>
      <c r="AA54" s="45" t="n"/>
      <c r="AB54" s="62">
        <f t="array" ref="AB54">IF(AA54&lt;&gt;"",IF(INDEX(techniques[coverage],MATCH(AA54,techniques[name],0))&gt;0,INDEX(techniques[coverage],MATCH(AA54,techniques[name],0)),""),"")</f>
        <v/>
      </c>
      <c r="AC54" s="45" t="n"/>
      <c r="AD54" s="62">
        <f t="array" ref="AD54">IF(AC54&lt;&gt;"",IF(INDEX(techniques[coverage],MATCH(AC54,techniques[name],0))&gt;0,INDEX(techniques[coverage],MATCH(AC54,techniques[name],0)),""),"")</f>
        <v/>
      </c>
    </row>
    <row r="55">
      <c r="A55" s="45" t="n"/>
      <c r="B55" s="62">
        <f t="array" ref="B55">IF(A55&lt;&gt;"",IF(INDEX(techniques[coverage],MATCH(A55,techniques[name],0))&gt;0,INDEX(techniques[coverage],MATCH(A55,techniques[name],0)),""),"")</f>
        <v/>
      </c>
      <c r="C55" s="45" t="n"/>
      <c r="D55" s="62">
        <f t="array" ref="D55">IF(C55&lt;&gt;"",IF(INDEX(techniques[coverage],MATCH(C55,techniques[name],0))&gt;0,INDEX(techniques[coverage],MATCH(C55,techniques[name],0)),""),"")</f>
        <v/>
      </c>
      <c r="E55" s="45" t="n"/>
      <c r="F55" s="62">
        <f t="array" ref="F55">IF(E55&lt;&gt;"",IF(INDEX(techniques[coverage],MATCH(E55,techniques[name],0))&gt;0,INDEX(techniques[coverage],MATCH(E55,techniques[name],0)),""),"")</f>
        <v/>
      </c>
      <c r="G55" s="45" t="n"/>
      <c r="H55" s="62">
        <f t="array" ref="H55">IF(G55&lt;&gt;"",IF(INDEX(techniques[coverage],MATCH(G55,techniques[name],0))&gt;0,INDEX(techniques[coverage],MATCH(G55,techniques[name],0)),""),"")</f>
        <v/>
      </c>
      <c r="I55" s="45" t="n"/>
      <c r="J55" s="62">
        <f t="array" ref="J55">IF(I55&lt;&gt;"",IF(INDEX(techniques[coverage],MATCH(I55,techniques[name],0))&gt;0,INDEX(techniques[coverage],MATCH(I55,techniques[name],0)),""),"")</f>
        <v/>
      </c>
      <c r="K55" s="45" t="n"/>
      <c r="L55" s="62">
        <f t="array" ref="L55">IF(K55&lt;&gt;"",IF(INDEX(techniques[coverage],MATCH(K55,techniques[name],0))&gt;0,INDEX(techniques[coverage],MATCH(K55,techniques[name],0)),""),"")</f>
        <v/>
      </c>
      <c r="M55" s="45" t="n"/>
      <c r="N55" s="62">
        <f t="array" ref="N55">IF(M55&lt;&gt;"",IF(INDEX(techniques[coverage],MATCH(M55,techniques[name],0))&gt;0,INDEX(techniques[coverage],MATCH(M55,techniques[name],0)),""),"")</f>
        <v/>
      </c>
      <c r="O55" s="45" t="n"/>
      <c r="P55" s="62">
        <f t="array" ref="P55">IF(O55&lt;&gt;"",IF(INDEX(techniques[coverage],MATCH(O55,techniques[name],0))&gt;0,INDEX(techniques[coverage],MATCH(O55,techniques[name],0)),""),"")</f>
        <v/>
      </c>
      <c r="Q55" s="45" t="n"/>
      <c r="R55" s="62">
        <f t="array" ref="R55">IF(Q55&lt;&gt;"",IF(INDEX(techniques[coverage],MATCH(Q55,techniques[name],0))&gt;0,INDEX(techniques[coverage],MATCH(Q55,techniques[name],0)),""),"")</f>
        <v/>
      </c>
      <c r="S55" s="45" t="n"/>
      <c r="T55" s="62">
        <f t="array" ref="T55">IF(S55&lt;&gt;"",IF(INDEX(techniques[coverage],MATCH(S55,techniques[name],0))&gt;0,INDEX(techniques[coverage],MATCH(S55,techniques[name],0)),""),"")</f>
        <v/>
      </c>
      <c r="U55" s="45" t="n"/>
      <c r="V55" s="62">
        <f t="array" ref="V55">IF(U55&lt;&gt;"",IF(INDEX(techniques[coverage],MATCH(U55,techniques[name],0))&gt;0,INDEX(techniques[coverage],MATCH(U55,techniques[name],0)),""),"")</f>
        <v/>
      </c>
      <c r="W55" s="45" t="n"/>
      <c r="X55" s="62">
        <f t="array" ref="X55">IF(W55&lt;&gt;"",IF(INDEX(techniques[coverage],MATCH(W55,techniques[name],0))&gt;0,INDEX(techniques[coverage],MATCH(W55,techniques[name],0)),""),"")</f>
        <v/>
      </c>
      <c r="Y55" s="45" t="n"/>
      <c r="Z55" s="62">
        <f t="array" ref="Z55">IF(Y55&lt;&gt;"",IF(INDEX(techniques[coverage],MATCH(Y55,techniques[name],0))&gt;0,INDEX(techniques[coverage],MATCH(Y55,techniques[name],0)),""),"")</f>
        <v/>
      </c>
      <c r="AA55" s="45" t="n"/>
      <c r="AB55" s="62">
        <f t="array" ref="AB55">IF(AA55&lt;&gt;"",IF(INDEX(techniques[coverage],MATCH(AA55,techniques[name],0))&gt;0,INDEX(techniques[coverage],MATCH(AA55,techniques[name],0)),""),"")</f>
        <v/>
      </c>
      <c r="AC55" s="45" t="n"/>
      <c r="AD55" s="62">
        <f t="array" ref="AD55">IF(AC55&lt;&gt;"",IF(INDEX(techniques[coverage],MATCH(AC55,techniques[name],0))&gt;0,INDEX(techniques[coverage],MATCH(AC55,techniques[name],0)),""),"")</f>
        <v/>
      </c>
    </row>
    <row r="56">
      <c r="A56" s="45" t="n"/>
      <c r="B56" s="62">
        <f t="array" ref="B56">IF(A56&lt;&gt;"",IF(INDEX(techniques[coverage],MATCH(A56,techniques[name],0))&gt;0,INDEX(techniques[coverage],MATCH(A56,techniques[name],0)),""),"")</f>
        <v/>
      </c>
      <c r="C56" s="45" t="n"/>
      <c r="D56" s="62">
        <f t="array" ref="D56">IF(C56&lt;&gt;"",IF(INDEX(techniques[coverage],MATCH(C56,techniques[name],0))&gt;0,INDEX(techniques[coverage],MATCH(C56,techniques[name],0)),""),"")</f>
        <v/>
      </c>
      <c r="E56" s="45" t="n"/>
      <c r="F56" s="62">
        <f t="array" ref="F56">IF(E56&lt;&gt;"",IF(INDEX(techniques[coverage],MATCH(E56,techniques[name],0))&gt;0,INDEX(techniques[coverage],MATCH(E56,techniques[name],0)),""),"")</f>
        <v/>
      </c>
      <c r="G56" s="45" t="n"/>
      <c r="H56" s="62">
        <f t="array" ref="H56">IF(G56&lt;&gt;"",IF(INDEX(techniques[coverage],MATCH(G56,techniques[name],0))&gt;0,INDEX(techniques[coverage],MATCH(G56,techniques[name],0)),""),"")</f>
        <v/>
      </c>
      <c r="I56" s="45" t="n"/>
      <c r="J56" s="62">
        <f t="array" ref="J56">IF(I56&lt;&gt;"",IF(INDEX(techniques[coverage],MATCH(I56,techniques[name],0))&gt;0,INDEX(techniques[coverage],MATCH(I56,techniques[name],0)),""),"")</f>
        <v/>
      </c>
      <c r="K56" s="45" t="n"/>
      <c r="L56" s="62">
        <f t="array" ref="L56">IF(K56&lt;&gt;"",IF(INDEX(techniques[coverage],MATCH(K56,techniques[name],0))&gt;0,INDEX(techniques[coverage],MATCH(K56,techniques[name],0)),""),"")</f>
        <v/>
      </c>
      <c r="M56" s="45" t="n"/>
      <c r="N56" s="62">
        <f t="array" ref="N56">IF(M56&lt;&gt;"",IF(INDEX(techniques[coverage],MATCH(M56,techniques[name],0))&gt;0,INDEX(techniques[coverage],MATCH(M56,techniques[name],0)),""),"")</f>
        <v/>
      </c>
      <c r="O56" s="45" t="n"/>
      <c r="P56" s="62">
        <f t="array" ref="P56">IF(O56&lt;&gt;"",IF(INDEX(techniques[coverage],MATCH(O56,techniques[name],0))&gt;0,INDEX(techniques[coverage],MATCH(O56,techniques[name],0)),""),"")</f>
        <v/>
      </c>
      <c r="Q56" s="45" t="n"/>
      <c r="R56" s="62">
        <f t="array" ref="R56">IF(Q56&lt;&gt;"",IF(INDEX(techniques[coverage],MATCH(Q56,techniques[name],0))&gt;0,INDEX(techniques[coverage],MATCH(Q56,techniques[name],0)),""),"")</f>
        <v/>
      </c>
      <c r="S56" s="45" t="n"/>
      <c r="T56" s="62">
        <f t="array" ref="T56">IF(S56&lt;&gt;"",IF(INDEX(techniques[coverage],MATCH(S56,techniques[name],0))&gt;0,INDEX(techniques[coverage],MATCH(S56,techniques[name],0)),""),"")</f>
        <v/>
      </c>
      <c r="U56" s="45" t="n"/>
      <c r="V56" s="62">
        <f t="array" ref="V56">IF(U56&lt;&gt;"",IF(INDEX(techniques[coverage],MATCH(U56,techniques[name],0))&gt;0,INDEX(techniques[coverage],MATCH(U56,techniques[name],0)),""),"")</f>
        <v/>
      </c>
      <c r="W56" s="45" t="n"/>
      <c r="X56" s="62">
        <f t="array" ref="X56">IF(W56&lt;&gt;"",IF(INDEX(techniques[coverage],MATCH(W56,techniques[name],0))&gt;0,INDEX(techniques[coverage],MATCH(W56,techniques[name],0)),""),"")</f>
        <v/>
      </c>
      <c r="Y56" s="45" t="n"/>
      <c r="Z56" s="62">
        <f t="array" ref="Z56">IF(Y56&lt;&gt;"",IF(INDEX(techniques[coverage],MATCH(Y56,techniques[name],0))&gt;0,INDEX(techniques[coverage],MATCH(Y56,techniques[name],0)),""),"")</f>
        <v/>
      </c>
      <c r="AA56" s="45" t="n"/>
      <c r="AB56" s="62">
        <f t="array" ref="AB56">IF(AA56&lt;&gt;"",IF(INDEX(techniques[coverage],MATCH(AA56,techniques[name],0))&gt;0,INDEX(techniques[coverage],MATCH(AA56,techniques[name],0)),""),"")</f>
        <v/>
      </c>
      <c r="AC56" s="45" t="n"/>
      <c r="AD56" s="62">
        <f t="array" ref="AD56">IF(AC56&lt;&gt;"",IF(INDEX(techniques[coverage],MATCH(AC56,techniques[name],0))&gt;0,INDEX(techniques[coverage],MATCH(AC56,techniques[name],0)),""),"")</f>
        <v/>
      </c>
    </row>
    <row r="57">
      <c r="A57" s="45" t="n"/>
      <c r="B57" s="62">
        <f t="array" ref="B57">IF(A57&lt;&gt;"",IF(INDEX(techniques[coverage],MATCH(A57,techniques[name],0))&gt;0,INDEX(techniques[coverage],MATCH(A57,techniques[name],0)),""),"")</f>
        <v/>
      </c>
      <c r="C57" s="45" t="n"/>
      <c r="D57" s="62">
        <f t="array" ref="D57">IF(C57&lt;&gt;"",IF(INDEX(techniques[coverage],MATCH(C57,techniques[name],0))&gt;0,INDEX(techniques[coverage],MATCH(C57,techniques[name],0)),""),"")</f>
        <v/>
      </c>
      <c r="E57" s="45" t="n"/>
      <c r="F57" s="62">
        <f t="array" ref="F57">IF(E57&lt;&gt;"",IF(INDEX(techniques[coverage],MATCH(E57,techniques[name],0))&gt;0,INDEX(techniques[coverage],MATCH(E57,techniques[name],0)),""),"")</f>
        <v/>
      </c>
      <c r="G57" s="45" t="n"/>
      <c r="H57" s="62">
        <f t="array" ref="H57">IF(G57&lt;&gt;"",IF(INDEX(techniques[coverage],MATCH(G57,techniques[name],0))&gt;0,INDEX(techniques[coverage],MATCH(G57,techniques[name],0)),""),"")</f>
        <v/>
      </c>
      <c r="I57" s="45" t="n"/>
      <c r="J57" s="62">
        <f t="array" ref="J57">IF(I57&lt;&gt;"",IF(INDEX(techniques[coverage],MATCH(I57,techniques[name],0))&gt;0,INDEX(techniques[coverage],MATCH(I57,techniques[name],0)),""),"")</f>
        <v/>
      </c>
      <c r="K57" s="45" t="n"/>
      <c r="L57" s="62">
        <f t="array" ref="L57">IF(K57&lt;&gt;"",IF(INDEX(techniques[coverage],MATCH(K57,techniques[name],0))&gt;0,INDEX(techniques[coverage],MATCH(K57,techniques[name],0)),""),"")</f>
        <v/>
      </c>
      <c r="M57" s="45" t="n"/>
      <c r="N57" s="62">
        <f t="array" ref="N57">IF(M57&lt;&gt;"",IF(INDEX(techniques[coverage],MATCH(M57,techniques[name],0))&gt;0,INDEX(techniques[coverage],MATCH(M57,techniques[name],0)),""),"")</f>
        <v/>
      </c>
      <c r="O57" s="45" t="n"/>
      <c r="P57" s="62">
        <f t="array" ref="P57">IF(O57&lt;&gt;"",IF(INDEX(techniques[coverage],MATCH(O57,techniques[name],0))&gt;0,INDEX(techniques[coverage],MATCH(O57,techniques[name],0)),""),"")</f>
        <v/>
      </c>
      <c r="Q57" s="45" t="n"/>
      <c r="R57" s="62">
        <f t="array" ref="R57">IF(Q57&lt;&gt;"",IF(INDEX(techniques[coverage],MATCH(Q57,techniques[name],0))&gt;0,INDEX(techniques[coverage],MATCH(Q57,techniques[name],0)),""),"")</f>
        <v/>
      </c>
      <c r="S57" s="45" t="n"/>
      <c r="T57" s="62">
        <f t="array" ref="T57">IF(S57&lt;&gt;"",IF(INDEX(techniques[coverage],MATCH(S57,techniques[name],0))&gt;0,INDEX(techniques[coverage],MATCH(S57,techniques[name],0)),""),"")</f>
        <v/>
      </c>
      <c r="U57" s="45" t="n"/>
      <c r="V57" s="62">
        <f t="array" ref="V57">IF(U57&lt;&gt;"",IF(INDEX(techniques[coverage],MATCH(U57,techniques[name],0))&gt;0,INDEX(techniques[coverage],MATCH(U57,techniques[name],0)),""),"")</f>
        <v/>
      </c>
      <c r="W57" s="45" t="n"/>
      <c r="X57" s="62">
        <f t="array" ref="X57">IF(W57&lt;&gt;"",IF(INDEX(techniques[coverage],MATCH(W57,techniques[name],0))&gt;0,INDEX(techniques[coverage],MATCH(W57,techniques[name],0)),""),"")</f>
        <v/>
      </c>
      <c r="Y57" s="45" t="n"/>
      <c r="Z57" s="62">
        <f t="array" ref="Z57">IF(Y57&lt;&gt;"",IF(INDEX(techniques[coverage],MATCH(Y57,techniques[name],0))&gt;0,INDEX(techniques[coverage],MATCH(Y57,techniques[name],0)),""),"")</f>
        <v/>
      </c>
      <c r="AA57" s="45" t="n"/>
      <c r="AB57" s="62">
        <f t="array" ref="AB57">IF(AA57&lt;&gt;"",IF(INDEX(techniques[coverage],MATCH(AA57,techniques[name],0))&gt;0,INDEX(techniques[coverage],MATCH(AA57,techniques[name],0)),""),"")</f>
        <v/>
      </c>
      <c r="AC57" s="45" t="n"/>
      <c r="AD57" s="62">
        <f t="array" ref="AD57">IF(AC57&lt;&gt;"",IF(INDEX(techniques[coverage],MATCH(AC57,techniques[name],0))&gt;0,INDEX(techniques[coverage],MATCH(AC57,techniques[name],0)),""),"")</f>
        <v/>
      </c>
    </row>
    <row r="58">
      <c r="A58" s="45" t="n"/>
      <c r="B58" s="62">
        <f t="array" ref="B58">IF(A58&lt;&gt;"",IF(INDEX(techniques[coverage],MATCH(A58,techniques[name],0))&gt;0,INDEX(techniques[coverage],MATCH(A58,techniques[name],0)),""),"")</f>
        <v/>
      </c>
      <c r="C58" s="45" t="n"/>
      <c r="D58" s="62">
        <f t="array" ref="D58">IF(C58&lt;&gt;"",IF(INDEX(techniques[coverage],MATCH(C58,techniques[name],0))&gt;0,INDEX(techniques[coverage],MATCH(C58,techniques[name],0)),""),"")</f>
        <v/>
      </c>
      <c r="E58" s="45" t="n"/>
      <c r="F58" s="62">
        <f t="array" ref="F58">IF(E58&lt;&gt;"",IF(INDEX(techniques[coverage],MATCH(E58,techniques[name],0))&gt;0,INDEX(techniques[coverage],MATCH(E58,techniques[name],0)),""),"")</f>
        <v/>
      </c>
      <c r="G58" s="45" t="n"/>
      <c r="H58" s="62">
        <f t="array" ref="H58">IF(G58&lt;&gt;"",IF(INDEX(techniques[coverage],MATCH(G58,techniques[name],0))&gt;0,INDEX(techniques[coverage],MATCH(G58,techniques[name],0)),""),"")</f>
        <v/>
      </c>
      <c r="I58" s="45" t="n"/>
      <c r="J58" s="62">
        <f t="array" ref="J58">IF(I58&lt;&gt;"",IF(INDEX(techniques[coverage],MATCH(I58,techniques[name],0))&gt;0,INDEX(techniques[coverage],MATCH(I58,techniques[name],0)),""),"")</f>
        <v/>
      </c>
      <c r="K58" s="45" t="n"/>
      <c r="L58" s="62">
        <f t="array" ref="L58">IF(K58&lt;&gt;"",IF(INDEX(techniques[coverage],MATCH(K58,techniques[name],0))&gt;0,INDEX(techniques[coverage],MATCH(K58,techniques[name],0)),""),"")</f>
        <v/>
      </c>
      <c r="M58" s="45" t="n"/>
      <c r="N58" s="62">
        <f t="array" ref="N58">IF(M58&lt;&gt;"",IF(INDEX(techniques[coverage],MATCH(M58,techniques[name],0))&gt;0,INDEX(techniques[coverage],MATCH(M58,techniques[name],0)),""),"")</f>
        <v/>
      </c>
      <c r="O58" s="45" t="n"/>
      <c r="P58" s="62">
        <f t="array" ref="P58">IF(O58&lt;&gt;"",IF(INDEX(techniques[coverage],MATCH(O58,techniques[name],0))&gt;0,INDEX(techniques[coverage],MATCH(O58,techniques[name],0)),""),"")</f>
        <v/>
      </c>
      <c r="Q58" s="45" t="n"/>
      <c r="R58" s="62">
        <f t="array" ref="R58">IF(Q58&lt;&gt;"",IF(INDEX(techniques[coverage],MATCH(Q58,techniques[name],0))&gt;0,INDEX(techniques[coverage],MATCH(Q58,techniques[name],0)),""),"")</f>
        <v/>
      </c>
      <c r="S58" s="45" t="n"/>
      <c r="T58" s="62">
        <f t="array" ref="T58">IF(S58&lt;&gt;"",IF(INDEX(techniques[coverage],MATCH(S58,techniques[name],0))&gt;0,INDEX(techniques[coverage],MATCH(S58,techniques[name],0)),""),"")</f>
        <v/>
      </c>
      <c r="U58" s="45" t="n"/>
      <c r="V58" s="62">
        <f t="array" ref="V58">IF(U58&lt;&gt;"",IF(INDEX(techniques[coverage],MATCH(U58,techniques[name],0))&gt;0,INDEX(techniques[coverage],MATCH(U58,techniques[name],0)),""),"")</f>
        <v/>
      </c>
      <c r="W58" s="45" t="n"/>
      <c r="X58" s="62">
        <f t="array" ref="X58">IF(W58&lt;&gt;"",IF(INDEX(techniques[coverage],MATCH(W58,techniques[name],0))&gt;0,INDEX(techniques[coverage],MATCH(W58,techniques[name],0)),""),"")</f>
        <v/>
      </c>
      <c r="Y58" s="45" t="n"/>
      <c r="Z58" s="62">
        <f t="array" ref="Z58">IF(Y58&lt;&gt;"",IF(INDEX(techniques[coverage],MATCH(Y58,techniques[name],0))&gt;0,INDEX(techniques[coverage],MATCH(Y58,techniques[name],0)),""),"")</f>
        <v/>
      </c>
      <c r="AA58" s="45" t="n"/>
      <c r="AB58" s="62">
        <f t="array" ref="AB58">IF(AA58&lt;&gt;"",IF(INDEX(techniques[coverage],MATCH(AA58,techniques[name],0))&gt;0,INDEX(techniques[coverage],MATCH(AA58,techniques[name],0)),""),"")</f>
        <v/>
      </c>
      <c r="AC58" s="45" t="n"/>
      <c r="AD58" s="62">
        <f t="array" ref="AD58">IF(AC58&lt;&gt;"",IF(INDEX(techniques[coverage],MATCH(AC58,techniques[name],0))&gt;0,INDEX(techniques[coverage],MATCH(AC58,techniques[name],0)),""),"")</f>
        <v/>
      </c>
    </row>
    <row r="59">
      <c r="A59" s="45" t="n"/>
      <c r="B59" s="62">
        <f t="array" ref="B59">IF(A59&lt;&gt;"",IF(INDEX(techniques[coverage],MATCH(A59,techniques[name],0))&gt;0,INDEX(techniques[coverage],MATCH(A59,techniques[name],0)),""),"")</f>
        <v/>
      </c>
      <c r="C59" s="45" t="n"/>
      <c r="D59" s="62">
        <f t="array" ref="D59">IF(C59&lt;&gt;"",IF(INDEX(techniques[coverage],MATCH(C59,techniques[name],0))&gt;0,INDEX(techniques[coverage],MATCH(C59,techniques[name],0)),""),"")</f>
        <v/>
      </c>
      <c r="E59" s="45" t="n"/>
      <c r="F59" s="62">
        <f t="array" ref="F59">IF(E59&lt;&gt;"",IF(INDEX(techniques[coverage],MATCH(E59,techniques[name],0))&gt;0,INDEX(techniques[coverage],MATCH(E59,techniques[name],0)),""),"")</f>
        <v/>
      </c>
      <c r="G59" s="45" t="n"/>
      <c r="H59" s="62">
        <f t="array" ref="H59">IF(G59&lt;&gt;"",IF(INDEX(techniques[coverage],MATCH(G59,techniques[name],0))&gt;0,INDEX(techniques[coverage],MATCH(G59,techniques[name],0)),""),"")</f>
        <v/>
      </c>
      <c r="I59" s="45" t="n"/>
      <c r="J59" s="62">
        <f t="array" ref="J59">IF(I59&lt;&gt;"",IF(INDEX(techniques[coverage],MATCH(I59,techniques[name],0))&gt;0,INDEX(techniques[coverage],MATCH(I59,techniques[name],0)),""),"")</f>
        <v/>
      </c>
      <c r="K59" s="45" t="n"/>
      <c r="L59" s="62">
        <f t="array" ref="L59">IF(K59&lt;&gt;"",IF(INDEX(techniques[coverage],MATCH(K59,techniques[name],0))&gt;0,INDEX(techniques[coverage],MATCH(K59,techniques[name],0)),""),"")</f>
        <v/>
      </c>
      <c r="M59" s="45" t="n"/>
      <c r="N59" s="62">
        <f t="array" ref="N59">IF(M59&lt;&gt;"",IF(INDEX(techniques[coverage],MATCH(M59,techniques[name],0))&gt;0,INDEX(techniques[coverage],MATCH(M59,techniques[name],0)),""),"")</f>
        <v/>
      </c>
      <c r="O59" s="45" t="n"/>
      <c r="P59" s="62">
        <f t="array" ref="P59">IF(O59&lt;&gt;"",IF(INDEX(techniques[coverage],MATCH(O59,techniques[name],0))&gt;0,INDEX(techniques[coverage],MATCH(O59,techniques[name],0)),""),"")</f>
        <v/>
      </c>
      <c r="Q59" s="45" t="n"/>
      <c r="R59" s="62">
        <f t="array" ref="R59">IF(Q59&lt;&gt;"",IF(INDEX(techniques[coverage],MATCH(Q59,techniques[name],0))&gt;0,INDEX(techniques[coverage],MATCH(Q59,techniques[name],0)),""),"")</f>
        <v/>
      </c>
      <c r="S59" s="45" t="n"/>
      <c r="T59" s="62">
        <f t="array" ref="T59">IF(S59&lt;&gt;"",IF(INDEX(techniques[coverage],MATCH(S59,techniques[name],0))&gt;0,INDEX(techniques[coverage],MATCH(S59,techniques[name],0)),""),"")</f>
        <v/>
      </c>
      <c r="U59" s="45" t="n"/>
      <c r="V59" s="62">
        <f t="array" ref="V59">IF(U59&lt;&gt;"",IF(INDEX(techniques[coverage],MATCH(U59,techniques[name],0))&gt;0,INDEX(techniques[coverage],MATCH(U59,techniques[name],0)),""),"")</f>
        <v/>
      </c>
      <c r="W59" s="45" t="n"/>
      <c r="X59" s="62">
        <f t="array" ref="X59">IF(W59&lt;&gt;"",IF(INDEX(techniques[coverage],MATCH(W59,techniques[name],0))&gt;0,INDEX(techniques[coverage],MATCH(W59,techniques[name],0)),""),"")</f>
        <v/>
      </c>
      <c r="Y59" s="45" t="n"/>
      <c r="Z59" s="62">
        <f t="array" ref="Z59">IF(Y59&lt;&gt;"",IF(INDEX(techniques[coverage],MATCH(Y59,techniques[name],0))&gt;0,INDEX(techniques[coverage],MATCH(Y59,techniques[name],0)),""),"")</f>
        <v/>
      </c>
      <c r="AA59" s="45" t="n"/>
      <c r="AB59" s="62">
        <f t="array" ref="AB59">IF(AA59&lt;&gt;"",IF(INDEX(techniques[coverage],MATCH(AA59,techniques[name],0))&gt;0,INDEX(techniques[coverage],MATCH(AA59,techniques[name],0)),""),"")</f>
        <v/>
      </c>
      <c r="AC59" s="45" t="n"/>
      <c r="AD59" s="62">
        <f t="array" ref="AD59">IF(AC59&lt;&gt;"",IF(INDEX(techniques[coverage],MATCH(AC59,techniques[name],0))&gt;0,INDEX(techniques[coverage],MATCH(AC59,techniques[name],0)),""),"")</f>
        <v/>
      </c>
    </row>
    <row r="60">
      <c r="A60" s="45" t="n"/>
      <c r="B60" s="62">
        <f t="array" ref="B60">IF(A60&lt;&gt;"",IF(INDEX(techniques[coverage],MATCH(A60,techniques[name],0))&gt;0,INDEX(techniques[coverage],MATCH(A60,techniques[name],0)),""),"")</f>
        <v/>
      </c>
      <c r="C60" s="45" t="n"/>
      <c r="D60" s="62">
        <f t="array" ref="D60">IF(C60&lt;&gt;"",IF(INDEX(techniques[coverage],MATCH(C60,techniques[name],0))&gt;0,INDEX(techniques[coverage],MATCH(C60,techniques[name],0)),""),"")</f>
        <v/>
      </c>
      <c r="E60" s="45" t="n"/>
      <c r="F60" s="62">
        <f t="array" ref="F60">IF(E60&lt;&gt;"",IF(INDEX(techniques[coverage],MATCH(E60,techniques[name],0))&gt;0,INDEX(techniques[coverage],MATCH(E60,techniques[name],0)),""),"")</f>
        <v/>
      </c>
      <c r="G60" s="45" t="n"/>
      <c r="H60" s="62">
        <f t="array" ref="H60">IF(G60&lt;&gt;"",IF(INDEX(techniques[coverage],MATCH(G60,techniques[name],0))&gt;0,INDEX(techniques[coverage],MATCH(G60,techniques[name],0)),""),"")</f>
        <v/>
      </c>
      <c r="I60" s="45" t="n"/>
      <c r="J60" s="62">
        <f t="array" ref="J60">IF(I60&lt;&gt;"",IF(INDEX(techniques[coverage],MATCH(I60,techniques[name],0))&gt;0,INDEX(techniques[coverage],MATCH(I60,techniques[name],0)),""),"")</f>
        <v/>
      </c>
      <c r="K60" s="45" t="n"/>
      <c r="L60" s="62">
        <f t="array" ref="L60">IF(K60&lt;&gt;"",IF(INDEX(techniques[coverage],MATCH(K60,techniques[name],0))&gt;0,INDEX(techniques[coverage],MATCH(K60,techniques[name],0)),""),"")</f>
        <v/>
      </c>
      <c r="M60" s="45" t="n"/>
      <c r="N60" s="62">
        <f t="array" ref="N60">IF(M60&lt;&gt;"",IF(INDEX(techniques[coverage],MATCH(M60,techniques[name],0))&gt;0,INDEX(techniques[coverage],MATCH(M60,techniques[name],0)),""),"")</f>
        <v/>
      </c>
      <c r="O60" s="45" t="n"/>
      <c r="P60" s="62">
        <f t="array" ref="P60">IF(O60&lt;&gt;"",IF(INDEX(techniques[coverage],MATCH(O60,techniques[name],0))&gt;0,INDEX(techniques[coverage],MATCH(O60,techniques[name],0)),""),"")</f>
        <v/>
      </c>
      <c r="Q60" s="45" t="n"/>
      <c r="R60" s="62">
        <f t="array" ref="R60">IF(Q60&lt;&gt;"",IF(INDEX(techniques[coverage],MATCH(Q60,techniques[name],0))&gt;0,INDEX(techniques[coverage],MATCH(Q60,techniques[name],0)),""),"")</f>
        <v/>
      </c>
      <c r="S60" s="45" t="n"/>
      <c r="T60" s="62">
        <f t="array" ref="T60">IF(S60&lt;&gt;"",IF(INDEX(techniques[coverage],MATCH(S60,techniques[name],0))&gt;0,INDEX(techniques[coverage],MATCH(S60,techniques[name],0)),""),"")</f>
        <v/>
      </c>
      <c r="U60" s="45" t="n"/>
      <c r="V60" s="62">
        <f t="array" ref="V60">IF(U60&lt;&gt;"",IF(INDEX(techniques[coverage],MATCH(U60,techniques[name],0))&gt;0,INDEX(techniques[coverage],MATCH(U60,techniques[name],0)),""),"")</f>
        <v/>
      </c>
      <c r="W60" s="45" t="n"/>
      <c r="X60" s="62">
        <f t="array" ref="X60">IF(W60&lt;&gt;"",IF(INDEX(techniques[coverage],MATCH(W60,techniques[name],0))&gt;0,INDEX(techniques[coverage],MATCH(W60,techniques[name],0)),""),"")</f>
        <v/>
      </c>
      <c r="Y60" s="45" t="n"/>
      <c r="Z60" s="62">
        <f t="array" ref="Z60">IF(Y60&lt;&gt;"",IF(INDEX(techniques[coverage],MATCH(Y60,techniques[name],0))&gt;0,INDEX(techniques[coverage],MATCH(Y60,techniques[name],0)),""),"")</f>
        <v/>
      </c>
      <c r="AA60" s="45" t="n"/>
      <c r="AB60" s="62">
        <f t="array" ref="AB60">IF(AA60&lt;&gt;"",IF(INDEX(techniques[coverage],MATCH(AA60,techniques[name],0))&gt;0,INDEX(techniques[coverage],MATCH(AA60,techniques[name],0)),""),"")</f>
        <v/>
      </c>
      <c r="AC60" s="45" t="n"/>
      <c r="AD60" s="62">
        <f t="array" ref="AD60">IF(AC60&lt;&gt;"",IF(INDEX(techniques[coverage],MATCH(AC60,techniques[name],0))&gt;0,INDEX(techniques[coverage],MATCH(AC60,techniques[name],0)),""),"")</f>
        <v/>
      </c>
    </row>
    <row r="61">
      <c r="A61" s="45" t="n"/>
      <c r="B61" s="62">
        <f t="array" ref="B61">IF(A61&lt;&gt;"",IF(INDEX(techniques[coverage],MATCH(A61,techniques[name],0))&gt;0,INDEX(techniques[coverage],MATCH(A61,techniques[name],0)),""),"")</f>
        <v/>
      </c>
      <c r="C61" s="45" t="n"/>
      <c r="D61" s="62">
        <f t="array" ref="D61">IF(C61&lt;&gt;"",IF(INDEX(techniques[coverage],MATCH(C61,techniques[name],0))&gt;0,INDEX(techniques[coverage],MATCH(C61,techniques[name],0)),""),"")</f>
        <v/>
      </c>
      <c r="E61" s="45" t="n"/>
      <c r="F61" s="62">
        <f t="array" ref="F61">IF(E61&lt;&gt;"",IF(INDEX(techniques[coverage],MATCH(E61,techniques[name],0))&gt;0,INDEX(techniques[coverage],MATCH(E61,techniques[name],0)),""),"")</f>
        <v/>
      </c>
      <c r="G61" s="45" t="n"/>
      <c r="H61" s="62">
        <f t="array" ref="H61">IF(G61&lt;&gt;"",IF(INDEX(techniques[coverage],MATCH(G61,techniques[name],0))&gt;0,INDEX(techniques[coverage],MATCH(G61,techniques[name],0)),""),"")</f>
        <v/>
      </c>
      <c r="I61" s="45" t="n"/>
      <c r="J61" s="62">
        <f t="array" ref="J61">IF(I61&lt;&gt;"",IF(INDEX(techniques[coverage],MATCH(I61,techniques[name],0))&gt;0,INDEX(techniques[coverage],MATCH(I61,techniques[name],0)),""),"")</f>
        <v/>
      </c>
      <c r="K61" s="45" t="n"/>
      <c r="L61" s="62">
        <f t="array" ref="L61">IF(K61&lt;&gt;"",IF(INDEX(techniques[coverage],MATCH(K61,techniques[name],0))&gt;0,INDEX(techniques[coverage],MATCH(K61,techniques[name],0)),""),"")</f>
        <v/>
      </c>
      <c r="M61" s="45" t="n"/>
      <c r="N61" s="62">
        <f t="array" ref="N61">IF(M61&lt;&gt;"",IF(INDEX(techniques[coverage],MATCH(M61,techniques[name],0))&gt;0,INDEX(techniques[coverage],MATCH(M61,techniques[name],0)),""),"")</f>
        <v/>
      </c>
      <c r="O61" s="45" t="n"/>
      <c r="P61" s="62">
        <f t="array" ref="P61">IF(O61&lt;&gt;"",IF(INDEX(techniques[coverage],MATCH(O61,techniques[name],0))&gt;0,INDEX(techniques[coverage],MATCH(O61,techniques[name],0)),""),"")</f>
        <v/>
      </c>
      <c r="Q61" s="45" t="n"/>
      <c r="R61" s="62">
        <f t="array" ref="R61">IF(Q61&lt;&gt;"",IF(INDEX(techniques[coverage],MATCH(Q61,techniques[name],0))&gt;0,INDEX(techniques[coverage],MATCH(Q61,techniques[name],0)),""),"")</f>
        <v/>
      </c>
      <c r="S61" s="45" t="n"/>
      <c r="T61" s="62">
        <f t="array" ref="T61">IF(S61&lt;&gt;"",IF(INDEX(techniques[coverage],MATCH(S61,techniques[name],0))&gt;0,INDEX(techniques[coverage],MATCH(S61,techniques[name],0)),""),"")</f>
        <v/>
      </c>
      <c r="U61" s="45" t="n"/>
      <c r="V61" s="62">
        <f t="array" ref="V61">IF(U61&lt;&gt;"",IF(INDEX(techniques[coverage],MATCH(U61,techniques[name],0))&gt;0,INDEX(techniques[coverage],MATCH(U61,techniques[name],0)),""),"")</f>
        <v/>
      </c>
      <c r="W61" s="45" t="n"/>
      <c r="X61" s="62">
        <f t="array" ref="X61">IF(W61&lt;&gt;"",IF(INDEX(techniques[coverage],MATCH(W61,techniques[name],0))&gt;0,INDEX(techniques[coverage],MATCH(W61,techniques[name],0)),""),"")</f>
        <v/>
      </c>
      <c r="Y61" s="45" t="n"/>
      <c r="Z61" s="62">
        <f t="array" ref="Z61">IF(Y61&lt;&gt;"",IF(INDEX(techniques[coverage],MATCH(Y61,techniques[name],0))&gt;0,INDEX(techniques[coverage],MATCH(Y61,techniques[name],0)),""),"")</f>
        <v/>
      </c>
      <c r="AA61" s="45" t="n"/>
      <c r="AB61" s="62">
        <f t="array" ref="AB61">IF(AA61&lt;&gt;"",IF(INDEX(techniques[coverage],MATCH(AA61,techniques[name],0))&gt;0,INDEX(techniques[coverage],MATCH(AA61,techniques[name],0)),""),"")</f>
        <v/>
      </c>
      <c r="AC61" s="45" t="n"/>
      <c r="AD61" s="62">
        <f t="array" ref="AD61">IF(AC61&lt;&gt;"",IF(INDEX(techniques[coverage],MATCH(AC61,techniques[name],0))&gt;0,INDEX(techniques[coverage],MATCH(AC61,techniques[name],0)),""),"")</f>
        <v/>
      </c>
    </row>
    <row r="62">
      <c r="A62" s="45" t="n"/>
      <c r="B62" s="62">
        <f t="array" ref="B62">IF(A62&lt;&gt;"",IF(INDEX(techniques[coverage],MATCH(A62,techniques[name],0))&gt;0,INDEX(techniques[coverage],MATCH(A62,techniques[name],0)),""),"")</f>
        <v/>
      </c>
      <c r="C62" s="45" t="n"/>
      <c r="D62" s="62">
        <f t="array" ref="D62">IF(C62&lt;&gt;"",IF(INDEX(techniques[coverage],MATCH(C62,techniques[name],0))&gt;0,INDEX(techniques[coverage],MATCH(C62,techniques[name],0)),""),"")</f>
        <v/>
      </c>
      <c r="E62" s="45" t="n"/>
      <c r="F62" s="62">
        <f t="array" ref="F62">IF(E62&lt;&gt;"",IF(INDEX(techniques[coverage],MATCH(E62,techniques[name],0))&gt;0,INDEX(techniques[coverage],MATCH(E62,techniques[name],0)),""),"")</f>
        <v/>
      </c>
      <c r="G62" s="45" t="n"/>
      <c r="H62" s="62">
        <f t="array" ref="H62">IF(G62&lt;&gt;"",IF(INDEX(techniques[coverage],MATCH(G62,techniques[name],0))&gt;0,INDEX(techniques[coverage],MATCH(G62,techniques[name],0)),""),"")</f>
        <v/>
      </c>
      <c r="I62" s="45" t="n"/>
      <c r="J62" s="62">
        <f t="array" ref="J62">IF(I62&lt;&gt;"",IF(INDEX(techniques[coverage],MATCH(I62,techniques[name],0))&gt;0,INDEX(techniques[coverage],MATCH(I62,techniques[name],0)),""),"")</f>
        <v/>
      </c>
      <c r="K62" s="45" t="n"/>
      <c r="L62" s="62">
        <f t="array" ref="L62">IF(K62&lt;&gt;"",IF(INDEX(techniques[coverage],MATCH(K62,techniques[name],0))&gt;0,INDEX(techniques[coverage],MATCH(K62,techniques[name],0)),""),"")</f>
        <v/>
      </c>
      <c r="M62" s="45" t="n"/>
      <c r="N62" s="62">
        <f t="array" ref="N62">IF(M62&lt;&gt;"",IF(INDEX(techniques[coverage],MATCH(M62,techniques[name],0))&gt;0,INDEX(techniques[coverage],MATCH(M62,techniques[name],0)),""),"")</f>
        <v/>
      </c>
      <c r="O62" s="45" t="n"/>
      <c r="P62" s="62">
        <f t="array" ref="P62">IF(O62&lt;&gt;"",IF(INDEX(techniques[coverage],MATCH(O62,techniques[name],0))&gt;0,INDEX(techniques[coverage],MATCH(O62,techniques[name],0)),""),"")</f>
        <v/>
      </c>
      <c r="Q62" s="45" t="n"/>
      <c r="R62" s="62">
        <f t="array" ref="R62">IF(Q62&lt;&gt;"",IF(INDEX(techniques[coverage],MATCH(Q62,techniques[name],0))&gt;0,INDEX(techniques[coverage],MATCH(Q62,techniques[name],0)),""),"")</f>
        <v/>
      </c>
      <c r="S62" s="45" t="n"/>
      <c r="T62" s="62">
        <f t="array" ref="T62">IF(S62&lt;&gt;"",IF(INDEX(techniques[coverage],MATCH(S62,techniques[name],0))&gt;0,INDEX(techniques[coverage],MATCH(S62,techniques[name],0)),""),"")</f>
        <v/>
      </c>
      <c r="U62" s="45" t="n"/>
      <c r="V62" s="62">
        <f t="array" ref="V62">IF(U62&lt;&gt;"",IF(INDEX(techniques[coverage],MATCH(U62,techniques[name],0))&gt;0,INDEX(techniques[coverage],MATCH(U62,techniques[name],0)),""),"")</f>
        <v/>
      </c>
      <c r="W62" s="45" t="n"/>
      <c r="X62" s="62">
        <f t="array" ref="X62">IF(W62&lt;&gt;"",IF(INDEX(techniques[coverage],MATCH(W62,techniques[name],0))&gt;0,INDEX(techniques[coverage],MATCH(W62,techniques[name],0)),""),"")</f>
        <v/>
      </c>
      <c r="Y62" s="45" t="n"/>
      <c r="Z62" s="62">
        <f t="array" ref="Z62">IF(Y62&lt;&gt;"",IF(INDEX(techniques[coverage],MATCH(Y62,techniques[name],0))&gt;0,INDEX(techniques[coverage],MATCH(Y62,techniques[name],0)),""),"")</f>
        <v/>
      </c>
      <c r="AA62" s="45" t="n"/>
      <c r="AB62" s="62">
        <f t="array" ref="AB62">IF(AA62&lt;&gt;"",IF(INDEX(techniques[coverage],MATCH(AA62,techniques[name],0))&gt;0,INDEX(techniques[coverage],MATCH(AA62,techniques[name],0)),""),"")</f>
        <v/>
      </c>
      <c r="AC62" s="45" t="n"/>
      <c r="AD62" s="62">
        <f t="array" ref="AD62">IF(AC62&lt;&gt;"",IF(INDEX(techniques[coverage],MATCH(AC62,techniques[name],0))&gt;0,INDEX(techniques[coverage],MATCH(AC62,techniques[name],0)),""),"")</f>
        <v/>
      </c>
    </row>
    <row r="63">
      <c r="A63" s="45" t="n"/>
      <c r="B63" s="62">
        <f t="array" ref="B63">IF(A63&lt;&gt;"",IF(INDEX(techniques[coverage],MATCH(A63,techniques[name],0))&gt;0,INDEX(techniques[coverage],MATCH(A63,techniques[name],0)),""),"")</f>
        <v/>
      </c>
      <c r="C63" s="45" t="n"/>
      <c r="D63" s="62">
        <f t="array" ref="D63">IF(C63&lt;&gt;"",IF(INDEX(techniques[coverage],MATCH(C63,techniques[name],0))&gt;0,INDEX(techniques[coverage],MATCH(C63,techniques[name],0)),""),"")</f>
        <v/>
      </c>
      <c r="E63" s="45" t="n"/>
      <c r="F63" s="62">
        <f t="array" ref="F63">IF(E63&lt;&gt;"",IF(INDEX(techniques[coverage],MATCH(E63,techniques[name],0))&gt;0,INDEX(techniques[coverage],MATCH(E63,techniques[name],0)),""),"")</f>
        <v/>
      </c>
      <c r="G63" s="45" t="n"/>
      <c r="H63" s="62">
        <f t="array" ref="H63">IF(G63&lt;&gt;"",IF(INDEX(techniques[coverage],MATCH(G63,techniques[name],0))&gt;0,INDEX(techniques[coverage],MATCH(G63,techniques[name],0)),""),"")</f>
        <v/>
      </c>
      <c r="I63" s="45" t="n"/>
      <c r="J63" s="62">
        <f t="array" ref="J63">IF(I63&lt;&gt;"",IF(INDEX(techniques[coverage],MATCH(I63,techniques[name],0))&gt;0,INDEX(techniques[coverage],MATCH(I63,techniques[name],0)),""),"")</f>
        <v/>
      </c>
      <c r="K63" s="45" t="n"/>
      <c r="L63" s="62">
        <f t="array" ref="L63">IF(K63&lt;&gt;"",IF(INDEX(techniques[coverage],MATCH(K63,techniques[name],0))&gt;0,INDEX(techniques[coverage],MATCH(K63,techniques[name],0)),""),"")</f>
        <v/>
      </c>
      <c r="M63" s="45" t="n"/>
      <c r="N63" s="62">
        <f t="array" ref="N63">IF(M63&lt;&gt;"",IF(INDEX(techniques[coverage],MATCH(M63,techniques[name],0))&gt;0,INDEX(techniques[coverage],MATCH(M63,techniques[name],0)),""),"")</f>
        <v/>
      </c>
      <c r="O63" s="45" t="n"/>
      <c r="P63" s="62">
        <f t="array" ref="P63">IF(O63&lt;&gt;"",IF(INDEX(techniques[coverage],MATCH(O63,techniques[name],0))&gt;0,INDEX(techniques[coverage],MATCH(O63,techniques[name],0)),""),"")</f>
        <v/>
      </c>
      <c r="Q63" s="45" t="n"/>
      <c r="R63" s="62">
        <f t="array" ref="R63">IF(Q63&lt;&gt;"",IF(INDEX(techniques[coverage],MATCH(Q63,techniques[name],0))&gt;0,INDEX(techniques[coverage],MATCH(Q63,techniques[name],0)),""),"")</f>
        <v/>
      </c>
      <c r="S63" s="45" t="n"/>
      <c r="T63" s="62">
        <f t="array" ref="T63">IF(S63&lt;&gt;"",IF(INDEX(techniques[coverage],MATCH(S63,techniques[name],0))&gt;0,INDEX(techniques[coverage],MATCH(S63,techniques[name],0)),""),"")</f>
        <v/>
      </c>
      <c r="U63" s="45" t="n"/>
      <c r="V63" s="62">
        <f t="array" ref="V63">IF(U63&lt;&gt;"",IF(INDEX(techniques[coverage],MATCH(U63,techniques[name],0))&gt;0,INDEX(techniques[coverage],MATCH(U63,techniques[name],0)),""),"")</f>
        <v/>
      </c>
      <c r="W63" s="45" t="n"/>
      <c r="X63" s="62">
        <f t="array" ref="X63">IF(W63&lt;&gt;"",IF(INDEX(techniques[coverage],MATCH(W63,techniques[name],0))&gt;0,INDEX(techniques[coverage],MATCH(W63,techniques[name],0)),""),"")</f>
        <v/>
      </c>
      <c r="Y63" s="45" t="n"/>
      <c r="Z63" s="62">
        <f t="array" ref="Z63">IF(Y63&lt;&gt;"",IF(INDEX(techniques[coverage],MATCH(Y63,techniques[name],0))&gt;0,INDEX(techniques[coverage],MATCH(Y63,techniques[name],0)),""),"")</f>
        <v/>
      </c>
      <c r="AA63" s="45" t="n"/>
      <c r="AB63" s="62">
        <f t="array" ref="AB63">IF(AA63&lt;&gt;"",IF(INDEX(techniques[coverage],MATCH(AA63,techniques[name],0))&gt;0,INDEX(techniques[coverage],MATCH(AA63,techniques[name],0)),""),"")</f>
        <v/>
      </c>
      <c r="AC63" s="45" t="n"/>
      <c r="AD63" s="62">
        <f t="array" ref="AD63">IF(AC63&lt;&gt;"",IF(INDEX(techniques[coverage],MATCH(AC63,techniques[name],0))&gt;0,INDEX(techniques[coverage],MATCH(AC63,techniques[name],0)),""),"")</f>
        <v/>
      </c>
    </row>
    <row r="64">
      <c r="A64" s="45" t="n"/>
      <c r="B64" s="62">
        <f t="array" ref="B64">IF(A64&lt;&gt;"",IF(INDEX(techniques[coverage],MATCH(A64,techniques[name],0))&gt;0,INDEX(techniques[coverage],MATCH(A64,techniques[name],0)),""),"")</f>
        <v/>
      </c>
      <c r="C64" s="45" t="n"/>
      <c r="D64" s="62">
        <f t="array" ref="D64">IF(C64&lt;&gt;"",IF(INDEX(techniques[coverage],MATCH(C64,techniques[name],0))&gt;0,INDEX(techniques[coverage],MATCH(C64,techniques[name],0)),""),"")</f>
        <v/>
      </c>
      <c r="E64" s="45" t="n"/>
      <c r="F64" s="62">
        <f t="array" ref="F64">IF(E64&lt;&gt;"",IF(INDEX(techniques[coverage],MATCH(E64,techniques[name],0))&gt;0,INDEX(techniques[coverage],MATCH(E64,techniques[name],0)),""),"")</f>
        <v/>
      </c>
      <c r="G64" s="45" t="n"/>
      <c r="H64" s="62">
        <f t="array" ref="H64">IF(G64&lt;&gt;"",IF(INDEX(techniques[coverage],MATCH(G64,techniques[name],0))&gt;0,INDEX(techniques[coverage],MATCH(G64,techniques[name],0)),""),"")</f>
        <v/>
      </c>
      <c r="I64" s="45" t="n"/>
      <c r="J64" s="62">
        <f t="array" ref="J64">IF(I64&lt;&gt;"",IF(INDEX(techniques[coverage],MATCH(I64,techniques[name],0))&gt;0,INDEX(techniques[coverage],MATCH(I64,techniques[name],0)),""),"")</f>
        <v/>
      </c>
      <c r="K64" s="45" t="n"/>
      <c r="L64" s="62">
        <f t="array" ref="L64">IF(K64&lt;&gt;"",IF(INDEX(techniques[coverage],MATCH(K64,techniques[name],0))&gt;0,INDEX(techniques[coverage],MATCH(K64,techniques[name],0)),""),"")</f>
        <v/>
      </c>
      <c r="M64" s="45" t="n"/>
      <c r="N64" s="62">
        <f t="array" ref="N64">IF(M64&lt;&gt;"",IF(INDEX(techniques[coverage],MATCH(M64,techniques[name],0))&gt;0,INDEX(techniques[coverage],MATCH(M64,techniques[name],0)),""),"")</f>
        <v/>
      </c>
      <c r="O64" s="45" t="n"/>
      <c r="P64" s="62">
        <f t="array" ref="P64">IF(O64&lt;&gt;"",IF(INDEX(techniques[coverage],MATCH(O64,techniques[name],0))&gt;0,INDEX(techniques[coverage],MATCH(O64,techniques[name],0)),""),"")</f>
        <v/>
      </c>
      <c r="Q64" s="45" t="n"/>
      <c r="R64" s="62">
        <f t="array" ref="R64">IF(Q64&lt;&gt;"",IF(INDEX(techniques[coverage],MATCH(Q64,techniques[name],0))&gt;0,INDEX(techniques[coverage],MATCH(Q64,techniques[name],0)),""),"")</f>
        <v/>
      </c>
      <c r="S64" s="45" t="n"/>
      <c r="T64" s="62">
        <f t="array" ref="T64">IF(S64&lt;&gt;"",IF(INDEX(techniques[coverage],MATCH(S64,techniques[name],0))&gt;0,INDEX(techniques[coverage],MATCH(S64,techniques[name],0)),""),"")</f>
        <v/>
      </c>
      <c r="U64" s="45" t="n"/>
      <c r="V64" s="62">
        <f t="array" ref="V64">IF(U64&lt;&gt;"",IF(INDEX(techniques[coverage],MATCH(U64,techniques[name],0))&gt;0,INDEX(techniques[coverage],MATCH(U64,techniques[name],0)),""),"")</f>
        <v/>
      </c>
      <c r="W64" s="45" t="n"/>
      <c r="X64" s="62">
        <f t="array" ref="X64">IF(W64&lt;&gt;"",IF(INDEX(techniques[coverage],MATCH(W64,techniques[name],0))&gt;0,INDEX(techniques[coverage],MATCH(W64,techniques[name],0)),""),"")</f>
        <v/>
      </c>
      <c r="Y64" s="45" t="n"/>
      <c r="Z64" s="62">
        <f t="array" ref="Z64">IF(Y64&lt;&gt;"",IF(INDEX(techniques[coverage],MATCH(Y64,techniques[name],0))&gt;0,INDEX(techniques[coverage],MATCH(Y64,techniques[name],0)),""),"")</f>
        <v/>
      </c>
      <c r="AA64" s="45" t="n"/>
      <c r="AB64" s="62">
        <f t="array" ref="AB64">IF(AA64&lt;&gt;"",IF(INDEX(techniques[coverage],MATCH(AA64,techniques[name],0))&gt;0,INDEX(techniques[coverage],MATCH(AA64,techniques[name],0)),""),"")</f>
        <v/>
      </c>
      <c r="AC64" s="45" t="n"/>
      <c r="AD64" s="62">
        <f t="array" ref="AD64">IF(AC64&lt;&gt;"",IF(INDEX(techniques[coverage],MATCH(AC64,techniques[name],0))&gt;0,INDEX(techniques[coverage],MATCH(AC64,techniques[name],0)),""),"")</f>
        <v/>
      </c>
    </row>
    <row r="65">
      <c r="A65" s="45" t="n"/>
      <c r="B65" s="62">
        <f t="array" ref="B65">IF(A65&lt;&gt;"",IF(INDEX(techniques[coverage],MATCH(A65,techniques[name],0))&gt;0,INDEX(techniques[coverage],MATCH(A65,techniques[name],0)),""),"")</f>
        <v/>
      </c>
      <c r="C65" s="45" t="n"/>
      <c r="D65" s="62">
        <f t="array" ref="D65">IF(C65&lt;&gt;"",IF(INDEX(techniques[coverage],MATCH(C65,techniques[name],0))&gt;0,INDEX(techniques[coverage],MATCH(C65,techniques[name],0)),""),"")</f>
        <v/>
      </c>
      <c r="E65" s="45" t="n"/>
      <c r="F65" s="62">
        <f t="array" ref="F65">IF(E65&lt;&gt;"",IF(INDEX(techniques[coverage],MATCH(E65,techniques[name],0))&gt;0,INDEX(techniques[coverage],MATCH(E65,techniques[name],0)),""),"")</f>
        <v/>
      </c>
      <c r="G65" s="45" t="n"/>
      <c r="H65" s="62">
        <f t="array" ref="H65">IF(G65&lt;&gt;"",IF(INDEX(techniques[coverage],MATCH(G65,techniques[name],0))&gt;0,INDEX(techniques[coverage],MATCH(G65,techniques[name],0)),""),"")</f>
        <v/>
      </c>
      <c r="I65" s="45" t="n"/>
      <c r="J65" s="62">
        <f t="array" ref="J65">IF(I65&lt;&gt;"",IF(INDEX(techniques[coverage],MATCH(I65,techniques[name],0))&gt;0,INDEX(techniques[coverage],MATCH(I65,techniques[name],0)),""),"")</f>
        <v/>
      </c>
      <c r="K65" s="45" t="n"/>
      <c r="L65" s="62">
        <f t="array" ref="L65">IF(K65&lt;&gt;"",IF(INDEX(techniques[coverage],MATCH(K65,techniques[name],0))&gt;0,INDEX(techniques[coverage],MATCH(K65,techniques[name],0)),""),"")</f>
        <v/>
      </c>
      <c r="M65" s="45" t="n"/>
      <c r="N65" s="62">
        <f t="array" ref="N65">IF(M65&lt;&gt;"",IF(INDEX(techniques[coverage],MATCH(M65,techniques[name],0))&gt;0,INDEX(techniques[coverage],MATCH(M65,techniques[name],0)),""),"")</f>
        <v/>
      </c>
      <c r="O65" s="45" t="n"/>
      <c r="P65" s="62">
        <f t="array" ref="P65">IF(O65&lt;&gt;"",IF(INDEX(techniques[coverage],MATCH(O65,techniques[name],0))&gt;0,INDEX(techniques[coverage],MATCH(O65,techniques[name],0)),""),"")</f>
        <v/>
      </c>
      <c r="Q65" s="45" t="n"/>
      <c r="R65" s="62">
        <f t="array" ref="R65">IF(Q65&lt;&gt;"",IF(INDEX(techniques[coverage],MATCH(Q65,techniques[name],0))&gt;0,INDEX(techniques[coverage],MATCH(Q65,techniques[name],0)),""),"")</f>
        <v/>
      </c>
      <c r="S65" s="45" t="n"/>
      <c r="T65" s="62">
        <f t="array" ref="T65">IF(S65&lt;&gt;"",IF(INDEX(techniques[coverage],MATCH(S65,techniques[name],0))&gt;0,INDEX(techniques[coverage],MATCH(S65,techniques[name],0)),""),"")</f>
        <v/>
      </c>
      <c r="U65" s="45" t="n"/>
      <c r="V65" s="62">
        <f t="array" ref="V65">IF(U65&lt;&gt;"",IF(INDEX(techniques[coverage],MATCH(U65,techniques[name],0))&gt;0,INDEX(techniques[coverage],MATCH(U65,techniques[name],0)),""),"")</f>
        <v/>
      </c>
      <c r="W65" s="45" t="n"/>
      <c r="X65" s="62">
        <f t="array" ref="X65">IF(W65&lt;&gt;"",IF(INDEX(techniques[coverage],MATCH(W65,techniques[name],0))&gt;0,INDEX(techniques[coverage],MATCH(W65,techniques[name],0)),""),"")</f>
        <v/>
      </c>
      <c r="Y65" s="45" t="n"/>
      <c r="Z65" s="62">
        <f t="array" ref="Z65">IF(Y65&lt;&gt;"",IF(INDEX(techniques[coverage],MATCH(Y65,techniques[name],0))&gt;0,INDEX(techniques[coverage],MATCH(Y65,techniques[name],0)),""),"")</f>
        <v/>
      </c>
      <c r="AA65" s="45" t="n"/>
      <c r="AB65" s="62">
        <f t="array" ref="AB65">IF(AA65&lt;&gt;"",IF(INDEX(techniques[coverage],MATCH(AA65,techniques[name],0))&gt;0,INDEX(techniques[coverage],MATCH(AA65,techniques[name],0)),""),"")</f>
        <v/>
      </c>
      <c r="AC65" s="45" t="n"/>
      <c r="AD65" s="62">
        <f t="array" ref="AD65">IF(AC65&lt;&gt;"",IF(INDEX(techniques[coverage],MATCH(AC65,techniques[name],0))&gt;0,INDEX(techniques[coverage],MATCH(AC65,techniques[name],0)),""),"")</f>
        <v/>
      </c>
    </row>
    <row r="66">
      <c r="A66" s="45" t="n"/>
      <c r="B66" s="62">
        <f t="array" ref="B66">IF(A66&lt;&gt;"",IF(INDEX(techniques[coverage],MATCH(A66,techniques[name],0))&gt;0,INDEX(techniques[coverage],MATCH(A66,techniques[name],0)),""),"")</f>
        <v/>
      </c>
      <c r="C66" s="45" t="n"/>
      <c r="D66" s="62">
        <f t="array" ref="D66">IF(C66&lt;&gt;"",IF(INDEX(techniques[coverage],MATCH(C66,techniques[name],0))&gt;0,INDEX(techniques[coverage],MATCH(C66,techniques[name],0)),""),"")</f>
        <v/>
      </c>
      <c r="E66" s="45" t="n"/>
      <c r="F66" s="62">
        <f t="array" ref="F66">IF(E66&lt;&gt;"",IF(INDEX(techniques[coverage],MATCH(E66,techniques[name],0))&gt;0,INDEX(techniques[coverage],MATCH(E66,techniques[name],0)),""),"")</f>
        <v/>
      </c>
      <c r="G66" s="45" t="n"/>
      <c r="H66" s="62">
        <f t="array" ref="H66">IF(G66&lt;&gt;"",IF(INDEX(techniques[coverage],MATCH(G66,techniques[name],0))&gt;0,INDEX(techniques[coverage],MATCH(G66,techniques[name],0)),""),"")</f>
        <v/>
      </c>
      <c r="I66" s="45" t="n"/>
      <c r="J66" s="62">
        <f t="array" ref="J66">IF(I66&lt;&gt;"",IF(INDEX(techniques[coverage],MATCH(I66,techniques[name],0))&gt;0,INDEX(techniques[coverage],MATCH(I66,techniques[name],0)),""),"")</f>
        <v/>
      </c>
      <c r="K66" s="45" t="n"/>
      <c r="L66" s="62">
        <f t="array" ref="L66">IF(K66&lt;&gt;"",IF(INDEX(techniques[coverage],MATCH(K66,techniques[name],0))&gt;0,INDEX(techniques[coverage],MATCH(K66,techniques[name],0)),""),"")</f>
        <v/>
      </c>
      <c r="M66" s="45" t="n"/>
      <c r="N66" s="62">
        <f t="array" ref="N66">IF(M66&lt;&gt;"",IF(INDEX(techniques[coverage],MATCH(M66,techniques[name],0))&gt;0,INDEX(techniques[coverage],MATCH(M66,techniques[name],0)),""),"")</f>
        <v/>
      </c>
      <c r="O66" s="45" t="n"/>
      <c r="P66" s="62">
        <f t="array" ref="P66">IF(O66&lt;&gt;"",IF(INDEX(techniques[coverage],MATCH(O66,techniques[name],0))&gt;0,INDEX(techniques[coverage],MATCH(O66,techniques[name],0)),""),"")</f>
        <v/>
      </c>
      <c r="Q66" s="45" t="n"/>
      <c r="R66" s="62">
        <f t="array" ref="R66">IF(Q66&lt;&gt;"",IF(INDEX(techniques[coverage],MATCH(Q66,techniques[name],0))&gt;0,INDEX(techniques[coverage],MATCH(Q66,techniques[name],0)),""),"")</f>
        <v/>
      </c>
      <c r="S66" s="45" t="n"/>
      <c r="T66" s="62">
        <f t="array" ref="T66">IF(S66&lt;&gt;"",IF(INDEX(techniques[coverage],MATCH(S66,techniques[name],0))&gt;0,INDEX(techniques[coverage],MATCH(S66,techniques[name],0)),""),"")</f>
        <v/>
      </c>
      <c r="U66" s="45" t="n"/>
      <c r="V66" s="62">
        <f t="array" ref="V66">IF(U66&lt;&gt;"",IF(INDEX(techniques[coverage],MATCH(U66,techniques[name],0))&gt;0,INDEX(techniques[coverage],MATCH(U66,techniques[name],0)),""),"")</f>
        <v/>
      </c>
      <c r="W66" s="45" t="n"/>
      <c r="X66" s="62">
        <f t="array" ref="X66">IF(W66&lt;&gt;"",IF(INDEX(techniques[coverage],MATCH(W66,techniques[name],0))&gt;0,INDEX(techniques[coverage],MATCH(W66,techniques[name],0)),""),"")</f>
        <v/>
      </c>
      <c r="Y66" s="45" t="n"/>
      <c r="Z66" s="62">
        <f t="array" ref="Z66">IF(Y66&lt;&gt;"",IF(INDEX(techniques[coverage],MATCH(Y66,techniques[name],0))&gt;0,INDEX(techniques[coverage],MATCH(Y66,techniques[name],0)),""),"")</f>
        <v/>
      </c>
      <c r="AA66" s="45" t="n"/>
      <c r="AB66" s="62">
        <f t="array" ref="AB66">IF(AA66&lt;&gt;"",IF(INDEX(techniques[coverage],MATCH(AA66,techniques[name],0))&gt;0,INDEX(techniques[coverage],MATCH(AA66,techniques[name],0)),""),"")</f>
        <v/>
      </c>
      <c r="AC66" s="45" t="n"/>
      <c r="AD66" s="62">
        <f t="array" ref="AD66">IF(AC66&lt;&gt;"",IF(INDEX(techniques[coverage],MATCH(AC66,techniques[name],0))&gt;0,INDEX(techniques[coverage],MATCH(AC66,techniques[name],0)),""),"")</f>
        <v/>
      </c>
    </row>
    <row r="67">
      <c r="A67" s="45" t="n"/>
      <c r="B67" s="62">
        <f t="array" ref="B67">IF(A67&lt;&gt;"",IF(INDEX(techniques[coverage],MATCH(A67,techniques[name],0))&gt;0,INDEX(techniques[coverage],MATCH(A67,techniques[name],0)),""),"")</f>
        <v/>
      </c>
      <c r="C67" s="45" t="n"/>
      <c r="D67" s="62">
        <f t="array" ref="D67">IF(C67&lt;&gt;"",IF(INDEX(techniques[coverage],MATCH(C67,techniques[name],0))&gt;0,INDEX(techniques[coverage],MATCH(C67,techniques[name],0)),""),"")</f>
        <v/>
      </c>
      <c r="E67" s="45" t="n"/>
      <c r="F67" s="62">
        <f t="array" ref="F67">IF(E67&lt;&gt;"",IF(INDEX(techniques[coverage],MATCH(E67,techniques[name],0))&gt;0,INDEX(techniques[coverage],MATCH(E67,techniques[name],0)),""),"")</f>
        <v/>
      </c>
      <c r="G67" s="45" t="n"/>
      <c r="H67" s="62">
        <f t="array" ref="H67">IF(G67&lt;&gt;"",IF(INDEX(techniques[coverage],MATCH(G67,techniques[name],0))&gt;0,INDEX(techniques[coverage],MATCH(G67,techniques[name],0)),""),"")</f>
        <v/>
      </c>
      <c r="I67" s="45" t="n"/>
      <c r="J67" s="62">
        <f t="array" ref="J67">IF(I67&lt;&gt;"",IF(INDEX(techniques[coverage],MATCH(I67,techniques[name],0))&gt;0,INDEX(techniques[coverage],MATCH(I67,techniques[name],0)),""),"")</f>
        <v/>
      </c>
      <c r="K67" s="45" t="n"/>
      <c r="L67" s="62">
        <f t="array" ref="L67">IF(K67&lt;&gt;"",IF(INDEX(techniques[coverage],MATCH(K67,techniques[name],0))&gt;0,INDEX(techniques[coverage],MATCH(K67,techniques[name],0)),""),"")</f>
        <v/>
      </c>
      <c r="M67" s="45" t="n"/>
      <c r="N67" s="62">
        <f t="array" ref="N67">IF(M67&lt;&gt;"",IF(INDEX(techniques[coverage],MATCH(M67,techniques[name],0))&gt;0,INDEX(techniques[coverage],MATCH(M67,techniques[name],0)),""),"")</f>
        <v/>
      </c>
      <c r="O67" s="45" t="n"/>
      <c r="P67" s="62">
        <f t="array" ref="P67">IF(O67&lt;&gt;"",IF(INDEX(techniques[coverage],MATCH(O67,techniques[name],0))&gt;0,INDEX(techniques[coverage],MATCH(O67,techniques[name],0)),""),"")</f>
        <v/>
      </c>
      <c r="Q67" s="45" t="n"/>
      <c r="R67" s="62">
        <f t="array" ref="R67">IF(Q67&lt;&gt;"",IF(INDEX(techniques[coverage],MATCH(Q67,techniques[name],0))&gt;0,INDEX(techniques[coverage],MATCH(Q67,techniques[name],0)),""),"")</f>
        <v/>
      </c>
      <c r="S67" s="45" t="n"/>
      <c r="T67" s="62">
        <f t="array" ref="T67">IF(S67&lt;&gt;"",IF(INDEX(techniques[coverage],MATCH(S67,techniques[name],0))&gt;0,INDEX(techniques[coverage],MATCH(S67,techniques[name],0)),""),"")</f>
        <v/>
      </c>
      <c r="U67" s="45" t="n"/>
      <c r="V67" s="62">
        <f t="array" ref="V67">IF(U67&lt;&gt;"",IF(INDEX(techniques[coverage],MATCH(U67,techniques[name],0))&gt;0,INDEX(techniques[coverage],MATCH(U67,techniques[name],0)),""),"")</f>
        <v/>
      </c>
      <c r="W67" s="45" t="n"/>
      <c r="X67" s="62">
        <f t="array" ref="X67">IF(W67&lt;&gt;"",IF(INDEX(techniques[coverage],MATCH(W67,techniques[name],0))&gt;0,INDEX(techniques[coverage],MATCH(W67,techniques[name],0)),""),"")</f>
        <v/>
      </c>
      <c r="Y67" s="45" t="n"/>
      <c r="Z67" s="62">
        <f t="array" ref="Z67">IF(Y67&lt;&gt;"",IF(INDEX(techniques[coverage],MATCH(Y67,techniques[name],0))&gt;0,INDEX(techniques[coverage],MATCH(Y67,techniques[name],0)),""),"")</f>
        <v/>
      </c>
      <c r="AA67" s="45" t="n"/>
      <c r="AB67" s="62">
        <f t="array" ref="AB67">IF(AA67&lt;&gt;"",IF(INDEX(techniques[coverage],MATCH(AA67,techniques[name],0))&gt;0,INDEX(techniques[coverage],MATCH(AA67,techniques[name],0)),""),"")</f>
        <v/>
      </c>
      <c r="AC67" s="45" t="n"/>
      <c r="AD67" s="62">
        <f t="array" ref="AD67">IF(AC67&lt;&gt;"",IF(INDEX(techniques[coverage],MATCH(AC67,techniques[name],0))&gt;0,INDEX(techniques[coverage],MATCH(AC67,techniques[name],0)),""),"")</f>
        <v/>
      </c>
    </row>
    <row r="68">
      <c r="A68" s="45" t="n"/>
      <c r="B68" s="62">
        <f t="array" ref="B68">IF(A68&lt;&gt;"",IF(INDEX(techniques[coverage],MATCH(A68,techniques[name],0))&gt;0,INDEX(techniques[coverage],MATCH(A68,techniques[name],0)),""),"")</f>
        <v/>
      </c>
      <c r="C68" s="45" t="n"/>
      <c r="D68" s="62">
        <f t="array" ref="D68">IF(C68&lt;&gt;"",IF(INDEX(techniques[coverage],MATCH(C68,techniques[name],0))&gt;0,INDEX(techniques[coverage],MATCH(C68,techniques[name],0)),""),"")</f>
        <v/>
      </c>
      <c r="E68" s="45" t="n"/>
      <c r="F68" s="62">
        <f t="array" ref="F68">IF(E68&lt;&gt;"",IF(INDEX(techniques[coverage],MATCH(E68,techniques[name],0))&gt;0,INDEX(techniques[coverage],MATCH(E68,techniques[name],0)),""),"")</f>
        <v/>
      </c>
      <c r="G68" s="45" t="n"/>
      <c r="H68" s="62">
        <f t="array" ref="H68">IF(G68&lt;&gt;"",IF(INDEX(techniques[coverage],MATCH(G68,techniques[name],0))&gt;0,INDEX(techniques[coverage],MATCH(G68,techniques[name],0)),""),"")</f>
        <v/>
      </c>
      <c r="I68" s="45" t="n"/>
      <c r="J68" s="62">
        <f t="array" ref="J68">IF(I68&lt;&gt;"",IF(INDEX(techniques[coverage],MATCH(I68,techniques[name],0))&gt;0,INDEX(techniques[coverage],MATCH(I68,techniques[name],0)),""),"")</f>
        <v/>
      </c>
      <c r="K68" s="45" t="n"/>
      <c r="L68" s="62">
        <f t="array" ref="L68">IF(K68&lt;&gt;"",IF(INDEX(techniques[coverage],MATCH(K68,techniques[name],0))&gt;0,INDEX(techniques[coverage],MATCH(K68,techniques[name],0)),""),"")</f>
        <v/>
      </c>
      <c r="M68" s="45" t="n"/>
      <c r="N68" s="62">
        <f t="array" ref="N68">IF(M68&lt;&gt;"",IF(INDEX(techniques[coverage],MATCH(M68,techniques[name],0))&gt;0,INDEX(techniques[coverage],MATCH(M68,techniques[name],0)),""),"")</f>
        <v/>
      </c>
      <c r="O68" s="45" t="n"/>
      <c r="P68" s="62">
        <f t="array" ref="P68">IF(O68&lt;&gt;"",IF(INDEX(techniques[coverage],MATCH(O68,techniques[name],0))&gt;0,INDEX(techniques[coverage],MATCH(O68,techniques[name],0)),""),"")</f>
        <v/>
      </c>
      <c r="Q68" s="45" t="n"/>
      <c r="R68" s="62">
        <f t="array" ref="R68">IF(Q68&lt;&gt;"",IF(INDEX(techniques[coverage],MATCH(Q68,techniques[name],0))&gt;0,INDEX(techniques[coverage],MATCH(Q68,techniques[name],0)),""),"")</f>
        <v/>
      </c>
      <c r="S68" s="45" t="n"/>
      <c r="T68" s="62">
        <f t="array" ref="T68">IF(S68&lt;&gt;"",IF(INDEX(techniques[coverage],MATCH(S68,techniques[name],0))&gt;0,INDEX(techniques[coverage],MATCH(S68,techniques[name],0)),""),"")</f>
        <v/>
      </c>
      <c r="U68" s="45" t="n"/>
      <c r="V68" s="62">
        <f t="array" ref="V68">IF(U68&lt;&gt;"",IF(INDEX(techniques[coverage],MATCH(U68,techniques[name],0))&gt;0,INDEX(techniques[coverage],MATCH(U68,techniques[name],0)),""),"")</f>
        <v/>
      </c>
      <c r="W68" s="45" t="n"/>
      <c r="X68" s="62">
        <f t="array" ref="X68">IF(W68&lt;&gt;"",IF(INDEX(techniques[coverage],MATCH(W68,techniques[name],0))&gt;0,INDEX(techniques[coverage],MATCH(W68,techniques[name],0)),""),"")</f>
        <v/>
      </c>
      <c r="Y68" s="45" t="n"/>
      <c r="Z68" s="62">
        <f t="array" ref="Z68">IF(Y68&lt;&gt;"",IF(INDEX(techniques[coverage],MATCH(Y68,techniques[name],0))&gt;0,INDEX(techniques[coverage],MATCH(Y68,techniques[name],0)),""),"")</f>
        <v/>
      </c>
      <c r="AA68" s="45" t="n"/>
      <c r="AB68" s="62">
        <f t="array" ref="AB68">IF(AA68&lt;&gt;"",IF(INDEX(techniques[coverage],MATCH(AA68,techniques[name],0))&gt;0,INDEX(techniques[coverage],MATCH(AA68,techniques[name],0)),""),"")</f>
        <v/>
      </c>
      <c r="AC68" s="45" t="n"/>
      <c r="AD68" s="62">
        <f t="array" ref="AD68">IF(AC68&lt;&gt;"",IF(INDEX(techniques[coverage],MATCH(AC68,techniques[name],0))&gt;0,INDEX(techniques[coverage],MATCH(AC68,techniques[name],0)),""),"")</f>
        <v/>
      </c>
    </row>
    <row r="69">
      <c r="A69" s="45" t="n"/>
      <c r="B69" s="62">
        <f t="array" ref="B69">IF(A69&lt;&gt;"",IF(INDEX(techniques[coverage],MATCH(A69,techniques[name],0))&gt;0,INDEX(techniques[coverage],MATCH(A69,techniques[name],0)),""),"")</f>
        <v/>
      </c>
      <c r="C69" s="45" t="n"/>
      <c r="D69" s="62">
        <f t="array" ref="D69">IF(C69&lt;&gt;"",IF(INDEX(techniques[coverage],MATCH(C69,techniques[name],0))&gt;0,INDEX(techniques[coverage],MATCH(C69,techniques[name],0)),""),"")</f>
        <v/>
      </c>
      <c r="E69" s="45" t="n"/>
      <c r="F69" s="62">
        <f t="array" ref="F69">IF(E69&lt;&gt;"",IF(INDEX(techniques[coverage],MATCH(E69,techniques[name],0))&gt;0,INDEX(techniques[coverage],MATCH(E69,techniques[name],0)),""),"")</f>
        <v/>
      </c>
      <c r="G69" s="45" t="n"/>
      <c r="H69" s="62">
        <f t="array" ref="H69">IF(G69&lt;&gt;"",IF(INDEX(techniques[coverage],MATCH(G69,techniques[name],0))&gt;0,INDEX(techniques[coverage],MATCH(G69,techniques[name],0)),""),"")</f>
        <v/>
      </c>
      <c r="I69" s="45" t="n"/>
      <c r="J69" s="62">
        <f t="array" ref="J69">IF(I69&lt;&gt;"",IF(INDEX(techniques[coverage],MATCH(I69,techniques[name],0))&gt;0,INDEX(techniques[coverage],MATCH(I69,techniques[name],0)),""),"")</f>
        <v/>
      </c>
      <c r="K69" s="45" t="n"/>
      <c r="L69" s="62">
        <f t="array" ref="L69">IF(K69&lt;&gt;"",IF(INDEX(techniques[coverage],MATCH(K69,techniques[name],0))&gt;0,INDEX(techniques[coverage],MATCH(K69,techniques[name],0)),""),"")</f>
        <v/>
      </c>
      <c r="M69" s="45" t="n"/>
      <c r="N69" s="62">
        <f t="array" ref="N69">IF(M69&lt;&gt;"",IF(INDEX(techniques[coverage],MATCH(M69,techniques[name],0))&gt;0,INDEX(techniques[coverage],MATCH(M69,techniques[name],0)),""),"")</f>
        <v/>
      </c>
      <c r="O69" s="45" t="n"/>
      <c r="P69" s="62">
        <f t="array" ref="P69">IF(O69&lt;&gt;"",IF(INDEX(techniques[coverage],MATCH(O69,techniques[name],0))&gt;0,INDEX(techniques[coverage],MATCH(O69,techniques[name],0)),""),"")</f>
        <v/>
      </c>
      <c r="Q69" s="45" t="n"/>
      <c r="R69" s="62">
        <f t="array" ref="R69">IF(Q69&lt;&gt;"",IF(INDEX(techniques[coverage],MATCH(Q69,techniques[name],0))&gt;0,INDEX(techniques[coverage],MATCH(Q69,techniques[name],0)),""),"")</f>
        <v/>
      </c>
      <c r="S69" s="45" t="n"/>
      <c r="T69" s="62">
        <f t="array" ref="T69">IF(S69&lt;&gt;"",IF(INDEX(techniques[coverage],MATCH(S69,techniques[name],0))&gt;0,INDEX(techniques[coverage],MATCH(S69,techniques[name],0)),""),"")</f>
        <v/>
      </c>
      <c r="U69" s="45" t="n"/>
      <c r="V69" s="62">
        <f t="array" ref="V69">IF(U69&lt;&gt;"",IF(INDEX(techniques[coverage],MATCH(U69,techniques[name],0))&gt;0,INDEX(techniques[coverage],MATCH(U69,techniques[name],0)),""),"")</f>
        <v/>
      </c>
      <c r="W69" s="45" t="n"/>
      <c r="X69" s="62">
        <f t="array" ref="X69">IF(W69&lt;&gt;"",IF(INDEX(techniques[coverage],MATCH(W69,techniques[name],0))&gt;0,INDEX(techniques[coverage],MATCH(W69,techniques[name],0)),""),"")</f>
        <v/>
      </c>
      <c r="Y69" s="45" t="n"/>
      <c r="Z69" s="62">
        <f t="array" ref="Z69">IF(Y69&lt;&gt;"",IF(INDEX(techniques[coverage],MATCH(Y69,techniques[name],0))&gt;0,INDEX(techniques[coverage],MATCH(Y69,techniques[name],0)),""),"")</f>
        <v/>
      </c>
      <c r="AA69" s="45" t="n"/>
      <c r="AB69" s="62">
        <f t="array" ref="AB69">IF(AA69&lt;&gt;"",IF(INDEX(techniques[coverage],MATCH(AA69,techniques[name],0))&gt;0,INDEX(techniques[coverage],MATCH(AA69,techniques[name],0)),""),"")</f>
        <v/>
      </c>
      <c r="AC69" s="45" t="n"/>
      <c r="AD69" s="62">
        <f t="array" ref="AD69">IF(AC69&lt;&gt;"",IF(INDEX(techniques[coverage],MATCH(AC69,techniques[name],0))&gt;0,INDEX(techniques[coverage],MATCH(AC69,techniques[name],0)),""),"")</f>
        <v/>
      </c>
    </row>
    <row r="70">
      <c r="A70" s="45" t="n"/>
      <c r="B70" s="62">
        <f t="array" ref="B70">IF(A70&lt;&gt;"",IF(INDEX(techniques[coverage],MATCH(A70,techniques[name],0))&gt;0,INDEX(techniques[coverage],MATCH(A70,techniques[name],0)),""),"")</f>
        <v/>
      </c>
      <c r="C70" s="45" t="n"/>
      <c r="D70" s="62">
        <f t="array" ref="D70">IF(C70&lt;&gt;"",IF(INDEX(techniques[coverage],MATCH(C70,techniques[name],0))&gt;0,INDEX(techniques[coverage],MATCH(C70,techniques[name],0)),""),"")</f>
        <v/>
      </c>
      <c r="E70" s="45" t="n"/>
      <c r="F70" s="62">
        <f t="array" ref="F70">IF(E70&lt;&gt;"",IF(INDEX(techniques[coverage],MATCH(E70,techniques[name],0))&gt;0,INDEX(techniques[coverage],MATCH(E70,techniques[name],0)),""),"")</f>
        <v/>
      </c>
      <c r="G70" s="45" t="n"/>
      <c r="H70" s="62">
        <f t="array" ref="H70">IF(G70&lt;&gt;"",IF(INDEX(techniques[coverage],MATCH(G70,techniques[name],0))&gt;0,INDEX(techniques[coverage],MATCH(G70,techniques[name],0)),""),"")</f>
        <v/>
      </c>
      <c r="I70" s="45" t="n"/>
      <c r="J70" s="62">
        <f t="array" ref="J70">IF(I70&lt;&gt;"",IF(INDEX(techniques[coverage],MATCH(I70,techniques[name],0))&gt;0,INDEX(techniques[coverage],MATCH(I70,techniques[name],0)),""),"")</f>
        <v/>
      </c>
      <c r="K70" s="45" t="n"/>
      <c r="L70" s="62">
        <f t="array" ref="L70">IF(K70&lt;&gt;"",IF(INDEX(techniques[coverage],MATCH(K70,techniques[name],0))&gt;0,INDEX(techniques[coverage],MATCH(K70,techniques[name],0)),""),"")</f>
        <v/>
      </c>
      <c r="M70" s="45" t="n"/>
      <c r="N70" s="62">
        <f t="array" ref="N70">IF(M70&lt;&gt;"",IF(INDEX(techniques[coverage],MATCH(M70,techniques[name],0))&gt;0,INDEX(techniques[coverage],MATCH(M70,techniques[name],0)),""),"")</f>
        <v/>
      </c>
      <c r="O70" s="45" t="n"/>
      <c r="P70" s="62">
        <f t="array" ref="P70">IF(O70&lt;&gt;"",IF(INDEX(techniques[coverage],MATCH(O70,techniques[name],0))&gt;0,INDEX(techniques[coverage],MATCH(O70,techniques[name],0)),""),"")</f>
        <v/>
      </c>
      <c r="Q70" s="45" t="n"/>
      <c r="R70" s="62">
        <f t="array" ref="R70">IF(Q70&lt;&gt;"",IF(INDEX(techniques[coverage],MATCH(Q70,techniques[name],0))&gt;0,INDEX(techniques[coverage],MATCH(Q70,techniques[name],0)),""),"")</f>
        <v/>
      </c>
      <c r="S70" s="45" t="n"/>
      <c r="T70" s="62">
        <f t="array" ref="T70">IF(S70&lt;&gt;"",IF(INDEX(techniques[coverage],MATCH(S70,techniques[name],0))&gt;0,INDEX(techniques[coverage],MATCH(S70,techniques[name],0)),""),"")</f>
        <v/>
      </c>
      <c r="U70" s="45" t="n"/>
      <c r="V70" s="62">
        <f t="array" ref="V70">IF(U70&lt;&gt;"",IF(INDEX(techniques[coverage],MATCH(U70,techniques[name],0))&gt;0,INDEX(techniques[coverage],MATCH(U70,techniques[name],0)),""),"")</f>
        <v/>
      </c>
      <c r="W70" s="45" t="n"/>
      <c r="X70" s="62">
        <f t="array" ref="X70">IF(W70&lt;&gt;"",IF(INDEX(techniques[coverage],MATCH(W70,techniques[name],0))&gt;0,INDEX(techniques[coverage],MATCH(W70,techniques[name],0)),""),"")</f>
        <v/>
      </c>
      <c r="Y70" s="45" t="n"/>
      <c r="Z70" s="62">
        <f t="array" ref="Z70">IF(Y70&lt;&gt;"",IF(INDEX(techniques[coverage],MATCH(Y70,techniques[name],0))&gt;0,INDEX(techniques[coverage],MATCH(Y70,techniques[name],0)),""),"")</f>
        <v/>
      </c>
      <c r="AA70" s="45" t="n"/>
      <c r="AB70" s="62">
        <f t="array" ref="AB70">IF(AA70&lt;&gt;"",IF(INDEX(techniques[coverage],MATCH(AA70,techniques[name],0))&gt;0,INDEX(techniques[coverage],MATCH(AA70,techniques[name],0)),""),"")</f>
        <v/>
      </c>
      <c r="AC70" s="45" t="n"/>
      <c r="AD70" s="62">
        <f t="array" ref="AD70">IF(AC70&lt;&gt;"",IF(INDEX(techniques[coverage],MATCH(AC70,techniques[name],0))&gt;0,INDEX(techniques[coverage],MATCH(AC70,techniques[name],0)),""),"")</f>
        <v/>
      </c>
    </row>
    <row r="71">
      <c r="A71" s="45" t="n"/>
      <c r="B71" s="62">
        <f t="array" ref="B71">IF(A71&lt;&gt;"",IF(INDEX(techniques[coverage],MATCH(A71,techniques[name],0))&gt;0,INDEX(techniques[coverage],MATCH(A71,techniques[name],0)),""),"")</f>
        <v/>
      </c>
      <c r="C71" s="45" t="n"/>
      <c r="D71" s="62">
        <f t="array" ref="D71">IF(C71&lt;&gt;"",IF(INDEX(techniques[coverage],MATCH(C71,techniques[name],0))&gt;0,INDEX(techniques[coverage],MATCH(C71,techniques[name],0)),""),"")</f>
        <v/>
      </c>
      <c r="E71" s="45" t="n"/>
      <c r="F71" s="62">
        <f t="array" ref="F71">IF(E71&lt;&gt;"",IF(INDEX(techniques[coverage],MATCH(E71,techniques[name],0))&gt;0,INDEX(techniques[coverage],MATCH(E71,techniques[name],0)),""),"")</f>
        <v/>
      </c>
      <c r="G71" s="45" t="n"/>
      <c r="H71" s="62">
        <f t="array" ref="H71">IF(G71&lt;&gt;"",IF(INDEX(techniques[coverage],MATCH(G71,techniques[name],0))&gt;0,INDEX(techniques[coverage],MATCH(G71,techniques[name],0)),""),"")</f>
        <v/>
      </c>
      <c r="I71" s="45" t="n"/>
      <c r="J71" s="62">
        <f t="array" ref="J71">IF(I71&lt;&gt;"",IF(INDEX(techniques[coverage],MATCH(I71,techniques[name],0))&gt;0,INDEX(techniques[coverage],MATCH(I71,techniques[name],0)),""),"")</f>
        <v/>
      </c>
      <c r="K71" s="45" t="n"/>
      <c r="L71" s="62">
        <f t="array" ref="L71">IF(K71&lt;&gt;"",IF(INDEX(techniques[coverage],MATCH(K71,techniques[name],0))&gt;0,INDEX(techniques[coverage],MATCH(K71,techniques[name],0)),""),"")</f>
        <v/>
      </c>
      <c r="M71" s="45" t="n"/>
      <c r="N71" s="62">
        <f t="array" ref="N71">IF(M71&lt;&gt;"",IF(INDEX(techniques[coverage],MATCH(M71,techniques[name],0))&gt;0,INDEX(techniques[coverage],MATCH(M71,techniques[name],0)),""),"")</f>
        <v/>
      </c>
      <c r="O71" s="45" t="n"/>
      <c r="P71" s="62">
        <f t="array" ref="P71">IF(O71&lt;&gt;"",IF(INDEX(techniques[coverage],MATCH(O71,techniques[name],0))&gt;0,INDEX(techniques[coverage],MATCH(O71,techniques[name],0)),""),"")</f>
        <v/>
      </c>
      <c r="Q71" s="45" t="n"/>
      <c r="R71" s="62">
        <f t="array" ref="R71">IF(Q71&lt;&gt;"",IF(INDEX(techniques[coverage],MATCH(Q71,techniques[name],0))&gt;0,INDEX(techniques[coverage],MATCH(Q71,techniques[name],0)),""),"")</f>
        <v/>
      </c>
      <c r="S71" s="45" t="n"/>
      <c r="T71" s="62">
        <f t="array" ref="T71">IF(S71&lt;&gt;"",IF(INDEX(techniques[coverage],MATCH(S71,techniques[name],0))&gt;0,INDEX(techniques[coverage],MATCH(S71,techniques[name],0)),""),"")</f>
        <v/>
      </c>
      <c r="U71" s="45" t="n"/>
      <c r="V71" s="62">
        <f t="array" ref="V71">IF(U71&lt;&gt;"",IF(INDEX(techniques[coverage],MATCH(U71,techniques[name],0))&gt;0,INDEX(techniques[coverage],MATCH(U71,techniques[name],0)),""),"")</f>
        <v/>
      </c>
      <c r="W71" s="45" t="n"/>
      <c r="X71" s="62">
        <f t="array" ref="X71">IF(W71&lt;&gt;"",IF(INDEX(techniques[coverage],MATCH(W71,techniques[name],0))&gt;0,INDEX(techniques[coverage],MATCH(W71,techniques[name],0)),""),"")</f>
        <v/>
      </c>
      <c r="Y71" s="45" t="n"/>
      <c r="Z71" s="62">
        <f t="array" ref="Z71">IF(Y71&lt;&gt;"",IF(INDEX(techniques[coverage],MATCH(Y71,techniques[name],0))&gt;0,INDEX(techniques[coverage],MATCH(Y71,techniques[name],0)),""),"")</f>
        <v/>
      </c>
      <c r="AA71" s="45" t="n"/>
      <c r="AB71" s="62">
        <f t="array" ref="AB71">IF(AA71&lt;&gt;"",IF(INDEX(techniques[coverage],MATCH(AA71,techniques[name],0))&gt;0,INDEX(techniques[coverage],MATCH(AA71,techniques[name],0)),""),"")</f>
        <v/>
      </c>
      <c r="AC71" s="45" t="n"/>
      <c r="AD71" s="62">
        <f t="array" ref="AD71">IF(AC71&lt;&gt;"",IF(INDEX(techniques[coverage],MATCH(AC71,techniques[name],0))&gt;0,INDEX(techniques[coverage],MATCH(AC71,techniques[name],0)),""),"")</f>
        <v/>
      </c>
    </row>
    <row r="72">
      <c r="A72" s="45" t="n"/>
      <c r="B72" s="62">
        <f t="array" ref="B72">IF(A72&lt;&gt;"",IF(INDEX(techniques[coverage],MATCH(A72,techniques[name],0))&gt;0,INDEX(techniques[coverage],MATCH(A72,techniques[name],0)),""),"")</f>
        <v/>
      </c>
      <c r="C72" s="45" t="n"/>
      <c r="D72" s="62">
        <f t="array" ref="D72">IF(C72&lt;&gt;"",IF(INDEX(techniques[coverage],MATCH(C72,techniques[name],0))&gt;0,INDEX(techniques[coverage],MATCH(C72,techniques[name],0)),""),"")</f>
        <v/>
      </c>
      <c r="E72" s="45" t="n"/>
      <c r="F72" s="62">
        <f t="array" ref="F72">IF(E72&lt;&gt;"",IF(INDEX(techniques[coverage],MATCH(E72,techniques[name],0))&gt;0,INDEX(techniques[coverage],MATCH(E72,techniques[name],0)),""),"")</f>
        <v/>
      </c>
      <c r="G72" s="45" t="n"/>
      <c r="H72" s="62">
        <f t="array" ref="H72">IF(G72&lt;&gt;"",IF(INDEX(techniques[coverage],MATCH(G72,techniques[name],0))&gt;0,INDEX(techniques[coverage],MATCH(G72,techniques[name],0)),""),"")</f>
        <v/>
      </c>
      <c r="I72" s="45" t="n"/>
      <c r="J72" s="62">
        <f t="array" ref="J72">IF(I72&lt;&gt;"",IF(INDEX(techniques[coverage],MATCH(I72,techniques[name],0))&gt;0,INDEX(techniques[coverage],MATCH(I72,techniques[name],0)),""),"")</f>
        <v/>
      </c>
      <c r="K72" s="45" t="n"/>
      <c r="L72" s="62">
        <f t="array" ref="L72">IF(K72&lt;&gt;"",IF(INDEX(techniques[coverage],MATCH(K72,techniques[name],0))&gt;0,INDEX(techniques[coverage],MATCH(K72,techniques[name],0)),""),"")</f>
        <v/>
      </c>
      <c r="M72" s="45" t="n"/>
      <c r="N72" s="62">
        <f t="array" ref="N72">IF(M72&lt;&gt;"",IF(INDEX(techniques[coverage],MATCH(M72,techniques[name],0))&gt;0,INDEX(techniques[coverage],MATCH(M72,techniques[name],0)),""),"")</f>
        <v/>
      </c>
      <c r="O72" s="45" t="n"/>
      <c r="P72" s="62">
        <f t="array" ref="P72">IF(O72&lt;&gt;"",IF(INDEX(techniques[coverage],MATCH(O72,techniques[name],0))&gt;0,INDEX(techniques[coverage],MATCH(O72,techniques[name],0)),""),"")</f>
        <v/>
      </c>
      <c r="Q72" s="45" t="n"/>
      <c r="R72" s="62">
        <f t="array" ref="R72">IF(Q72&lt;&gt;"",IF(INDEX(techniques[coverage],MATCH(Q72,techniques[name],0))&gt;0,INDEX(techniques[coverage],MATCH(Q72,techniques[name],0)),""),"")</f>
        <v/>
      </c>
      <c r="S72" s="45" t="n"/>
      <c r="T72" s="62">
        <f t="array" ref="T72">IF(S72&lt;&gt;"",IF(INDEX(techniques[coverage],MATCH(S72,techniques[name],0))&gt;0,INDEX(techniques[coverage],MATCH(S72,techniques[name],0)),""),"")</f>
        <v/>
      </c>
      <c r="U72" s="45" t="n"/>
      <c r="V72" s="62">
        <f t="array" ref="V72">IF(U72&lt;&gt;"",IF(INDEX(techniques[coverage],MATCH(U72,techniques[name],0))&gt;0,INDEX(techniques[coverage],MATCH(U72,techniques[name],0)),""),"")</f>
        <v/>
      </c>
      <c r="W72" s="45" t="n"/>
      <c r="X72" s="62">
        <f t="array" ref="X72">IF(W72&lt;&gt;"",IF(INDEX(techniques[coverage],MATCH(W72,techniques[name],0))&gt;0,INDEX(techniques[coverage],MATCH(W72,techniques[name],0)),""),"")</f>
        <v/>
      </c>
      <c r="Y72" s="45" t="n"/>
      <c r="Z72" s="62">
        <f t="array" ref="Z72">IF(Y72&lt;&gt;"",IF(INDEX(techniques[coverage],MATCH(Y72,techniques[name],0))&gt;0,INDEX(techniques[coverage],MATCH(Y72,techniques[name],0)),""),"")</f>
        <v/>
      </c>
      <c r="AA72" s="45" t="n"/>
      <c r="AB72" s="62">
        <f t="array" ref="AB72">IF(AA72&lt;&gt;"",IF(INDEX(techniques[coverage],MATCH(AA72,techniques[name],0))&gt;0,INDEX(techniques[coverage],MATCH(AA72,techniques[name],0)),""),"")</f>
        <v/>
      </c>
      <c r="AC72" s="45" t="n"/>
      <c r="AD72" s="62">
        <f t="array" ref="AD72">IF(AC72&lt;&gt;"",IF(INDEX(techniques[coverage],MATCH(AC72,techniques[name],0))&gt;0,INDEX(techniques[coverage],MATCH(AC72,techniques[name],0)),""),"")</f>
        <v/>
      </c>
    </row>
    <row r="73">
      <c r="A73" s="45" t="n"/>
      <c r="B73" s="62">
        <f t="array" ref="B73">IF(A73&lt;&gt;"",IF(INDEX(techniques[coverage],MATCH(A73,techniques[name],0))&gt;0,INDEX(techniques[coverage],MATCH(A73,techniques[name],0)),""),"")</f>
        <v/>
      </c>
      <c r="C73" s="45" t="n"/>
      <c r="D73" s="62">
        <f t="array" ref="D73">IF(C73&lt;&gt;"",IF(INDEX(techniques[coverage],MATCH(C73,techniques[name],0))&gt;0,INDEX(techniques[coverage],MATCH(C73,techniques[name],0)),""),"")</f>
        <v/>
      </c>
      <c r="E73" s="45" t="n"/>
      <c r="F73" s="62">
        <f t="array" ref="F73">IF(E73&lt;&gt;"",IF(INDEX(techniques[coverage],MATCH(E73,techniques[name],0))&gt;0,INDEX(techniques[coverage],MATCH(E73,techniques[name],0)),""),"")</f>
        <v/>
      </c>
      <c r="G73" s="45" t="n"/>
      <c r="H73" s="62">
        <f t="array" ref="H73">IF(G73&lt;&gt;"",IF(INDEX(techniques[coverage],MATCH(G73,techniques[name],0))&gt;0,INDEX(techniques[coverage],MATCH(G73,techniques[name],0)),""),"")</f>
        <v/>
      </c>
      <c r="I73" s="45" t="n"/>
      <c r="J73" s="62">
        <f t="array" ref="J73">IF(I73&lt;&gt;"",IF(INDEX(techniques[coverage],MATCH(I73,techniques[name],0))&gt;0,INDEX(techniques[coverage],MATCH(I73,techniques[name],0)),""),"")</f>
        <v/>
      </c>
      <c r="K73" s="45" t="n"/>
      <c r="L73" s="62">
        <f t="array" ref="L73">IF(K73&lt;&gt;"",IF(INDEX(techniques[coverage],MATCH(K73,techniques[name],0))&gt;0,INDEX(techniques[coverage],MATCH(K73,techniques[name],0)),""),"")</f>
        <v/>
      </c>
      <c r="M73" s="45" t="n"/>
      <c r="N73" s="62">
        <f t="array" ref="N73">IF(M73&lt;&gt;"",IF(INDEX(techniques[coverage],MATCH(M73,techniques[name],0))&gt;0,INDEX(techniques[coverage],MATCH(M73,techniques[name],0)),""),"")</f>
        <v/>
      </c>
      <c r="O73" s="45" t="n"/>
      <c r="P73" s="62">
        <f t="array" ref="P73">IF(O73&lt;&gt;"",IF(INDEX(techniques[coverage],MATCH(O73,techniques[name],0))&gt;0,INDEX(techniques[coverage],MATCH(O73,techniques[name],0)),""),"")</f>
        <v/>
      </c>
      <c r="Q73" s="45" t="n"/>
      <c r="R73" s="62">
        <f t="array" ref="R73">IF(Q73&lt;&gt;"",IF(INDEX(techniques[coverage],MATCH(Q73,techniques[name],0))&gt;0,INDEX(techniques[coverage],MATCH(Q73,techniques[name],0)),""),"")</f>
        <v/>
      </c>
      <c r="S73" s="45" t="n"/>
      <c r="T73" s="62">
        <f t="array" ref="T73">IF(S73&lt;&gt;"",IF(INDEX(techniques[coverage],MATCH(S73,techniques[name],0))&gt;0,INDEX(techniques[coverage],MATCH(S73,techniques[name],0)),""),"")</f>
        <v/>
      </c>
      <c r="U73" s="45" t="n"/>
      <c r="V73" s="62">
        <f t="array" ref="V73">IF(U73&lt;&gt;"",IF(INDEX(techniques[coverage],MATCH(U73,techniques[name],0))&gt;0,INDEX(techniques[coverage],MATCH(U73,techniques[name],0)),""),"")</f>
        <v/>
      </c>
      <c r="W73" s="45" t="n"/>
      <c r="X73" s="62">
        <f t="array" ref="X73">IF(W73&lt;&gt;"",IF(INDEX(techniques[coverage],MATCH(W73,techniques[name],0))&gt;0,INDEX(techniques[coverage],MATCH(W73,techniques[name],0)),""),"")</f>
        <v/>
      </c>
      <c r="Y73" s="45" t="n"/>
      <c r="Z73" s="62">
        <f t="array" ref="Z73">IF(Y73&lt;&gt;"",IF(INDEX(techniques[coverage],MATCH(Y73,techniques[name],0))&gt;0,INDEX(techniques[coverage],MATCH(Y73,techniques[name],0)),""),"")</f>
        <v/>
      </c>
      <c r="AA73" s="45" t="n"/>
      <c r="AB73" s="62">
        <f t="array" ref="AB73">IF(AA73&lt;&gt;"",IF(INDEX(techniques[coverage],MATCH(AA73,techniques[name],0))&gt;0,INDEX(techniques[coverage],MATCH(AA73,techniques[name],0)),""),"")</f>
        <v/>
      </c>
      <c r="AC73" s="45" t="n"/>
      <c r="AD73" s="62">
        <f t="array" ref="AD73">IF(AC73&lt;&gt;"",IF(INDEX(techniques[coverage],MATCH(AC73,techniques[name],0))&gt;0,INDEX(techniques[coverage],MATCH(AC73,techniques[name],0)),""),"")</f>
        <v/>
      </c>
    </row>
    <row r="74">
      <c r="A74" s="45" t="n"/>
      <c r="B74" s="62">
        <f t="array" ref="B74">IF(A74&lt;&gt;"",IF(INDEX(techniques[coverage],MATCH(A74,techniques[name],0))&gt;0,INDEX(techniques[coverage],MATCH(A74,techniques[name],0)),""),"")</f>
        <v/>
      </c>
      <c r="C74" s="45" t="n"/>
      <c r="D74" s="62">
        <f t="array" ref="D74">IF(C74&lt;&gt;"",IF(INDEX(techniques[coverage],MATCH(C74,techniques[name],0))&gt;0,INDEX(techniques[coverage],MATCH(C74,techniques[name],0)),""),"")</f>
        <v/>
      </c>
      <c r="E74" s="45" t="n"/>
      <c r="F74" s="62">
        <f t="array" ref="F74">IF(E74&lt;&gt;"",IF(INDEX(techniques[coverage],MATCH(E74,techniques[name],0))&gt;0,INDEX(techniques[coverage],MATCH(E74,techniques[name],0)),""),"")</f>
        <v/>
      </c>
      <c r="G74" s="45" t="n"/>
      <c r="H74" s="62">
        <f t="array" ref="H74">IF(G74&lt;&gt;"",IF(INDEX(techniques[coverage],MATCH(G74,techniques[name],0))&gt;0,INDEX(techniques[coverage],MATCH(G74,techniques[name],0)),""),"")</f>
        <v/>
      </c>
      <c r="I74" s="45" t="n"/>
      <c r="J74" s="62">
        <f t="array" ref="J74">IF(I74&lt;&gt;"",IF(INDEX(techniques[coverage],MATCH(I74,techniques[name],0))&gt;0,INDEX(techniques[coverage],MATCH(I74,techniques[name],0)),""),"")</f>
        <v/>
      </c>
      <c r="K74" s="45" t="n"/>
      <c r="L74" s="62">
        <f t="array" ref="L74">IF(K74&lt;&gt;"",IF(INDEX(techniques[coverage],MATCH(K74,techniques[name],0))&gt;0,INDEX(techniques[coverage],MATCH(K74,techniques[name],0)),""),"")</f>
        <v/>
      </c>
      <c r="M74" s="45" t="n"/>
      <c r="N74" s="62">
        <f t="array" ref="N74">IF(M74&lt;&gt;"",IF(INDEX(techniques[coverage],MATCH(M74,techniques[name],0))&gt;0,INDEX(techniques[coverage],MATCH(M74,techniques[name],0)),""),"")</f>
        <v/>
      </c>
      <c r="O74" s="45" t="n"/>
      <c r="P74" s="62">
        <f t="array" ref="P74">IF(O74&lt;&gt;"",IF(INDEX(techniques[coverage],MATCH(O74,techniques[name],0))&gt;0,INDEX(techniques[coverage],MATCH(O74,techniques[name],0)),""),"")</f>
        <v/>
      </c>
      <c r="Q74" s="45" t="n"/>
      <c r="R74" s="62">
        <f t="array" ref="R74">IF(Q74&lt;&gt;"",IF(INDEX(techniques[coverage],MATCH(Q74,techniques[name],0))&gt;0,INDEX(techniques[coverage],MATCH(Q74,techniques[name],0)),""),"")</f>
        <v/>
      </c>
      <c r="S74" s="45" t="n"/>
      <c r="T74" s="62">
        <f t="array" ref="T74">IF(S74&lt;&gt;"",IF(INDEX(techniques[coverage],MATCH(S74,techniques[name],0))&gt;0,INDEX(techniques[coverage],MATCH(S74,techniques[name],0)),""),"")</f>
        <v/>
      </c>
      <c r="U74" s="45" t="n"/>
      <c r="V74" s="62">
        <f t="array" ref="V74">IF(U74&lt;&gt;"",IF(INDEX(techniques[coverage],MATCH(U74,techniques[name],0))&gt;0,INDEX(techniques[coverage],MATCH(U74,techniques[name],0)),""),"")</f>
        <v/>
      </c>
      <c r="W74" s="45" t="n"/>
      <c r="X74" s="62">
        <f t="array" ref="X74">IF(W74&lt;&gt;"",IF(INDEX(techniques[coverage],MATCH(W74,techniques[name],0))&gt;0,INDEX(techniques[coverage],MATCH(W74,techniques[name],0)),""),"")</f>
        <v/>
      </c>
      <c r="Y74" s="45" t="n"/>
      <c r="Z74" s="62">
        <f t="array" ref="Z74">IF(Y74&lt;&gt;"",IF(INDEX(techniques[coverage],MATCH(Y74,techniques[name],0))&gt;0,INDEX(techniques[coverage],MATCH(Y74,techniques[name],0)),""),"")</f>
        <v/>
      </c>
      <c r="AA74" s="45" t="n"/>
      <c r="AB74" s="62">
        <f t="array" ref="AB74">IF(AA74&lt;&gt;"",IF(INDEX(techniques[coverage],MATCH(AA74,techniques[name],0))&gt;0,INDEX(techniques[coverage],MATCH(AA74,techniques[name],0)),""),"")</f>
        <v/>
      </c>
      <c r="AC74" s="45" t="n"/>
      <c r="AD74" s="62">
        <f t="array" ref="AD74">IF(AC74&lt;&gt;"",IF(INDEX(techniques[coverage],MATCH(AC74,techniques[name],0))&gt;0,INDEX(techniques[coverage],MATCH(AC74,techniques[name],0)),""),"")</f>
        <v/>
      </c>
    </row>
    <row r="75">
      <c r="A75" s="45" t="n"/>
      <c r="B75" s="62">
        <f t="array" ref="B75">IF(A75&lt;&gt;"",IF(INDEX(techniques[coverage],MATCH(A75,techniques[name],0))&gt;0,INDEX(techniques[coverage],MATCH(A75,techniques[name],0)),""),"")</f>
        <v/>
      </c>
      <c r="C75" s="45" t="n"/>
      <c r="D75" s="62">
        <f t="array" ref="D75">IF(C75&lt;&gt;"",IF(INDEX(techniques[coverage],MATCH(C75,techniques[name],0))&gt;0,INDEX(techniques[coverage],MATCH(C75,techniques[name],0)),""),"")</f>
        <v/>
      </c>
      <c r="E75" s="45" t="n"/>
      <c r="F75" s="62">
        <f t="array" ref="F75">IF(E75&lt;&gt;"",IF(INDEX(techniques[coverage],MATCH(E75,techniques[name],0))&gt;0,INDEX(techniques[coverage],MATCH(E75,techniques[name],0)),""),"")</f>
        <v/>
      </c>
      <c r="G75" s="45" t="n"/>
      <c r="H75" s="62">
        <f t="array" ref="H75">IF(G75&lt;&gt;"",IF(INDEX(techniques[coverage],MATCH(G75,techniques[name],0))&gt;0,INDEX(techniques[coverage],MATCH(G75,techniques[name],0)),""),"")</f>
        <v/>
      </c>
      <c r="I75" s="45" t="n"/>
      <c r="J75" s="62">
        <f t="array" ref="J75">IF(I75&lt;&gt;"",IF(INDEX(techniques[coverage],MATCH(I75,techniques[name],0))&gt;0,INDEX(techniques[coverage],MATCH(I75,techniques[name],0)),""),"")</f>
        <v/>
      </c>
      <c r="K75" s="45" t="n"/>
      <c r="L75" s="62">
        <f t="array" ref="L75">IF(K75&lt;&gt;"",IF(INDEX(techniques[coverage],MATCH(K75,techniques[name],0))&gt;0,INDEX(techniques[coverage],MATCH(K75,techniques[name],0)),""),"")</f>
        <v/>
      </c>
      <c r="M75" s="45" t="n"/>
      <c r="N75" s="62">
        <f t="array" ref="N75">IF(M75&lt;&gt;"",IF(INDEX(techniques[coverage],MATCH(M75,techniques[name],0))&gt;0,INDEX(techniques[coverage],MATCH(M75,techniques[name],0)),""),"")</f>
        <v/>
      </c>
      <c r="O75" s="45" t="n"/>
      <c r="P75" s="62">
        <f t="array" ref="P75">IF(O75&lt;&gt;"",IF(INDEX(techniques[coverage],MATCH(O75,techniques[name],0))&gt;0,INDEX(techniques[coverage],MATCH(O75,techniques[name],0)),""),"")</f>
        <v/>
      </c>
      <c r="Q75" s="45" t="n"/>
      <c r="R75" s="62">
        <f t="array" ref="R75">IF(Q75&lt;&gt;"",IF(INDEX(techniques[coverage],MATCH(Q75,techniques[name],0))&gt;0,INDEX(techniques[coverage],MATCH(Q75,techniques[name],0)),""),"")</f>
        <v/>
      </c>
      <c r="S75" s="45" t="n"/>
      <c r="T75" s="62">
        <f t="array" ref="T75">IF(S75&lt;&gt;"",IF(INDEX(techniques[coverage],MATCH(S75,techniques[name],0))&gt;0,INDEX(techniques[coverage],MATCH(S75,techniques[name],0)),""),"")</f>
        <v/>
      </c>
      <c r="U75" s="45" t="n"/>
      <c r="V75" s="62">
        <f t="array" ref="V75">IF(U75&lt;&gt;"",IF(INDEX(techniques[coverage],MATCH(U75,techniques[name],0))&gt;0,INDEX(techniques[coverage],MATCH(U75,techniques[name],0)),""),"")</f>
        <v/>
      </c>
      <c r="W75" s="45" t="n"/>
      <c r="X75" s="62">
        <f t="array" ref="X75">IF(W75&lt;&gt;"",IF(INDEX(techniques[coverage],MATCH(W75,techniques[name],0))&gt;0,INDEX(techniques[coverage],MATCH(W75,techniques[name],0)),""),"")</f>
        <v/>
      </c>
      <c r="Y75" s="45" t="n"/>
      <c r="Z75" s="62">
        <f t="array" ref="Z75">IF(Y75&lt;&gt;"",IF(INDEX(techniques[coverage],MATCH(Y75,techniques[name],0))&gt;0,INDEX(techniques[coverage],MATCH(Y75,techniques[name],0)),""),"")</f>
        <v/>
      </c>
      <c r="AA75" s="45" t="n"/>
      <c r="AB75" s="62">
        <f t="array" ref="AB75">IF(AA75&lt;&gt;"",IF(INDEX(techniques[coverage],MATCH(AA75,techniques[name],0))&gt;0,INDEX(techniques[coverage],MATCH(AA75,techniques[name],0)),""),"")</f>
        <v/>
      </c>
      <c r="AC75" s="45" t="n"/>
      <c r="AD75" s="62">
        <f t="array" ref="AD75">IF(AC75&lt;&gt;"",IF(INDEX(techniques[coverage],MATCH(AC75,techniques[name],0))&gt;0,INDEX(techniques[coverage],MATCH(AC75,techniques[name],0)),""),"")</f>
        <v/>
      </c>
    </row>
    <row r="76">
      <c r="A76" s="45" t="n"/>
      <c r="B76" s="62">
        <f t="array" ref="B76">IF(A76&lt;&gt;"",IF(INDEX(techniques[coverage],MATCH(A76,techniques[name],0))&gt;0,INDEX(techniques[coverage],MATCH(A76,techniques[name],0)),""),"")</f>
        <v/>
      </c>
      <c r="C76" s="45" t="n"/>
      <c r="D76" s="62">
        <f t="array" ref="D76">IF(C76&lt;&gt;"",IF(INDEX(techniques[coverage],MATCH(C76,techniques[name],0))&gt;0,INDEX(techniques[coverage],MATCH(C76,techniques[name],0)),""),"")</f>
        <v/>
      </c>
      <c r="E76" s="45" t="n"/>
      <c r="F76" s="62">
        <f t="array" ref="F76">IF(E76&lt;&gt;"",IF(INDEX(techniques[coverage],MATCH(E76,techniques[name],0))&gt;0,INDEX(techniques[coverage],MATCH(E76,techniques[name],0)),""),"")</f>
        <v/>
      </c>
      <c r="G76" s="45" t="n"/>
      <c r="H76" s="62">
        <f t="array" ref="H76">IF(G76&lt;&gt;"",IF(INDEX(techniques[coverage],MATCH(G76,techniques[name],0))&gt;0,INDEX(techniques[coverage],MATCH(G76,techniques[name],0)),""),"")</f>
        <v/>
      </c>
      <c r="I76" s="45" t="n"/>
      <c r="J76" s="62">
        <f t="array" ref="J76">IF(I76&lt;&gt;"",IF(INDEX(techniques[coverage],MATCH(I76,techniques[name],0))&gt;0,INDEX(techniques[coverage],MATCH(I76,techniques[name],0)),""),"")</f>
        <v/>
      </c>
      <c r="K76" s="45" t="n"/>
      <c r="L76" s="62">
        <f t="array" ref="L76">IF(K76&lt;&gt;"",IF(INDEX(techniques[coverage],MATCH(K76,techniques[name],0))&gt;0,INDEX(techniques[coverage],MATCH(K76,techniques[name],0)),""),"")</f>
        <v/>
      </c>
      <c r="M76" s="45" t="n"/>
      <c r="N76" s="62">
        <f t="array" ref="N76">IF(M76&lt;&gt;"",IF(INDEX(techniques[coverage],MATCH(M76,techniques[name],0))&gt;0,INDEX(techniques[coverage],MATCH(M76,techniques[name],0)),""),"")</f>
        <v/>
      </c>
      <c r="O76" s="45" t="n"/>
      <c r="P76" s="62">
        <f t="array" ref="P76">IF(O76&lt;&gt;"",IF(INDEX(techniques[coverage],MATCH(O76,techniques[name],0))&gt;0,INDEX(techniques[coverage],MATCH(O76,techniques[name],0)),""),"")</f>
        <v/>
      </c>
      <c r="Q76" s="45" t="n"/>
      <c r="R76" s="62">
        <f t="array" ref="R76">IF(Q76&lt;&gt;"",IF(INDEX(techniques[coverage],MATCH(Q76,techniques[name],0))&gt;0,INDEX(techniques[coverage],MATCH(Q76,techniques[name],0)),""),"")</f>
        <v/>
      </c>
      <c r="S76" s="45" t="n"/>
      <c r="T76" s="62">
        <f t="array" ref="T76">IF(S76&lt;&gt;"",IF(INDEX(techniques[coverage],MATCH(S76,techniques[name],0))&gt;0,INDEX(techniques[coverage],MATCH(S76,techniques[name],0)),""),"")</f>
        <v/>
      </c>
      <c r="U76" s="45" t="n"/>
      <c r="V76" s="62">
        <f t="array" ref="V76">IF(U76&lt;&gt;"",IF(INDEX(techniques[coverage],MATCH(U76,techniques[name],0))&gt;0,INDEX(techniques[coverage],MATCH(U76,techniques[name],0)),""),"")</f>
        <v/>
      </c>
      <c r="W76" s="45" t="n"/>
      <c r="X76" s="62">
        <f t="array" ref="X76">IF(W76&lt;&gt;"",IF(INDEX(techniques[coverage],MATCH(W76,techniques[name],0))&gt;0,INDEX(techniques[coverage],MATCH(W76,techniques[name],0)),""),"")</f>
        <v/>
      </c>
      <c r="Y76" s="45" t="n"/>
      <c r="Z76" s="62">
        <f t="array" ref="Z76">IF(Y76&lt;&gt;"",IF(INDEX(techniques[coverage],MATCH(Y76,techniques[name],0))&gt;0,INDEX(techniques[coverage],MATCH(Y76,techniques[name],0)),""),"")</f>
        <v/>
      </c>
      <c r="AA76" s="45" t="n"/>
      <c r="AB76" s="62">
        <f t="array" ref="AB76">IF(AA76&lt;&gt;"",IF(INDEX(techniques[coverage],MATCH(AA76,techniques[name],0))&gt;0,INDEX(techniques[coverage],MATCH(AA76,techniques[name],0)),""),"")</f>
        <v/>
      </c>
      <c r="AC76" s="45" t="n"/>
      <c r="AD76" s="62">
        <f t="array" ref="AD76">IF(AC76&lt;&gt;"",IF(INDEX(techniques[coverage],MATCH(AC76,techniques[name],0))&gt;0,INDEX(techniques[coverage],MATCH(AC76,techniques[name],0)),""),"")</f>
        <v/>
      </c>
    </row>
    <row r="77">
      <c r="A77" s="45" t="n"/>
      <c r="B77" s="62">
        <f t="array" ref="B77">IF(A77&lt;&gt;"",IF(INDEX(techniques[coverage],MATCH(A77,techniques[name],0))&gt;0,INDEX(techniques[coverage],MATCH(A77,techniques[name],0)),""),"")</f>
        <v/>
      </c>
      <c r="C77" s="45" t="n"/>
      <c r="D77" s="62">
        <f t="array" ref="D77">IF(C77&lt;&gt;"",IF(INDEX(techniques[coverage],MATCH(C77,techniques[name],0))&gt;0,INDEX(techniques[coverage],MATCH(C77,techniques[name],0)),""),"")</f>
        <v/>
      </c>
      <c r="E77" s="45" t="n"/>
      <c r="F77" s="62">
        <f t="array" ref="F77">IF(E77&lt;&gt;"",IF(INDEX(techniques[coverage],MATCH(E77,techniques[name],0))&gt;0,INDEX(techniques[coverage],MATCH(E77,techniques[name],0)),""),"")</f>
        <v/>
      </c>
      <c r="G77" s="45" t="n"/>
      <c r="H77" s="62">
        <f t="array" ref="H77">IF(G77&lt;&gt;"",IF(INDEX(techniques[coverage],MATCH(G77,techniques[name],0))&gt;0,INDEX(techniques[coverage],MATCH(G77,techniques[name],0)),""),"")</f>
        <v/>
      </c>
      <c r="I77" s="45" t="n"/>
      <c r="J77" s="62">
        <f t="array" ref="J77">IF(I77&lt;&gt;"",IF(INDEX(techniques[coverage],MATCH(I77,techniques[name],0))&gt;0,INDEX(techniques[coverage],MATCH(I77,techniques[name],0)),""),"")</f>
        <v/>
      </c>
      <c r="K77" s="45" t="n"/>
      <c r="L77" s="62">
        <f t="array" ref="L77">IF(K77&lt;&gt;"",IF(INDEX(techniques[coverage],MATCH(K77,techniques[name],0))&gt;0,INDEX(techniques[coverage],MATCH(K77,techniques[name],0)),""),"")</f>
        <v/>
      </c>
      <c r="M77" s="45" t="n"/>
      <c r="N77" s="62">
        <f t="array" ref="N77">IF(M77&lt;&gt;"",IF(INDEX(techniques[coverage],MATCH(M77,techniques[name],0))&gt;0,INDEX(techniques[coverage],MATCH(M77,techniques[name],0)),""),"")</f>
        <v/>
      </c>
      <c r="O77" s="45" t="n"/>
      <c r="P77" s="62">
        <f t="array" ref="P77">IF(O77&lt;&gt;"",IF(INDEX(techniques[coverage],MATCH(O77,techniques[name],0))&gt;0,INDEX(techniques[coverage],MATCH(O77,techniques[name],0)),""),"")</f>
        <v/>
      </c>
      <c r="Q77" s="45" t="n"/>
      <c r="R77" s="62">
        <f t="array" ref="R77">IF(Q77&lt;&gt;"",IF(INDEX(techniques[coverage],MATCH(Q77,techniques[name],0))&gt;0,INDEX(techniques[coverage],MATCH(Q77,techniques[name],0)),""),"")</f>
        <v/>
      </c>
      <c r="S77" s="45" t="n"/>
      <c r="T77" s="62">
        <f t="array" ref="T77">IF(S77&lt;&gt;"",IF(INDEX(techniques[coverage],MATCH(S77,techniques[name],0))&gt;0,INDEX(techniques[coverage],MATCH(S77,techniques[name],0)),""),"")</f>
        <v/>
      </c>
      <c r="U77" s="45" t="n"/>
      <c r="V77" s="62">
        <f t="array" ref="V77">IF(U77&lt;&gt;"",IF(INDEX(techniques[coverage],MATCH(U77,techniques[name],0))&gt;0,INDEX(techniques[coverage],MATCH(U77,techniques[name],0)),""),"")</f>
        <v/>
      </c>
      <c r="W77" s="45" t="n"/>
      <c r="X77" s="62">
        <f t="array" ref="X77">IF(W77&lt;&gt;"",IF(INDEX(techniques[coverage],MATCH(W77,techniques[name],0))&gt;0,INDEX(techniques[coverage],MATCH(W77,techniques[name],0)),""),"")</f>
        <v/>
      </c>
      <c r="Y77" s="45" t="n"/>
      <c r="Z77" s="62">
        <f t="array" ref="Z77">IF(Y77&lt;&gt;"",IF(INDEX(techniques[coverage],MATCH(Y77,techniques[name],0))&gt;0,INDEX(techniques[coverage],MATCH(Y77,techniques[name],0)),""),"")</f>
        <v/>
      </c>
      <c r="AA77" s="45" t="n"/>
      <c r="AB77" s="62">
        <f t="array" ref="AB77">IF(AA77&lt;&gt;"",IF(INDEX(techniques[coverage],MATCH(AA77,techniques[name],0))&gt;0,INDEX(techniques[coverage],MATCH(AA77,techniques[name],0)),""),"")</f>
        <v/>
      </c>
      <c r="AC77" s="45" t="n"/>
      <c r="AD77" s="62">
        <f t="array" ref="AD77">IF(AC77&lt;&gt;"",IF(INDEX(techniques[coverage],MATCH(AC77,techniques[name],0))&gt;0,INDEX(techniques[coverage],MATCH(AC77,techniques[name],0)),""),"")</f>
        <v/>
      </c>
    </row>
    <row r="78">
      <c r="A78" s="45" t="n"/>
      <c r="B78" s="62">
        <f t="array" ref="B78">IF(A78&lt;&gt;"",IF(INDEX(techniques[coverage],MATCH(A78,techniques[name],0))&gt;0,INDEX(techniques[coverage],MATCH(A78,techniques[name],0)),""),"")</f>
        <v/>
      </c>
      <c r="C78" s="45" t="n"/>
      <c r="D78" s="62">
        <f t="array" ref="D78">IF(C78&lt;&gt;"",IF(INDEX(techniques[coverage],MATCH(C78,techniques[name],0))&gt;0,INDEX(techniques[coverage],MATCH(C78,techniques[name],0)),""),"")</f>
        <v/>
      </c>
      <c r="E78" s="45" t="n"/>
      <c r="F78" s="62">
        <f t="array" ref="F78">IF(E78&lt;&gt;"",IF(INDEX(techniques[coverage],MATCH(E78,techniques[name],0))&gt;0,INDEX(techniques[coverage],MATCH(E78,techniques[name],0)),""),"")</f>
        <v/>
      </c>
      <c r="G78" s="45" t="n"/>
      <c r="H78" s="62">
        <f t="array" ref="H78">IF(G78&lt;&gt;"",IF(INDEX(techniques[coverage],MATCH(G78,techniques[name],0))&gt;0,INDEX(techniques[coverage],MATCH(G78,techniques[name],0)),""),"")</f>
        <v/>
      </c>
      <c r="I78" s="45" t="n"/>
      <c r="J78" s="62">
        <f t="array" ref="J78">IF(I78&lt;&gt;"",IF(INDEX(techniques[coverage],MATCH(I78,techniques[name],0))&gt;0,INDEX(techniques[coverage],MATCH(I78,techniques[name],0)),""),"")</f>
        <v/>
      </c>
      <c r="K78" s="45" t="n"/>
      <c r="L78" s="62">
        <f t="array" ref="L78">IF(K78&lt;&gt;"",IF(INDEX(techniques[coverage],MATCH(K78,techniques[name],0))&gt;0,INDEX(techniques[coverage],MATCH(K78,techniques[name],0)),""),"")</f>
        <v/>
      </c>
      <c r="M78" s="45" t="n"/>
      <c r="N78" s="62">
        <f t="array" ref="N78">IF(M78&lt;&gt;"",IF(INDEX(techniques[coverage],MATCH(M78,techniques[name],0))&gt;0,INDEX(techniques[coverage],MATCH(M78,techniques[name],0)),""),"")</f>
        <v/>
      </c>
      <c r="O78" s="45" t="n"/>
      <c r="P78" s="62">
        <f t="array" ref="P78">IF(O78&lt;&gt;"",IF(INDEX(techniques[coverage],MATCH(O78,techniques[name],0))&gt;0,INDEX(techniques[coverage],MATCH(O78,techniques[name],0)),""),"")</f>
        <v/>
      </c>
      <c r="Q78" s="45" t="n"/>
      <c r="R78" s="62">
        <f t="array" ref="R78">IF(Q78&lt;&gt;"",IF(INDEX(techniques[coverage],MATCH(Q78,techniques[name],0))&gt;0,INDEX(techniques[coverage],MATCH(Q78,techniques[name],0)),""),"")</f>
        <v/>
      </c>
      <c r="S78" s="45" t="n"/>
      <c r="T78" s="62">
        <f t="array" ref="T78">IF(S78&lt;&gt;"",IF(INDEX(techniques[coverage],MATCH(S78,techniques[name],0))&gt;0,INDEX(techniques[coverage],MATCH(S78,techniques[name],0)),""),"")</f>
        <v/>
      </c>
      <c r="U78" s="45" t="n"/>
      <c r="V78" s="62">
        <f t="array" ref="V78">IF(U78&lt;&gt;"",IF(INDEX(techniques[coverage],MATCH(U78,techniques[name],0))&gt;0,INDEX(techniques[coverage],MATCH(U78,techniques[name],0)),""),"")</f>
        <v/>
      </c>
      <c r="W78" s="45" t="n"/>
      <c r="X78" s="62">
        <f t="array" ref="X78">IF(W78&lt;&gt;"",IF(INDEX(techniques[coverage],MATCH(W78,techniques[name],0))&gt;0,INDEX(techniques[coverage],MATCH(W78,techniques[name],0)),""),"")</f>
        <v/>
      </c>
      <c r="Y78" s="45" t="n"/>
      <c r="Z78" s="62">
        <f t="array" ref="Z78">IF(Y78&lt;&gt;"",IF(INDEX(techniques[coverage],MATCH(Y78,techniques[name],0))&gt;0,INDEX(techniques[coverage],MATCH(Y78,techniques[name],0)),""),"")</f>
        <v/>
      </c>
      <c r="AA78" s="45" t="n"/>
      <c r="AB78" s="62">
        <f t="array" ref="AB78">IF(AA78&lt;&gt;"",IF(INDEX(techniques[coverage],MATCH(AA78,techniques[name],0))&gt;0,INDEX(techniques[coverage],MATCH(AA78,techniques[name],0)),""),"")</f>
        <v/>
      </c>
      <c r="AC78" s="45" t="n"/>
      <c r="AD78" s="62">
        <f t="array" ref="AD78">IF(AC78&lt;&gt;"",IF(INDEX(techniques[coverage],MATCH(AC78,techniques[name],0))&gt;0,INDEX(techniques[coverage],MATCH(AC78,techniques[name],0)),""),"")</f>
        <v/>
      </c>
    </row>
    <row r="79">
      <c r="A79" s="45" t="n"/>
      <c r="B79" s="62">
        <f t="array" ref="B79">IF(A79&lt;&gt;"",IF(INDEX(techniques[coverage],MATCH(A79,techniques[name],0))&gt;0,INDEX(techniques[coverage],MATCH(A79,techniques[name],0)),""),"")</f>
        <v/>
      </c>
      <c r="C79" s="45" t="n"/>
      <c r="D79" s="62">
        <f t="array" ref="D79">IF(C79&lt;&gt;"",IF(INDEX(techniques[coverage],MATCH(C79,techniques[name],0))&gt;0,INDEX(techniques[coverage],MATCH(C79,techniques[name],0)),""),"")</f>
        <v/>
      </c>
      <c r="E79" s="45" t="n"/>
      <c r="F79" s="62">
        <f t="array" ref="F79">IF(E79&lt;&gt;"",IF(INDEX(techniques[coverage],MATCH(E79,techniques[name],0))&gt;0,INDEX(techniques[coverage],MATCH(E79,techniques[name],0)),""),"")</f>
        <v/>
      </c>
      <c r="G79" s="45" t="n"/>
      <c r="H79" s="62">
        <f t="array" ref="H79">IF(G79&lt;&gt;"",IF(INDEX(techniques[coverage],MATCH(G79,techniques[name],0))&gt;0,INDEX(techniques[coverage],MATCH(G79,techniques[name],0)),""),"")</f>
        <v/>
      </c>
      <c r="I79" s="45" t="n"/>
      <c r="J79" s="62">
        <f t="array" ref="J79">IF(I79&lt;&gt;"",IF(INDEX(techniques[coverage],MATCH(I79,techniques[name],0))&gt;0,INDEX(techniques[coverage],MATCH(I79,techniques[name],0)),""),"")</f>
        <v/>
      </c>
      <c r="K79" s="45" t="n"/>
      <c r="L79" s="62">
        <f t="array" ref="L79">IF(K79&lt;&gt;"",IF(INDEX(techniques[coverage],MATCH(K79,techniques[name],0))&gt;0,INDEX(techniques[coverage],MATCH(K79,techniques[name],0)),""),"")</f>
        <v/>
      </c>
      <c r="M79" s="45" t="n"/>
      <c r="N79" s="62">
        <f t="array" ref="N79">IF(M79&lt;&gt;"",IF(INDEX(techniques[coverage],MATCH(M79,techniques[name],0))&gt;0,INDEX(techniques[coverage],MATCH(M79,techniques[name],0)),""),"")</f>
        <v/>
      </c>
      <c r="O79" s="45" t="n"/>
      <c r="P79" s="62">
        <f t="array" ref="P79">IF(O79&lt;&gt;"",IF(INDEX(techniques[coverage],MATCH(O79,techniques[name],0))&gt;0,INDEX(techniques[coverage],MATCH(O79,techniques[name],0)),""),"")</f>
        <v/>
      </c>
      <c r="Q79" s="45" t="n"/>
      <c r="R79" s="62">
        <f t="array" ref="R79">IF(Q79&lt;&gt;"",IF(INDEX(techniques[coverage],MATCH(Q79,techniques[name],0))&gt;0,INDEX(techniques[coverage],MATCH(Q79,techniques[name],0)),""),"")</f>
        <v/>
      </c>
      <c r="S79" s="45" t="n"/>
      <c r="T79" s="62">
        <f t="array" ref="T79">IF(S79&lt;&gt;"",IF(INDEX(techniques[coverage],MATCH(S79,techniques[name],0))&gt;0,INDEX(techniques[coverage],MATCH(S79,techniques[name],0)),""),"")</f>
        <v/>
      </c>
      <c r="U79" s="45" t="n"/>
      <c r="V79" s="62">
        <f t="array" ref="V79">IF(U79&lt;&gt;"",IF(INDEX(techniques[coverage],MATCH(U79,techniques[name],0))&gt;0,INDEX(techniques[coverage],MATCH(U79,techniques[name],0)),""),"")</f>
        <v/>
      </c>
      <c r="W79" s="45" t="n"/>
      <c r="X79" s="62">
        <f t="array" ref="X79">IF(W79&lt;&gt;"",IF(INDEX(techniques[coverage],MATCH(W79,techniques[name],0))&gt;0,INDEX(techniques[coverage],MATCH(W79,techniques[name],0)),""),"")</f>
        <v/>
      </c>
      <c r="Y79" s="45" t="n"/>
      <c r="Z79" s="62">
        <f t="array" ref="Z79">IF(Y79&lt;&gt;"",IF(INDEX(techniques[coverage],MATCH(Y79,techniques[name],0))&gt;0,INDEX(techniques[coverage],MATCH(Y79,techniques[name],0)),""),"")</f>
        <v/>
      </c>
      <c r="AA79" s="45" t="n"/>
      <c r="AB79" s="62">
        <f t="array" ref="AB79">IF(AA79&lt;&gt;"",IF(INDEX(techniques[coverage],MATCH(AA79,techniques[name],0))&gt;0,INDEX(techniques[coverage],MATCH(AA79,techniques[name],0)),""),"")</f>
        <v/>
      </c>
      <c r="AC79" s="45" t="n"/>
      <c r="AD79" s="62">
        <f t="array" ref="AD79">IF(AC79&lt;&gt;"",IF(INDEX(techniques[coverage],MATCH(AC79,techniques[name],0))&gt;0,INDEX(techniques[coverage],MATCH(AC79,techniques[name],0)),""),"")</f>
        <v/>
      </c>
    </row>
    <row r="80">
      <c r="A80" s="45" t="n"/>
      <c r="B80" s="62">
        <f t="array" ref="B80">IF(A80&lt;&gt;"",IF(INDEX(techniques[coverage],MATCH(A80,techniques[name],0))&gt;0,INDEX(techniques[coverage],MATCH(A80,techniques[name],0)),""),"")</f>
        <v/>
      </c>
      <c r="C80" s="45" t="n"/>
      <c r="D80" s="62">
        <f t="array" ref="D80">IF(C80&lt;&gt;"",IF(INDEX(techniques[coverage],MATCH(C80,techniques[name],0))&gt;0,INDEX(techniques[coverage],MATCH(C80,techniques[name],0)),""),"")</f>
        <v/>
      </c>
      <c r="E80" s="45" t="n"/>
      <c r="F80" s="62">
        <f t="array" ref="F80">IF(E80&lt;&gt;"",IF(INDEX(techniques[coverage],MATCH(E80,techniques[name],0))&gt;0,INDEX(techniques[coverage],MATCH(E80,techniques[name],0)),""),"")</f>
        <v/>
      </c>
      <c r="G80" s="45" t="n"/>
      <c r="H80" s="62">
        <f t="array" ref="H80">IF(G80&lt;&gt;"",IF(INDEX(techniques[coverage],MATCH(G80,techniques[name],0))&gt;0,INDEX(techniques[coverage],MATCH(G80,techniques[name],0)),""),"")</f>
        <v/>
      </c>
      <c r="I80" s="45" t="n"/>
      <c r="J80" s="62">
        <f t="array" ref="J80">IF(I80&lt;&gt;"",IF(INDEX(techniques[coverage],MATCH(I80,techniques[name],0))&gt;0,INDEX(techniques[coverage],MATCH(I80,techniques[name],0)),""),"")</f>
        <v/>
      </c>
      <c r="K80" s="45" t="n"/>
      <c r="L80" s="62">
        <f t="array" ref="L80">IF(K80&lt;&gt;"",IF(INDEX(techniques[coverage],MATCH(K80,techniques[name],0))&gt;0,INDEX(techniques[coverage],MATCH(K80,techniques[name],0)),""),"")</f>
        <v/>
      </c>
      <c r="M80" s="45" t="n"/>
      <c r="N80" s="62">
        <f t="array" ref="N80">IF(M80&lt;&gt;"",IF(INDEX(techniques[coverage],MATCH(M80,techniques[name],0))&gt;0,INDEX(techniques[coverage],MATCH(M80,techniques[name],0)),""),"")</f>
        <v/>
      </c>
      <c r="O80" s="45" t="n"/>
      <c r="P80" s="62">
        <f t="array" ref="P80">IF(O80&lt;&gt;"",IF(INDEX(techniques[coverage],MATCH(O80,techniques[name],0))&gt;0,INDEX(techniques[coverage],MATCH(O80,techniques[name],0)),""),"")</f>
        <v/>
      </c>
      <c r="Q80" s="45" t="n"/>
      <c r="R80" s="62">
        <f t="array" ref="R80">IF(Q80&lt;&gt;"",IF(INDEX(techniques[coverage],MATCH(Q80,techniques[name],0))&gt;0,INDEX(techniques[coverage],MATCH(Q80,techniques[name],0)),""),"")</f>
        <v/>
      </c>
      <c r="S80" s="45" t="n"/>
      <c r="T80" s="62">
        <f t="array" ref="T80">IF(S80&lt;&gt;"",IF(INDEX(techniques[coverage],MATCH(S80,techniques[name],0))&gt;0,INDEX(techniques[coverage],MATCH(S80,techniques[name],0)),""),"")</f>
        <v/>
      </c>
      <c r="U80" s="45" t="n"/>
      <c r="V80" s="62">
        <f t="array" ref="V80">IF(U80&lt;&gt;"",IF(INDEX(techniques[coverage],MATCH(U80,techniques[name],0))&gt;0,INDEX(techniques[coverage],MATCH(U80,techniques[name],0)),""),"")</f>
        <v/>
      </c>
      <c r="W80" s="45" t="n"/>
      <c r="X80" s="62">
        <f t="array" ref="X80">IF(W80&lt;&gt;"",IF(INDEX(techniques[coverage],MATCH(W80,techniques[name],0))&gt;0,INDEX(techniques[coverage],MATCH(W80,techniques[name],0)),""),"")</f>
        <v/>
      </c>
      <c r="Y80" s="45" t="n"/>
      <c r="Z80" s="62">
        <f t="array" ref="Z80">IF(Y80&lt;&gt;"",IF(INDEX(techniques[coverage],MATCH(Y80,techniques[name],0))&gt;0,INDEX(techniques[coverage],MATCH(Y80,techniques[name],0)),""),"")</f>
        <v/>
      </c>
      <c r="AA80" s="45" t="n"/>
      <c r="AB80" s="62">
        <f t="array" ref="AB80">IF(AA80&lt;&gt;"",IF(INDEX(techniques[coverage],MATCH(AA80,techniques[name],0))&gt;0,INDEX(techniques[coverage],MATCH(AA80,techniques[name],0)),""),"")</f>
        <v/>
      </c>
      <c r="AC80" s="45" t="n"/>
      <c r="AD80" s="62">
        <f t="array" ref="AD80">IF(AC80&lt;&gt;"",IF(INDEX(techniques[coverage],MATCH(AC80,techniques[name],0))&gt;0,INDEX(techniques[coverage],MATCH(AC80,techniques[name],0)),""),"")</f>
        <v/>
      </c>
    </row>
    <row r="81">
      <c r="A81" s="45" t="n"/>
      <c r="B81" s="62">
        <f t="array" ref="B81">IF(A81&lt;&gt;"",IF(INDEX(techniques[coverage],MATCH(A81,techniques[name],0))&gt;0,INDEX(techniques[coverage],MATCH(A81,techniques[name],0)),""),"")</f>
        <v/>
      </c>
      <c r="C81" s="45" t="n"/>
      <c r="D81" s="62">
        <f t="array" ref="D81">IF(C81&lt;&gt;"",IF(INDEX(techniques[coverage],MATCH(C81,techniques[name],0))&gt;0,INDEX(techniques[coverage],MATCH(C81,techniques[name],0)),""),"")</f>
        <v/>
      </c>
      <c r="E81" s="45" t="n"/>
      <c r="F81" s="62">
        <f t="array" ref="F81">IF(E81&lt;&gt;"",IF(INDEX(techniques[coverage],MATCH(E81,techniques[name],0))&gt;0,INDEX(techniques[coverage],MATCH(E81,techniques[name],0)),""),"")</f>
        <v/>
      </c>
      <c r="G81" s="45" t="n"/>
      <c r="H81" s="62">
        <f t="array" ref="H81">IF(G81&lt;&gt;"",IF(INDEX(techniques[coverage],MATCH(G81,techniques[name],0))&gt;0,INDEX(techniques[coverage],MATCH(G81,techniques[name],0)),""),"")</f>
        <v/>
      </c>
      <c r="I81" s="45" t="n"/>
      <c r="J81" s="62">
        <f t="array" ref="J81">IF(I81&lt;&gt;"",IF(INDEX(techniques[coverage],MATCH(I81,techniques[name],0))&gt;0,INDEX(techniques[coverage],MATCH(I81,techniques[name],0)),""),"")</f>
        <v/>
      </c>
      <c r="K81" s="45" t="n"/>
      <c r="L81" s="62">
        <f t="array" ref="L81">IF(K81&lt;&gt;"",IF(INDEX(techniques[coverage],MATCH(K81,techniques[name],0))&gt;0,INDEX(techniques[coverage],MATCH(K81,techniques[name],0)),""),"")</f>
        <v/>
      </c>
      <c r="M81" s="45" t="n"/>
      <c r="N81" s="62">
        <f t="array" ref="N81">IF(M81&lt;&gt;"",IF(INDEX(techniques[coverage],MATCH(M81,techniques[name],0))&gt;0,INDEX(techniques[coverage],MATCH(M81,techniques[name],0)),""),"")</f>
        <v/>
      </c>
      <c r="O81" s="45" t="n"/>
      <c r="P81" s="62">
        <f t="array" ref="P81">IF(O81&lt;&gt;"",IF(INDEX(techniques[coverage],MATCH(O81,techniques[name],0))&gt;0,INDEX(techniques[coverage],MATCH(O81,techniques[name],0)),""),"")</f>
        <v/>
      </c>
      <c r="Q81" s="45" t="n"/>
      <c r="R81" s="62">
        <f t="array" ref="R81">IF(Q81&lt;&gt;"",IF(INDEX(techniques[coverage],MATCH(Q81,techniques[name],0))&gt;0,INDEX(techniques[coverage],MATCH(Q81,techniques[name],0)),""),"")</f>
        <v/>
      </c>
      <c r="S81" s="45" t="n"/>
      <c r="T81" s="62">
        <f t="array" ref="T81">IF(S81&lt;&gt;"",IF(INDEX(techniques[coverage],MATCH(S81,techniques[name],0))&gt;0,INDEX(techniques[coverage],MATCH(S81,techniques[name],0)),""),"")</f>
        <v/>
      </c>
      <c r="U81" s="45" t="n"/>
      <c r="V81" s="62">
        <f t="array" ref="V81">IF(U81&lt;&gt;"",IF(INDEX(techniques[coverage],MATCH(U81,techniques[name],0))&gt;0,INDEX(techniques[coverage],MATCH(U81,techniques[name],0)),""),"")</f>
        <v/>
      </c>
      <c r="W81" s="45" t="n"/>
      <c r="X81" s="62">
        <f t="array" ref="X81">IF(W81&lt;&gt;"",IF(INDEX(techniques[coverage],MATCH(W81,techniques[name],0))&gt;0,INDEX(techniques[coverage],MATCH(W81,techniques[name],0)),""),"")</f>
        <v/>
      </c>
      <c r="Y81" s="45" t="n"/>
      <c r="Z81" s="62">
        <f t="array" ref="Z81">IF(Y81&lt;&gt;"",IF(INDEX(techniques[coverage],MATCH(Y81,techniques[name],0))&gt;0,INDEX(techniques[coverage],MATCH(Y81,techniques[name],0)),""),"")</f>
        <v/>
      </c>
      <c r="AA81" s="45" t="n"/>
      <c r="AB81" s="62">
        <f t="array" ref="AB81">IF(AA81&lt;&gt;"",IF(INDEX(techniques[coverage],MATCH(AA81,techniques[name],0))&gt;0,INDEX(techniques[coverage],MATCH(AA81,techniques[name],0)),""),"")</f>
        <v/>
      </c>
      <c r="AC81" s="45" t="n"/>
      <c r="AD81" s="62">
        <f t="array" ref="AD81">IF(AC81&lt;&gt;"",IF(INDEX(techniques[coverage],MATCH(AC81,techniques[name],0))&gt;0,INDEX(techniques[coverage],MATCH(AC81,techniques[name],0)),""),"")</f>
        <v/>
      </c>
    </row>
    <row r="82">
      <c r="A82" s="45" t="n"/>
      <c r="B82" s="62">
        <f t="array" ref="B82">IF(A82&lt;&gt;"",IF(INDEX(techniques[coverage],MATCH(A82,techniques[name],0))&gt;0,INDEX(techniques[coverage],MATCH(A82,techniques[name],0)),""),"")</f>
        <v/>
      </c>
      <c r="C82" s="45" t="n"/>
      <c r="D82" s="62">
        <f t="array" ref="D82">IF(C82&lt;&gt;"",IF(INDEX(techniques[coverage],MATCH(C82,techniques[name],0))&gt;0,INDEX(techniques[coverage],MATCH(C82,techniques[name],0)),""),"")</f>
        <v/>
      </c>
      <c r="E82" s="45" t="n"/>
      <c r="F82" s="62">
        <f t="array" ref="F82">IF(E82&lt;&gt;"",IF(INDEX(techniques[coverage],MATCH(E82,techniques[name],0))&gt;0,INDEX(techniques[coverage],MATCH(E82,techniques[name],0)),""),"")</f>
        <v/>
      </c>
      <c r="G82" s="45" t="n"/>
      <c r="H82" s="62">
        <f t="array" ref="H82">IF(G82&lt;&gt;"",IF(INDEX(techniques[coverage],MATCH(G82,techniques[name],0))&gt;0,INDEX(techniques[coverage],MATCH(G82,techniques[name],0)),""),"")</f>
        <v/>
      </c>
      <c r="I82" s="45" t="n"/>
      <c r="J82" s="62">
        <f t="array" ref="J82">IF(I82&lt;&gt;"",IF(INDEX(techniques[coverage],MATCH(I82,techniques[name],0))&gt;0,INDEX(techniques[coverage],MATCH(I82,techniques[name],0)),""),"")</f>
        <v/>
      </c>
      <c r="K82" s="45" t="n"/>
      <c r="L82" s="62">
        <f t="array" ref="L82">IF(K82&lt;&gt;"",IF(INDEX(techniques[coverage],MATCH(K82,techniques[name],0))&gt;0,INDEX(techniques[coverage],MATCH(K82,techniques[name],0)),""),"")</f>
        <v/>
      </c>
      <c r="M82" s="45" t="n"/>
      <c r="N82" s="62">
        <f t="array" ref="N82">IF(M82&lt;&gt;"",IF(INDEX(techniques[coverage],MATCH(M82,techniques[name],0))&gt;0,INDEX(techniques[coverage],MATCH(M82,techniques[name],0)),""),"")</f>
        <v/>
      </c>
      <c r="O82" s="45" t="n"/>
      <c r="P82" s="62">
        <f t="array" ref="P82">IF(O82&lt;&gt;"",IF(INDEX(techniques[coverage],MATCH(O82,techniques[name],0))&gt;0,INDEX(techniques[coverage],MATCH(O82,techniques[name],0)),""),"")</f>
        <v/>
      </c>
      <c r="Q82" s="45" t="n"/>
      <c r="R82" s="62">
        <f t="array" ref="R82">IF(Q82&lt;&gt;"",IF(INDEX(techniques[coverage],MATCH(Q82,techniques[name],0))&gt;0,INDEX(techniques[coverage],MATCH(Q82,techniques[name],0)),""),"")</f>
        <v/>
      </c>
      <c r="S82" s="45" t="n"/>
      <c r="T82" s="62">
        <f t="array" ref="T82">IF(S82&lt;&gt;"",IF(INDEX(techniques[coverage],MATCH(S82,techniques[name],0))&gt;0,INDEX(techniques[coverage],MATCH(S82,techniques[name],0)),""),"")</f>
        <v/>
      </c>
      <c r="U82" s="45" t="n"/>
      <c r="V82" s="62">
        <f t="array" ref="V82">IF(U82&lt;&gt;"",IF(INDEX(techniques[coverage],MATCH(U82,techniques[name],0))&gt;0,INDEX(techniques[coverage],MATCH(U82,techniques[name],0)),""),"")</f>
        <v/>
      </c>
      <c r="W82" s="45" t="n"/>
      <c r="X82" s="62">
        <f t="array" ref="X82">IF(W82&lt;&gt;"",IF(INDEX(techniques[coverage],MATCH(W82,techniques[name],0))&gt;0,INDEX(techniques[coverage],MATCH(W82,techniques[name],0)),""),"")</f>
        <v/>
      </c>
      <c r="Y82" s="45" t="n"/>
      <c r="Z82" s="62">
        <f t="array" ref="Z82">IF(Y82&lt;&gt;"",IF(INDEX(techniques[coverage],MATCH(Y82,techniques[name],0))&gt;0,INDEX(techniques[coverage],MATCH(Y82,techniques[name],0)),""),"")</f>
        <v/>
      </c>
      <c r="AA82" s="45" t="n"/>
      <c r="AB82" s="62">
        <f t="array" ref="AB82">IF(AA82&lt;&gt;"",IF(INDEX(techniques[coverage],MATCH(AA82,techniques[name],0))&gt;0,INDEX(techniques[coverage],MATCH(AA82,techniques[name],0)),""),"")</f>
        <v/>
      </c>
      <c r="AC82" s="45" t="n"/>
      <c r="AD82" s="62">
        <f t="array" ref="AD82">IF(AC82&lt;&gt;"",IF(INDEX(techniques[coverage],MATCH(AC82,techniques[name],0))&gt;0,INDEX(techniques[coverage],MATCH(AC82,techniques[name],0)),""),"")</f>
        <v/>
      </c>
    </row>
    <row r="83">
      <c r="A83" s="45" t="n"/>
      <c r="B83" s="62">
        <f t="array" ref="B83">IF(A83&lt;&gt;"",IF(INDEX(techniques[coverage],MATCH(A83,techniques[name],0))&gt;0,INDEX(techniques[coverage],MATCH(A83,techniques[name],0)),""),"")</f>
        <v/>
      </c>
      <c r="C83" s="45" t="n"/>
      <c r="D83" s="62">
        <f t="array" ref="D83">IF(C83&lt;&gt;"",IF(INDEX(techniques[coverage],MATCH(C83,techniques[name],0))&gt;0,INDEX(techniques[coverage],MATCH(C83,techniques[name],0)),""),"")</f>
        <v/>
      </c>
      <c r="E83" s="45" t="n"/>
      <c r="F83" s="62">
        <f t="array" ref="F83">IF(E83&lt;&gt;"",IF(INDEX(techniques[coverage],MATCH(E83,techniques[name],0))&gt;0,INDEX(techniques[coverage],MATCH(E83,techniques[name],0)),""),"")</f>
        <v/>
      </c>
      <c r="G83" s="45" t="n"/>
      <c r="H83" s="62">
        <f t="array" ref="H83">IF(G83&lt;&gt;"",IF(INDEX(techniques[coverage],MATCH(G83,techniques[name],0))&gt;0,INDEX(techniques[coverage],MATCH(G83,techniques[name],0)),""),"")</f>
        <v/>
      </c>
      <c r="I83" s="45" t="n"/>
      <c r="J83" s="62">
        <f t="array" ref="J83">IF(I83&lt;&gt;"",IF(INDEX(techniques[coverage],MATCH(I83,techniques[name],0))&gt;0,INDEX(techniques[coverage],MATCH(I83,techniques[name],0)),""),"")</f>
        <v/>
      </c>
      <c r="K83" s="45" t="n"/>
      <c r="L83" s="62">
        <f t="array" ref="L83">IF(K83&lt;&gt;"",IF(INDEX(techniques[coverage],MATCH(K83,techniques[name],0))&gt;0,INDEX(techniques[coverage],MATCH(K83,techniques[name],0)),""),"")</f>
        <v/>
      </c>
      <c r="M83" s="45" t="n"/>
      <c r="N83" s="62">
        <f t="array" ref="N83">IF(M83&lt;&gt;"",IF(INDEX(techniques[coverage],MATCH(M83,techniques[name],0))&gt;0,INDEX(techniques[coverage],MATCH(M83,techniques[name],0)),""),"")</f>
        <v/>
      </c>
      <c r="O83" s="45" t="n"/>
      <c r="P83" s="62">
        <f t="array" ref="P83">IF(O83&lt;&gt;"",IF(INDEX(techniques[coverage],MATCH(O83,techniques[name],0))&gt;0,INDEX(techniques[coverage],MATCH(O83,techniques[name],0)),""),"")</f>
        <v/>
      </c>
      <c r="Q83" s="45" t="n"/>
      <c r="R83" s="62">
        <f t="array" ref="R83">IF(Q83&lt;&gt;"",IF(INDEX(techniques[coverage],MATCH(Q83,techniques[name],0))&gt;0,INDEX(techniques[coverage],MATCH(Q83,techniques[name],0)),""),"")</f>
        <v/>
      </c>
      <c r="S83" s="45" t="n"/>
      <c r="T83" s="62">
        <f t="array" ref="T83">IF(S83&lt;&gt;"",IF(INDEX(techniques[coverage],MATCH(S83,techniques[name],0))&gt;0,INDEX(techniques[coverage],MATCH(S83,techniques[name],0)),""),"")</f>
        <v/>
      </c>
      <c r="U83" s="45" t="n"/>
      <c r="V83" s="62">
        <f t="array" ref="V83">IF(U83&lt;&gt;"",IF(INDEX(techniques[coverage],MATCH(U83,techniques[name],0))&gt;0,INDEX(techniques[coverage],MATCH(U83,techniques[name],0)),""),"")</f>
        <v/>
      </c>
      <c r="W83" s="45" t="n"/>
      <c r="X83" s="62">
        <f t="array" ref="X83">IF(W83&lt;&gt;"",IF(INDEX(techniques[coverage],MATCH(W83,techniques[name],0))&gt;0,INDEX(techniques[coverage],MATCH(W83,techniques[name],0)),""),"")</f>
        <v/>
      </c>
      <c r="Y83" s="45" t="n"/>
      <c r="Z83" s="62">
        <f t="array" ref="Z83">IF(Y83&lt;&gt;"",IF(INDEX(techniques[coverage],MATCH(Y83,techniques[name],0))&gt;0,INDEX(techniques[coverage],MATCH(Y83,techniques[name],0)),""),"")</f>
        <v/>
      </c>
      <c r="AA83" s="45" t="n"/>
      <c r="AB83" s="62">
        <f t="array" ref="AB83">IF(AA83&lt;&gt;"",IF(INDEX(techniques[coverage],MATCH(AA83,techniques[name],0))&gt;0,INDEX(techniques[coverage],MATCH(AA83,techniques[name],0)),""),"")</f>
        <v/>
      </c>
      <c r="AC83" s="45" t="n"/>
      <c r="AD83" s="62">
        <f t="array" ref="AD83">IF(AC83&lt;&gt;"",IF(INDEX(techniques[coverage],MATCH(AC83,techniques[name],0))&gt;0,INDEX(techniques[coverage],MATCH(AC83,techniques[name],0)),""),"")</f>
        <v/>
      </c>
    </row>
    <row r="84">
      <c r="A84" s="45" t="n"/>
      <c r="B84" s="62">
        <f t="array" ref="B84">IF(A84&lt;&gt;"",IF(INDEX(techniques[coverage],MATCH(A84,techniques[name],0))&gt;0,INDEX(techniques[coverage],MATCH(A84,techniques[name],0)),""),"")</f>
        <v/>
      </c>
      <c r="C84" s="45" t="n"/>
      <c r="D84" s="62">
        <f t="array" ref="D84">IF(C84&lt;&gt;"",IF(INDEX(techniques[coverage],MATCH(C84,techniques[name],0))&gt;0,INDEX(techniques[coverage],MATCH(C84,techniques[name],0)),""),"")</f>
        <v/>
      </c>
      <c r="E84" s="45" t="n"/>
      <c r="F84" s="62">
        <f t="array" ref="F84">IF(E84&lt;&gt;"",IF(INDEX(techniques[coverage],MATCH(E84,techniques[name],0))&gt;0,INDEX(techniques[coverage],MATCH(E84,techniques[name],0)),""),"")</f>
        <v/>
      </c>
      <c r="G84" s="45" t="n"/>
      <c r="H84" s="62">
        <f t="array" ref="H84">IF(G84&lt;&gt;"",IF(INDEX(techniques[coverage],MATCH(G84,techniques[name],0))&gt;0,INDEX(techniques[coverage],MATCH(G84,techniques[name],0)),""),"")</f>
        <v/>
      </c>
      <c r="I84" s="45" t="n"/>
      <c r="J84" s="62">
        <f t="array" ref="J84">IF(I84&lt;&gt;"",IF(INDEX(techniques[coverage],MATCH(I84,techniques[name],0))&gt;0,INDEX(techniques[coverage],MATCH(I84,techniques[name],0)),""),"")</f>
        <v/>
      </c>
      <c r="K84" s="45" t="n"/>
      <c r="L84" s="62">
        <f t="array" ref="L84">IF(K84&lt;&gt;"",IF(INDEX(techniques[coverage],MATCH(K84,techniques[name],0))&gt;0,INDEX(techniques[coverage],MATCH(K84,techniques[name],0)),""),"")</f>
        <v/>
      </c>
      <c r="M84" s="45" t="n"/>
      <c r="N84" s="62">
        <f t="array" ref="N84">IF(M84&lt;&gt;"",IF(INDEX(techniques[coverage],MATCH(M84,techniques[name],0))&gt;0,INDEX(techniques[coverage],MATCH(M84,techniques[name],0)),""),"")</f>
        <v/>
      </c>
      <c r="O84" s="45" t="n"/>
      <c r="P84" s="62">
        <f t="array" ref="P84">IF(O84&lt;&gt;"",IF(INDEX(techniques[coverage],MATCH(O84,techniques[name],0))&gt;0,INDEX(techniques[coverage],MATCH(O84,techniques[name],0)),""),"")</f>
        <v/>
      </c>
      <c r="Q84" s="45" t="n"/>
      <c r="R84" s="62">
        <f t="array" ref="R84">IF(Q84&lt;&gt;"",IF(INDEX(techniques[coverage],MATCH(Q84,techniques[name],0))&gt;0,INDEX(techniques[coverage],MATCH(Q84,techniques[name],0)),""),"")</f>
        <v/>
      </c>
      <c r="S84" s="45" t="n"/>
      <c r="T84" s="62">
        <f t="array" ref="T84">IF(S84&lt;&gt;"",IF(INDEX(techniques[coverage],MATCH(S84,techniques[name],0))&gt;0,INDEX(techniques[coverage],MATCH(S84,techniques[name],0)),""),"")</f>
        <v/>
      </c>
      <c r="U84" s="45" t="n"/>
      <c r="V84" s="62">
        <f t="array" ref="V84">IF(U84&lt;&gt;"",IF(INDEX(techniques[coverage],MATCH(U84,techniques[name],0))&gt;0,INDEX(techniques[coverage],MATCH(U84,techniques[name],0)),""),"")</f>
        <v/>
      </c>
      <c r="W84" s="45" t="n"/>
      <c r="X84" s="62">
        <f t="array" ref="X84">IF(W84&lt;&gt;"",IF(INDEX(techniques[coverage],MATCH(W84,techniques[name],0))&gt;0,INDEX(techniques[coverage],MATCH(W84,techniques[name],0)),""),"")</f>
        <v/>
      </c>
      <c r="Y84" s="45" t="n"/>
      <c r="Z84" s="62">
        <f t="array" ref="Z84">IF(Y84&lt;&gt;"",IF(INDEX(techniques[coverage],MATCH(Y84,techniques[name],0))&gt;0,INDEX(techniques[coverage],MATCH(Y84,techniques[name],0)),""),"")</f>
        <v/>
      </c>
      <c r="AA84" s="45" t="n"/>
      <c r="AB84" s="62">
        <f t="array" ref="AB84">IF(AA84&lt;&gt;"",IF(INDEX(techniques[coverage],MATCH(AA84,techniques[name],0))&gt;0,INDEX(techniques[coverage],MATCH(AA84,techniques[name],0)),""),"")</f>
        <v/>
      </c>
      <c r="AC84" s="45" t="n"/>
      <c r="AD84" s="62">
        <f t="array" ref="AD84">IF(AC84&lt;&gt;"",IF(INDEX(techniques[coverage],MATCH(AC84,techniques[name],0))&gt;0,INDEX(techniques[coverage],MATCH(AC84,techniques[name],0)),""),"")</f>
        <v/>
      </c>
    </row>
    <row r="85">
      <c r="A85" s="45" t="n"/>
      <c r="B85" s="62">
        <f t="array" ref="B85">IF(A85&lt;&gt;"",IF(INDEX(techniques[coverage],MATCH(A85,techniques[name],0))&gt;0,INDEX(techniques[coverage],MATCH(A85,techniques[name],0)),""),"")</f>
        <v/>
      </c>
      <c r="C85" s="45" t="n"/>
      <c r="D85" s="62">
        <f t="array" ref="D85">IF(C85&lt;&gt;"",IF(INDEX(techniques[coverage],MATCH(C85,techniques[name],0))&gt;0,INDEX(techniques[coverage],MATCH(C85,techniques[name],0)),""),"")</f>
        <v/>
      </c>
      <c r="E85" s="45" t="n"/>
      <c r="F85" s="62">
        <f t="array" ref="F85">IF(E85&lt;&gt;"",IF(INDEX(techniques[coverage],MATCH(E85,techniques[name],0))&gt;0,INDEX(techniques[coverage],MATCH(E85,techniques[name],0)),""),"")</f>
        <v/>
      </c>
      <c r="G85" s="45" t="n"/>
      <c r="H85" s="62">
        <f t="array" ref="H85">IF(G85&lt;&gt;"",IF(INDEX(techniques[coverage],MATCH(G85,techniques[name],0))&gt;0,INDEX(techniques[coverage],MATCH(G85,techniques[name],0)),""),"")</f>
        <v/>
      </c>
      <c r="I85" s="45" t="n"/>
      <c r="J85" s="62">
        <f t="array" ref="J85">IF(I85&lt;&gt;"",IF(INDEX(techniques[coverage],MATCH(I85,techniques[name],0))&gt;0,INDEX(techniques[coverage],MATCH(I85,techniques[name],0)),""),"")</f>
        <v/>
      </c>
      <c r="K85" s="45" t="n"/>
      <c r="L85" s="62">
        <f t="array" ref="L85">IF(K85&lt;&gt;"",IF(INDEX(techniques[coverage],MATCH(K85,techniques[name],0))&gt;0,INDEX(techniques[coverage],MATCH(K85,techniques[name],0)),""),"")</f>
        <v/>
      </c>
      <c r="M85" s="45" t="n"/>
      <c r="N85" s="62">
        <f t="array" ref="N85">IF(M85&lt;&gt;"",IF(INDEX(techniques[coverage],MATCH(M85,techniques[name],0))&gt;0,INDEX(techniques[coverage],MATCH(M85,techniques[name],0)),""),"")</f>
        <v/>
      </c>
      <c r="O85" s="45" t="n"/>
      <c r="P85" s="62">
        <f t="array" ref="P85">IF(O85&lt;&gt;"",IF(INDEX(techniques[coverage],MATCH(O85,techniques[name],0))&gt;0,INDEX(techniques[coverage],MATCH(O85,techniques[name],0)),""),"")</f>
        <v/>
      </c>
      <c r="Q85" s="45" t="n"/>
      <c r="R85" s="62">
        <f t="array" ref="R85">IF(Q85&lt;&gt;"",IF(INDEX(techniques[coverage],MATCH(Q85,techniques[name],0))&gt;0,INDEX(techniques[coverage],MATCH(Q85,techniques[name],0)),""),"")</f>
        <v/>
      </c>
      <c r="S85" s="45" t="n"/>
      <c r="T85" s="62">
        <f t="array" ref="T85">IF(S85&lt;&gt;"",IF(INDEX(techniques[coverage],MATCH(S85,techniques[name],0))&gt;0,INDEX(techniques[coverage],MATCH(S85,techniques[name],0)),""),"")</f>
        <v/>
      </c>
      <c r="U85" s="45" t="n"/>
      <c r="V85" s="62">
        <f t="array" ref="V85">IF(U85&lt;&gt;"",IF(INDEX(techniques[coverage],MATCH(U85,techniques[name],0))&gt;0,INDEX(techniques[coverage],MATCH(U85,techniques[name],0)),""),"")</f>
        <v/>
      </c>
      <c r="W85" s="45" t="n"/>
      <c r="X85" s="62">
        <f t="array" ref="X85">IF(W85&lt;&gt;"",IF(INDEX(techniques[coverage],MATCH(W85,techniques[name],0))&gt;0,INDEX(techniques[coverage],MATCH(W85,techniques[name],0)),""),"")</f>
        <v/>
      </c>
      <c r="Y85" s="45" t="n"/>
      <c r="Z85" s="62">
        <f t="array" ref="Z85">IF(Y85&lt;&gt;"",IF(INDEX(techniques[coverage],MATCH(Y85,techniques[name],0))&gt;0,INDEX(techniques[coverage],MATCH(Y85,techniques[name],0)),""),"")</f>
        <v/>
      </c>
      <c r="AA85" s="45" t="n"/>
      <c r="AB85" s="62">
        <f t="array" ref="AB85">IF(AA85&lt;&gt;"",IF(INDEX(techniques[coverage],MATCH(AA85,techniques[name],0))&gt;0,INDEX(techniques[coverage],MATCH(AA85,techniques[name],0)),""),"")</f>
        <v/>
      </c>
      <c r="AC85" s="45" t="n"/>
      <c r="AD85" s="62">
        <f t="array" ref="AD85">IF(AC85&lt;&gt;"",IF(INDEX(techniques[coverage],MATCH(AC85,techniques[name],0))&gt;0,INDEX(techniques[coverage],MATCH(AC85,techniques[name],0)),""),"")</f>
        <v/>
      </c>
    </row>
    <row r="86">
      <c r="A86" s="45" t="n"/>
      <c r="B86" s="62">
        <f t="array" ref="B86">IF(A86&lt;&gt;"",IF(INDEX(techniques[coverage],MATCH(A86,techniques[name],0))&gt;0,INDEX(techniques[coverage],MATCH(A86,techniques[name],0)),""),"")</f>
        <v/>
      </c>
      <c r="C86" s="45" t="n"/>
      <c r="D86" s="62">
        <f t="array" ref="D86">IF(C86&lt;&gt;"",IF(INDEX(techniques[coverage],MATCH(C86,techniques[name],0))&gt;0,INDEX(techniques[coverage],MATCH(C86,techniques[name],0)),""),"")</f>
        <v/>
      </c>
      <c r="E86" s="45" t="n"/>
      <c r="F86" s="62">
        <f t="array" ref="F86">IF(E86&lt;&gt;"",IF(INDEX(techniques[coverage],MATCH(E86,techniques[name],0))&gt;0,INDEX(techniques[coverage],MATCH(E86,techniques[name],0)),""),"")</f>
        <v/>
      </c>
      <c r="G86" s="45" t="n"/>
      <c r="H86" s="62">
        <f t="array" ref="H86">IF(G86&lt;&gt;"",IF(INDEX(techniques[coverage],MATCH(G86,techniques[name],0))&gt;0,INDEX(techniques[coverage],MATCH(G86,techniques[name],0)),""),"")</f>
        <v/>
      </c>
      <c r="I86" s="45" t="n"/>
      <c r="J86" s="62">
        <f t="array" ref="J86">IF(I86&lt;&gt;"",IF(INDEX(techniques[coverage],MATCH(I86,techniques[name],0))&gt;0,INDEX(techniques[coverage],MATCH(I86,techniques[name],0)),""),"")</f>
        <v/>
      </c>
      <c r="K86" s="45" t="n"/>
      <c r="L86" s="62">
        <f t="array" ref="L86">IF(K86&lt;&gt;"",IF(INDEX(techniques[coverage],MATCH(K86,techniques[name],0))&gt;0,INDEX(techniques[coverage],MATCH(K86,techniques[name],0)),""),"")</f>
        <v/>
      </c>
      <c r="M86" s="45" t="n"/>
      <c r="N86" s="62">
        <f t="array" ref="N86">IF(M86&lt;&gt;"",IF(INDEX(techniques[coverage],MATCH(M86,techniques[name],0))&gt;0,INDEX(techniques[coverage],MATCH(M86,techniques[name],0)),""),"")</f>
        <v/>
      </c>
      <c r="O86" s="45" t="n"/>
      <c r="P86" s="62">
        <f t="array" ref="P86">IF(O86&lt;&gt;"",IF(INDEX(techniques[coverage],MATCH(O86,techniques[name],0))&gt;0,INDEX(techniques[coverage],MATCH(O86,techniques[name],0)),""),"")</f>
        <v/>
      </c>
      <c r="Q86" s="45" t="n"/>
      <c r="R86" s="62">
        <f t="array" ref="R86">IF(Q86&lt;&gt;"",IF(INDEX(techniques[coverage],MATCH(Q86,techniques[name],0))&gt;0,INDEX(techniques[coverage],MATCH(Q86,techniques[name],0)),""),"")</f>
        <v/>
      </c>
      <c r="S86" s="45" t="n"/>
      <c r="T86" s="62">
        <f t="array" ref="T86">IF(S86&lt;&gt;"",IF(INDEX(techniques[coverage],MATCH(S86,techniques[name],0))&gt;0,INDEX(techniques[coverage],MATCH(S86,techniques[name],0)),""),"")</f>
        <v/>
      </c>
      <c r="U86" s="45" t="n"/>
      <c r="V86" s="62">
        <f t="array" ref="V86">IF(U86&lt;&gt;"",IF(INDEX(techniques[coverage],MATCH(U86,techniques[name],0))&gt;0,INDEX(techniques[coverage],MATCH(U86,techniques[name],0)),""),"")</f>
        <v/>
      </c>
      <c r="W86" s="45" t="n"/>
      <c r="X86" s="62">
        <f t="array" ref="X86">IF(W86&lt;&gt;"",IF(INDEX(techniques[coverage],MATCH(W86,techniques[name],0))&gt;0,INDEX(techniques[coverage],MATCH(W86,techniques[name],0)),""),"")</f>
        <v/>
      </c>
      <c r="Y86" s="45" t="n"/>
      <c r="Z86" s="62">
        <f t="array" ref="Z86">IF(Y86&lt;&gt;"",IF(INDEX(techniques[coverage],MATCH(Y86,techniques[name],0))&gt;0,INDEX(techniques[coverage],MATCH(Y86,techniques[name],0)),""),"")</f>
        <v/>
      </c>
      <c r="AA86" s="45" t="n"/>
      <c r="AB86" s="62">
        <f t="array" ref="AB86">IF(AA86&lt;&gt;"",IF(INDEX(techniques[coverage],MATCH(AA86,techniques[name],0))&gt;0,INDEX(techniques[coverage],MATCH(AA86,techniques[name],0)),""),"")</f>
        <v/>
      </c>
      <c r="AC86" s="45" t="n"/>
      <c r="AD86" s="62">
        <f t="array" ref="AD86">IF(AC86&lt;&gt;"",IF(INDEX(techniques[coverage],MATCH(AC86,techniques[name],0))&gt;0,INDEX(techniques[coverage],MATCH(AC86,techniques[name],0)),""),"")</f>
        <v/>
      </c>
    </row>
    <row r="87">
      <c r="A87" s="45" t="n"/>
      <c r="B87" s="62">
        <f t="array" ref="B87">IF(A87&lt;&gt;"",IF(INDEX(techniques[coverage],MATCH(A87,techniques[name],0))&gt;0,INDEX(techniques[coverage],MATCH(A87,techniques[name],0)),""),"")</f>
        <v/>
      </c>
      <c r="C87" s="45" t="n"/>
      <c r="D87" s="62">
        <f t="array" ref="D87">IF(C87&lt;&gt;"",IF(INDEX(techniques[coverage],MATCH(C87,techniques[name],0))&gt;0,INDEX(techniques[coverage],MATCH(C87,techniques[name],0)),""),"")</f>
        <v/>
      </c>
      <c r="E87" s="45" t="n"/>
      <c r="F87" s="62">
        <f t="array" ref="F87">IF(E87&lt;&gt;"",IF(INDEX(techniques[coverage],MATCH(E87,techniques[name],0))&gt;0,INDEX(techniques[coverage],MATCH(E87,techniques[name],0)),""),"")</f>
        <v/>
      </c>
      <c r="G87" s="45" t="n"/>
      <c r="H87" s="62">
        <f t="array" ref="H87">IF(G87&lt;&gt;"",IF(INDEX(techniques[coverage],MATCH(G87,techniques[name],0))&gt;0,INDEX(techniques[coverage],MATCH(G87,techniques[name],0)),""),"")</f>
        <v/>
      </c>
      <c r="I87" s="45" t="n"/>
      <c r="J87" s="62">
        <f t="array" ref="J87">IF(I87&lt;&gt;"",IF(INDEX(techniques[coverage],MATCH(I87,techniques[name],0))&gt;0,INDEX(techniques[coverage],MATCH(I87,techniques[name],0)),""),"")</f>
        <v/>
      </c>
      <c r="K87" s="45" t="n"/>
      <c r="L87" s="62">
        <f t="array" ref="L87">IF(K87&lt;&gt;"",IF(INDEX(techniques[coverage],MATCH(K87,techniques[name],0))&gt;0,INDEX(techniques[coverage],MATCH(K87,techniques[name],0)),""),"")</f>
        <v/>
      </c>
      <c r="M87" s="45" t="n"/>
      <c r="N87" s="62">
        <f t="array" ref="N87">IF(M87&lt;&gt;"",IF(INDEX(techniques[coverage],MATCH(M87,techniques[name],0))&gt;0,INDEX(techniques[coverage],MATCH(M87,techniques[name],0)),""),"")</f>
        <v/>
      </c>
      <c r="O87" s="45" t="n"/>
      <c r="P87" s="62">
        <f t="array" ref="P87">IF(O87&lt;&gt;"",IF(INDEX(techniques[coverage],MATCH(O87,techniques[name],0))&gt;0,INDEX(techniques[coverage],MATCH(O87,techniques[name],0)),""),"")</f>
        <v/>
      </c>
      <c r="Q87" s="45" t="n"/>
      <c r="R87" s="62">
        <f t="array" ref="R87">IF(Q87&lt;&gt;"",IF(INDEX(techniques[coverage],MATCH(Q87,techniques[name],0))&gt;0,INDEX(techniques[coverage],MATCH(Q87,techniques[name],0)),""),"")</f>
        <v/>
      </c>
      <c r="S87" s="45" t="n"/>
      <c r="T87" s="62">
        <f t="array" ref="T87">IF(S87&lt;&gt;"",IF(INDEX(techniques[coverage],MATCH(S87,techniques[name],0))&gt;0,INDEX(techniques[coverage],MATCH(S87,techniques[name],0)),""),"")</f>
        <v/>
      </c>
      <c r="U87" s="45" t="n"/>
      <c r="V87" s="62">
        <f t="array" ref="V87">IF(U87&lt;&gt;"",IF(INDEX(techniques[coverage],MATCH(U87,techniques[name],0))&gt;0,INDEX(techniques[coverage],MATCH(U87,techniques[name],0)),""),"")</f>
        <v/>
      </c>
      <c r="W87" s="45" t="n"/>
      <c r="X87" s="62">
        <f t="array" ref="X87">IF(W87&lt;&gt;"",IF(INDEX(techniques[coverage],MATCH(W87,techniques[name],0))&gt;0,INDEX(techniques[coverage],MATCH(W87,techniques[name],0)),""),"")</f>
        <v/>
      </c>
      <c r="Y87" s="45" t="n"/>
      <c r="Z87" s="62">
        <f t="array" ref="Z87">IF(Y87&lt;&gt;"",IF(INDEX(techniques[coverage],MATCH(Y87,techniques[name],0))&gt;0,INDEX(techniques[coverage],MATCH(Y87,techniques[name],0)),""),"")</f>
        <v/>
      </c>
      <c r="AA87" s="45" t="n"/>
      <c r="AB87" s="62">
        <f t="array" ref="AB87">IF(AA87&lt;&gt;"",IF(INDEX(techniques[coverage],MATCH(AA87,techniques[name],0))&gt;0,INDEX(techniques[coverage],MATCH(AA87,techniques[name],0)),""),"")</f>
        <v/>
      </c>
      <c r="AC87" s="45" t="n"/>
      <c r="AD87" s="62">
        <f t="array" ref="AD87">IF(AC87&lt;&gt;"",IF(INDEX(techniques[coverage],MATCH(AC87,techniques[name],0))&gt;0,INDEX(techniques[coverage],MATCH(AC87,techniques[name],0)),""),"")</f>
        <v/>
      </c>
    </row>
    <row r="88">
      <c r="A88" s="45" t="n"/>
      <c r="B88" s="62">
        <f t="array" ref="B88">IF(A88&lt;&gt;"",IF(INDEX(techniques[coverage],MATCH(A88,techniques[name],0))&gt;0,INDEX(techniques[coverage],MATCH(A88,techniques[name],0)),""),"")</f>
        <v/>
      </c>
      <c r="C88" s="45" t="n"/>
      <c r="D88" s="62">
        <f t="array" ref="D88">IF(C88&lt;&gt;"",IF(INDEX(techniques[coverage],MATCH(C88,techniques[name],0))&gt;0,INDEX(techniques[coverage],MATCH(C88,techniques[name],0)),""),"")</f>
        <v/>
      </c>
      <c r="E88" s="45" t="n"/>
      <c r="F88" s="62">
        <f t="array" ref="F88">IF(E88&lt;&gt;"",IF(INDEX(techniques[coverage],MATCH(E88,techniques[name],0))&gt;0,INDEX(techniques[coverage],MATCH(E88,techniques[name],0)),""),"")</f>
        <v/>
      </c>
      <c r="G88" s="45" t="n"/>
      <c r="H88" s="62">
        <f t="array" ref="H88">IF(G88&lt;&gt;"",IF(INDEX(techniques[coverage],MATCH(G88,techniques[name],0))&gt;0,INDEX(techniques[coverage],MATCH(G88,techniques[name],0)),""),"")</f>
        <v/>
      </c>
      <c r="I88" s="45" t="n"/>
      <c r="J88" s="62">
        <f t="array" ref="J88">IF(I88&lt;&gt;"",IF(INDEX(techniques[coverage],MATCH(I88,techniques[name],0))&gt;0,INDEX(techniques[coverage],MATCH(I88,techniques[name],0)),""),"")</f>
        <v/>
      </c>
      <c r="K88" s="45" t="n"/>
      <c r="L88" s="62">
        <f t="array" ref="L88">IF(K88&lt;&gt;"",IF(INDEX(techniques[coverage],MATCH(K88,techniques[name],0))&gt;0,INDEX(techniques[coverage],MATCH(K88,techniques[name],0)),""),"")</f>
        <v/>
      </c>
      <c r="M88" s="45" t="n"/>
      <c r="N88" s="62">
        <f t="array" ref="N88">IF(M88&lt;&gt;"",IF(INDEX(techniques[coverage],MATCH(M88,techniques[name],0))&gt;0,INDEX(techniques[coverage],MATCH(M88,techniques[name],0)),""),"")</f>
        <v/>
      </c>
      <c r="O88" s="45" t="n"/>
      <c r="P88" s="62">
        <f t="array" ref="P88">IF(O88&lt;&gt;"",IF(INDEX(techniques[coverage],MATCH(O88,techniques[name],0))&gt;0,INDEX(techniques[coverage],MATCH(O88,techniques[name],0)),""),"")</f>
        <v/>
      </c>
      <c r="Q88" s="45" t="n"/>
      <c r="R88" s="62">
        <f t="array" ref="R88">IF(Q88&lt;&gt;"",IF(INDEX(techniques[coverage],MATCH(Q88,techniques[name],0))&gt;0,INDEX(techniques[coverage],MATCH(Q88,techniques[name],0)),""),"")</f>
        <v/>
      </c>
      <c r="S88" s="45" t="n"/>
      <c r="T88" s="62">
        <f t="array" ref="T88">IF(S88&lt;&gt;"",IF(INDEX(techniques[coverage],MATCH(S88,techniques[name],0))&gt;0,INDEX(techniques[coverage],MATCH(S88,techniques[name],0)),""),"")</f>
        <v/>
      </c>
      <c r="U88" s="45" t="n"/>
      <c r="V88" s="62">
        <f t="array" ref="V88">IF(U88&lt;&gt;"",IF(INDEX(techniques[coverage],MATCH(U88,techniques[name],0))&gt;0,INDEX(techniques[coverage],MATCH(U88,techniques[name],0)),""),"")</f>
        <v/>
      </c>
      <c r="W88" s="45" t="n"/>
      <c r="X88" s="62">
        <f t="array" ref="X88">IF(W88&lt;&gt;"",IF(INDEX(techniques[coverage],MATCH(W88,techniques[name],0))&gt;0,INDEX(techniques[coverage],MATCH(W88,techniques[name],0)),""),"")</f>
        <v/>
      </c>
      <c r="Y88" s="45" t="n"/>
      <c r="Z88" s="62">
        <f t="array" ref="Z88">IF(Y88&lt;&gt;"",IF(INDEX(techniques[coverage],MATCH(Y88,techniques[name],0))&gt;0,INDEX(techniques[coverage],MATCH(Y88,techniques[name],0)),""),"")</f>
        <v/>
      </c>
      <c r="AA88" s="45" t="n"/>
      <c r="AB88" s="62">
        <f t="array" ref="AB88">IF(AA88&lt;&gt;"",IF(INDEX(techniques[coverage],MATCH(AA88,techniques[name],0))&gt;0,INDEX(techniques[coverage],MATCH(AA88,techniques[name],0)),""),"")</f>
        <v/>
      </c>
      <c r="AC88" s="45" t="n"/>
      <c r="AD88" s="62">
        <f t="array" ref="AD88">IF(AC88&lt;&gt;"",IF(INDEX(techniques[coverage],MATCH(AC88,techniques[name],0))&gt;0,INDEX(techniques[coverage],MATCH(AC88,techniques[name],0)),""),"")</f>
        <v/>
      </c>
    </row>
    <row r="89">
      <c r="A89" s="45" t="n"/>
      <c r="B89" s="62">
        <f t="array" ref="B89">IF(A89&lt;&gt;"",IF(INDEX(techniques[coverage],MATCH(A89,techniques[name],0))&gt;0,INDEX(techniques[coverage],MATCH(A89,techniques[name],0)),""),"")</f>
        <v/>
      </c>
      <c r="C89" s="45" t="n"/>
      <c r="D89" s="62">
        <f t="array" ref="D89">IF(C89&lt;&gt;"",IF(INDEX(techniques[coverage],MATCH(C89,techniques[name],0))&gt;0,INDEX(techniques[coverage],MATCH(C89,techniques[name],0)),""),"")</f>
        <v/>
      </c>
      <c r="E89" s="45" t="n"/>
      <c r="F89" s="62">
        <f t="array" ref="F89">IF(E89&lt;&gt;"",IF(INDEX(techniques[coverage],MATCH(E89,techniques[name],0))&gt;0,INDEX(techniques[coverage],MATCH(E89,techniques[name],0)),""),"")</f>
        <v/>
      </c>
      <c r="G89" s="45" t="n"/>
      <c r="H89" s="62">
        <f t="array" ref="H89">IF(G89&lt;&gt;"",IF(INDEX(techniques[coverage],MATCH(G89,techniques[name],0))&gt;0,INDEX(techniques[coverage],MATCH(G89,techniques[name],0)),""),"")</f>
        <v/>
      </c>
      <c r="I89" s="45" t="n"/>
      <c r="J89" s="62">
        <f t="array" ref="J89">IF(I89&lt;&gt;"",IF(INDEX(techniques[coverage],MATCH(I89,techniques[name],0))&gt;0,INDEX(techniques[coverage],MATCH(I89,techniques[name],0)),""),"")</f>
        <v/>
      </c>
      <c r="K89" s="45" t="n"/>
      <c r="L89" s="62">
        <f t="array" ref="L89">IF(K89&lt;&gt;"",IF(INDEX(techniques[coverage],MATCH(K89,techniques[name],0))&gt;0,INDEX(techniques[coverage],MATCH(K89,techniques[name],0)),""),"")</f>
        <v/>
      </c>
      <c r="M89" s="45" t="n"/>
      <c r="N89" s="62">
        <f t="array" ref="N89">IF(M89&lt;&gt;"",IF(INDEX(techniques[coverage],MATCH(M89,techniques[name],0))&gt;0,INDEX(techniques[coverage],MATCH(M89,techniques[name],0)),""),"")</f>
        <v/>
      </c>
      <c r="O89" s="45" t="n"/>
      <c r="P89" s="62">
        <f t="array" ref="P89">IF(O89&lt;&gt;"",IF(INDEX(techniques[coverage],MATCH(O89,techniques[name],0))&gt;0,INDEX(techniques[coverage],MATCH(O89,techniques[name],0)),""),"")</f>
        <v/>
      </c>
      <c r="Q89" s="45" t="n"/>
      <c r="R89" s="62">
        <f t="array" ref="R89">IF(Q89&lt;&gt;"",IF(INDEX(techniques[coverage],MATCH(Q89,techniques[name],0))&gt;0,INDEX(techniques[coverage],MATCH(Q89,techniques[name],0)),""),"")</f>
        <v/>
      </c>
      <c r="S89" s="45" t="n"/>
      <c r="T89" s="62">
        <f t="array" ref="T89">IF(S89&lt;&gt;"",IF(INDEX(techniques[coverage],MATCH(S89,techniques[name],0))&gt;0,INDEX(techniques[coverage],MATCH(S89,techniques[name],0)),""),"")</f>
        <v/>
      </c>
      <c r="U89" s="45" t="n"/>
      <c r="V89" s="62">
        <f t="array" ref="V89">IF(U89&lt;&gt;"",IF(INDEX(techniques[coverage],MATCH(U89,techniques[name],0))&gt;0,INDEX(techniques[coverage],MATCH(U89,techniques[name],0)),""),"")</f>
        <v/>
      </c>
      <c r="W89" s="45" t="n"/>
      <c r="X89" s="62">
        <f t="array" ref="X89">IF(W89&lt;&gt;"",IF(INDEX(techniques[coverage],MATCH(W89,techniques[name],0))&gt;0,INDEX(techniques[coverage],MATCH(W89,techniques[name],0)),""),"")</f>
        <v/>
      </c>
      <c r="Y89" s="45" t="n"/>
      <c r="Z89" s="62">
        <f t="array" ref="Z89">IF(Y89&lt;&gt;"",IF(INDEX(techniques[coverage],MATCH(Y89,techniques[name],0))&gt;0,INDEX(techniques[coverage],MATCH(Y89,techniques[name],0)),""),"")</f>
        <v/>
      </c>
      <c r="AA89" s="45" t="n"/>
      <c r="AB89" s="62">
        <f t="array" ref="AB89">IF(AA89&lt;&gt;"",IF(INDEX(techniques[coverage],MATCH(AA89,techniques[name],0))&gt;0,INDEX(techniques[coverage],MATCH(AA89,techniques[name],0)),""),"")</f>
        <v/>
      </c>
      <c r="AC89" s="45" t="n"/>
      <c r="AD89" s="62">
        <f t="array" ref="AD89">IF(AC89&lt;&gt;"",IF(INDEX(techniques[coverage],MATCH(AC89,techniques[name],0))&gt;0,INDEX(techniques[coverage],MATCH(AC89,techniques[name],0)),""),"")</f>
        <v/>
      </c>
    </row>
    <row r="90">
      <c r="A90" s="45" t="n"/>
      <c r="B90" s="62">
        <f t="array" ref="B90">IF(A90&lt;&gt;"",IF(INDEX(techniques[coverage],MATCH(A90,techniques[name],0))&gt;0,INDEX(techniques[coverage],MATCH(A90,techniques[name],0)),""),"")</f>
        <v/>
      </c>
      <c r="C90" s="45" t="n"/>
      <c r="D90" s="62">
        <f t="array" ref="D90">IF(C90&lt;&gt;"",IF(INDEX(techniques[coverage],MATCH(C90,techniques[name],0))&gt;0,INDEX(techniques[coverage],MATCH(C90,techniques[name],0)),""),"")</f>
        <v/>
      </c>
      <c r="E90" s="45" t="n"/>
      <c r="F90" s="62">
        <f t="array" ref="F90">IF(E90&lt;&gt;"",IF(INDEX(techniques[coverage],MATCH(E90,techniques[name],0))&gt;0,INDEX(techniques[coverage],MATCH(E90,techniques[name],0)),""),"")</f>
        <v/>
      </c>
      <c r="G90" s="45" t="n"/>
      <c r="H90" s="62">
        <f t="array" ref="H90">IF(G90&lt;&gt;"",IF(INDEX(techniques[coverage],MATCH(G90,techniques[name],0))&gt;0,INDEX(techniques[coverage],MATCH(G90,techniques[name],0)),""),"")</f>
        <v/>
      </c>
      <c r="I90" s="45" t="n"/>
      <c r="J90" s="62">
        <f t="array" ref="J90">IF(I90&lt;&gt;"",IF(INDEX(techniques[coverage],MATCH(I90,techniques[name],0))&gt;0,INDEX(techniques[coverage],MATCH(I90,techniques[name],0)),""),"")</f>
        <v/>
      </c>
      <c r="K90" s="45" t="n"/>
      <c r="L90" s="62">
        <f t="array" ref="L90">IF(K90&lt;&gt;"",IF(INDEX(techniques[coverage],MATCH(K90,techniques[name],0))&gt;0,INDEX(techniques[coverage],MATCH(K90,techniques[name],0)),""),"")</f>
        <v/>
      </c>
      <c r="M90" s="45" t="n"/>
      <c r="N90" s="62">
        <f t="array" ref="N90">IF(M90&lt;&gt;"",IF(INDEX(techniques[coverage],MATCH(M90,techniques[name],0))&gt;0,INDEX(techniques[coverage],MATCH(M90,techniques[name],0)),""),"")</f>
        <v/>
      </c>
      <c r="O90" s="45" t="n"/>
      <c r="P90" s="62">
        <f t="array" ref="P90">IF(O90&lt;&gt;"",IF(INDEX(techniques[coverage],MATCH(O90,techniques[name],0))&gt;0,INDEX(techniques[coverage],MATCH(O90,techniques[name],0)),""),"")</f>
        <v/>
      </c>
      <c r="Q90" s="45" t="n"/>
      <c r="R90" s="62">
        <f t="array" ref="R90">IF(Q90&lt;&gt;"",IF(INDEX(techniques[coverage],MATCH(Q90,techniques[name],0))&gt;0,INDEX(techniques[coverage],MATCH(Q90,techniques[name],0)),""),"")</f>
        <v/>
      </c>
      <c r="S90" s="45" t="n"/>
      <c r="T90" s="62">
        <f t="array" ref="T90">IF(S90&lt;&gt;"",IF(INDEX(techniques[coverage],MATCH(S90,techniques[name],0))&gt;0,INDEX(techniques[coverage],MATCH(S90,techniques[name],0)),""),"")</f>
        <v/>
      </c>
      <c r="U90" s="45" t="n"/>
      <c r="V90" s="62">
        <f t="array" ref="V90">IF(U90&lt;&gt;"",IF(INDEX(techniques[coverage],MATCH(U90,techniques[name],0))&gt;0,INDEX(techniques[coverage],MATCH(U90,techniques[name],0)),""),"")</f>
        <v/>
      </c>
      <c r="W90" s="45" t="n"/>
      <c r="X90" s="62">
        <f t="array" ref="X90">IF(W90&lt;&gt;"",IF(INDEX(techniques[coverage],MATCH(W90,techniques[name],0))&gt;0,INDEX(techniques[coverage],MATCH(W90,techniques[name],0)),""),"")</f>
        <v/>
      </c>
      <c r="Y90" s="45" t="n"/>
      <c r="Z90" s="62">
        <f t="array" ref="Z90">IF(Y90&lt;&gt;"",IF(INDEX(techniques[coverage],MATCH(Y90,techniques[name],0))&gt;0,INDEX(techniques[coverage],MATCH(Y90,techniques[name],0)),""),"")</f>
        <v/>
      </c>
      <c r="AA90" s="45" t="n"/>
      <c r="AB90" s="62">
        <f t="array" ref="AB90">IF(AA90&lt;&gt;"",IF(INDEX(techniques[coverage],MATCH(AA90,techniques[name],0))&gt;0,INDEX(techniques[coverage],MATCH(AA90,techniques[name],0)),""),"")</f>
        <v/>
      </c>
      <c r="AC90" s="45" t="n"/>
      <c r="AD90" s="62">
        <f t="array" ref="AD90">IF(AC90&lt;&gt;"",IF(INDEX(techniques[coverage],MATCH(AC90,techniques[name],0))&gt;0,INDEX(techniques[coverage],MATCH(AC90,techniques[name],0)),""),"")</f>
        <v/>
      </c>
    </row>
    <row r="91">
      <c r="A91" s="45" t="n"/>
      <c r="B91" s="62">
        <f t="array" ref="B91">IF(A91&lt;&gt;"",IF(INDEX(techniques[coverage],MATCH(A91,techniques[name],0))&gt;0,INDEX(techniques[coverage],MATCH(A91,techniques[name],0)),""),"")</f>
        <v/>
      </c>
      <c r="C91" s="45" t="n"/>
      <c r="D91" s="62">
        <f t="array" ref="D91">IF(C91&lt;&gt;"",IF(INDEX(techniques[coverage],MATCH(C91,techniques[name],0))&gt;0,INDEX(techniques[coverage],MATCH(C91,techniques[name],0)),""),"")</f>
        <v/>
      </c>
      <c r="E91" s="45" t="n"/>
      <c r="F91" s="62">
        <f t="array" ref="F91">IF(E91&lt;&gt;"",IF(INDEX(techniques[coverage],MATCH(E91,techniques[name],0))&gt;0,INDEX(techniques[coverage],MATCH(E91,techniques[name],0)),""),"")</f>
        <v/>
      </c>
      <c r="G91" s="45" t="n"/>
      <c r="H91" s="62">
        <f t="array" ref="H91">IF(G91&lt;&gt;"",IF(INDEX(techniques[coverage],MATCH(G91,techniques[name],0))&gt;0,INDEX(techniques[coverage],MATCH(G91,techniques[name],0)),""),"")</f>
        <v/>
      </c>
      <c r="I91" s="45" t="n"/>
      <c r="J91" s="62">
        <f t="array" ref="J91">IF(I91&lt;&gt;"",IF(INDEX(techniques[coverage],MATCH(I91,techniques[name],0))&gt;0,INDEX(techniques[coverage],MATCH(I91,techniques[name],0)),""),"")</f>
        <v/>
      </c>
      <c r="K91" s="45" t="n"/>
      <c r="L91" s="62">
        <f t="array" ref="L91">IF(K91&lt;&gt;"",IF(INDEX(techniques[coverage],MATCH(K91,techniques[name],0))&gt;0,INDEX(techniques[coverage],MATCH(K91,techniques[name],0)),""),"")</f>
        <v/>
      </c>
      <c r="M91" s="45" t="n"/>
      <c r="N91" s="62">
        <f t="array" ref="N91">IF(M91&lt;&gt;"",IF(INDEX(techniques[coverage],MATCH(M91,techniques[name],0))&gt;0,INDEX(techniques[coverage],MATCH(M91,techniques[name],0)),""),"")</f>
        <v/>
      </c>
      <c r="O91" s="45" t="n"/>
      <c r="P91" s="62">
        <f t="array" ref="P91">IF(O91&lt;&gt;"",IF(INDEX(techniques[coverage],MATCH(O91,techniques[name],0))&gt;0,INDEX(techniques[coverage],MATCH(O91,techniques[name],0)),""),"")</f>
        <v/>
      </c>
      <c r="Q91" s="45" t="n"/>
      <c r="R91" s="62">
        <f t="array" ref="R91">IF(Q91&lt;&gt;"",IF(INDEX(techniques[coverage],MATCH(Q91,techniques[name],0))&gt;0,INDEX(techniques[coverage],MATCH(Q91,techniques[name],0)),""),"")</f>
        <v/>
      </c>
      <c r="S91" s="45" t="n"/>
      <c r="T91" s="62">
        <f t="array" ref="T91">IF(S91&lt;&gt;"",IF(INDEX(techniques[coverage],MATCH(S91,techniques[name],0))&gt;0,INDEX(techniques[coverage],MATCH(S91,techniques[name],0)),""),"")</f>
        <v/>
      </c>
      <c r="U91" s="45" t="n"/>
      <c r="V91" s="62">
        <f t="array" ref="V91">IF(U91&lt;&gt;"",IF(INDEX(techniques[coverage],MATCH(U91,techniques[name],0))&gt;0,INDEX(techniques[coverage],MATCH(U91,techniques[name],0)),""),"")</f>
        <v/>
      </c>
      <c r="W91" s="45" t="n"/>
      <c r="X91" s="62">
        <f t="array" ref="X91">IF(W91&lt;&gt;"",IF(INDEX(techniques[coverage],MATCH(W91,techniques[name],0))&gt;0,INDEX(techniques[coverage],MATCH(W91,techniques[name],0)),""),"")</f>
        <v/>
      </c>
      <c r="Y91" s="45" t="n"/>
      <c r="Z91" s="62">
        <f t="array" ref="Z91">IF(Y91&lt;&gt;"",IF(INDEX(techniques[coverage],MATCH(Y91,techniques[name],0))&gt;0,INDEX(techniques[coverage],MATCH(Y91,techniques[name],0)),""),"")</f>
        <v/>
      </c>
      <c r="AA91" s="45" t="n"/>
      <c r="AB91" s="62">
        <f t="array" ref="AB91">IF(AA91&lt;&gt;"",IF(INDEX(techniques[coverage],MATCH(AA91,techniques[name],0))&gt;0,INDEX(techniques[coverage],MATCH(AA91,techniques[name],0)),""),"")</f>
        <v/>
      </c>
      <c r="AC91" s="45" t="n"/>
      <c r="AD91" s="62">
        <f t="array" ref="AD91">IF(AC91&lt;&gt;"",IF(INDEX(techniques[coverage],MATCH(AC91,techniques[name],0))&gt;0,INDEX(techniques[coverage],MATCH(AC91,techniques[name],0)),""),"")</f>
        <v/>
      </c>
    </row>
    <row r="92">
      <c r="A92" s="45" t="n"/>
      <c r="B92" s="62">
        <f t="array" ref="B92">IF(A92&lt;&gt;"",IF(INDEX(techniques[coverage],MATCH(A92,techniques[name],0))&gt;0,INDEX(techniques[coverage],MATCH(A92,techniques[name],0)),""),"")</f>
        <v/>
      </c>
      <c r="C92" s="45" t="n"/>
      <c r="D92" s="62">
        <f t="array" ref="D92">IF(C92&lt;&gt;"",IF(INDEX(techniques[coverage],MATCH(C92,techniques[name],0))&gt;0,INDEX(techniques[coverage],MATCH(C92,techniques[name],0)),""),"")</f>
        <v/>
      </c>
      <c r="E92" s="45" t="n"/>
      <c r="F92" s="62">
        <f t="array" ref="F92">IF(E92&lt;&gt;"",IF(INDEX(techniques[coverage],MATCH(E92,techniques[name],0))&gt;0,INDEX(techniques[coverage],MATCH(E92,techniques[name],0)),""),"")</f>
        <v/>
      </c>
      <c r="G92" s="45" t="n"/>
      <c r="H92" s="62">
        <f t="array" ref="H92">IF(G92&lt;&gt;"",IF(INDEX(techniques[coverage],MATCH(G92,techniques[name],0))&gt;0,INDEX(techniques[coverage],MATCH(G92,techniques[name],0)),""),"")</f>
        <v/>
      </c>
      <c r="I92" s="45" t="n"/>
      <c r="J92" s="62">
        <f t="array" ref="J92">IF(I92&lt;&gt;"",IF(INDEX(techniques[coverage],MATCH(I92,techniques[name],0))&gt;0,INDEX(techniques[coverage],MATCH(I92,techniques[name],0)),""),"")</f>
        <v/>
      </c>
      <c r="K92" s="45" t="n"/>
      <c r="L92" s="62">
        <f t="array" ref="L92">IF(K92&lt;&gt;"",IF(INDEX(techniques[coverage],MATCH(K92,techniques[name],0))&gt;0,INDEX(techniques[coverage],MATCH(K92,techniques[name],0)),""),"")</f>
        <v/>
      </c>
      <c r="M92" s="45" t="n"/>
      <c r="N92" s="62">
        <f t="array" ref="N92">IF(M92&lt;&gt;"",IF(INDEX(techniques[coverage],MATCH(M92,techniques[name],0))&gt;0,INDEX(techniques[coverage],MATCH(M92,techniques[name],0)),""),"")</f>
        <v/>
      </c>
      <c r="O92" s="45" t="n"/>
      <c r="P92" s="62">
        <f t="array" ref="P92">IF(O92&lt;&gt;"",IF(INDEX(techniques[coverage],MATCH(O92,techniques[name],0))&gt;0,INDEX(techniques[coverage],MATCH(O92,techniques[name],0)),""),"")</f>
        <v/>
      </c>
      <c r="Q92" s="45" t="n"/>
      <c r="R92" s="62">
        <f t="array" ref="R92">IF(Q92&lt;&gt;"",IF(INDEX(techniques[coverage],MATCH(Q92,techniques[name],0))&gt;0,INDEX(techniques[coverage],MATCH(Q92,techniques[name],0)),""),"")</f>
        <v/>
      </c>
      <c r="S92" s="45" t="n"/>
      <c r="T92" s="62">
        <f t="array" ref="T92">IF(S92&lt;&gt;"",IF(INDEX(techniques[coverage],MATCH(S92,techniques[name],0))&gt;0,INDEX(techniques[coverage],MATCH(S92,techniques[name],0)),""),"")</f>
        <v/>
      </c>
      <c r="U92" s="45" t="n"/>
      <c r="V92" s="62">
        <f t="array" ref="V92">IF(U92&lt;&gt;"",IF(INDEX(techniques[coverage],MATCH(U92,techniques[name],0))&gt;0,INDEX(techniques[coverage],MATCH(U92,techniques[name],0)),""),"")</f>
        <v/>
      </c>
      <c r="W92" s="45" t="n"/>
      <c r="X92" s="62">
        <f t="array" ref="X92">IF(W92&lt;&gt;"",IF(INDEX(techniques[coverage],MATCH(W92,techniques[name],0))&gt;0,INDEX(techniques[coverage],MATCH(W92,techniques[name],0)),""),"")</f>
        <v/>
      </c>
      <c r="Y92" s="45" t="n"/>
      <c r="Z92" s="62">
        <f t="array" ref="Z92">IF(Y92&lt;&gt;"",IF(INDEX(techniques[coverage],MATCH(Y92,techniques[name],0))&gt;0,INDEX(techniques[coverage],MATCH(Y92,techniques[name],0)),""),"")</f>
        <v/>
      </c>
      <c r="AA92" s="45" t="n"/>
      <c r="AB92" s="62">
        <f t="array" ref="AB92">IF(AA92&lt;&gt;"",IF(INDEX(techniques[coverage],MATCH(AA92,techniques[name],0))&gt;0,INDEX(techniques[coverage],MATCH(AA92,techniques[name],0)),""),"")</f>
        <v/>
      </c>
      <c r="AC92" s="45" t="n"/>
      <c r="AD92" s="62">
        <f t="array" ref="AD92">IF(AC92&lt;&gt;"",IF(INDEX(techniques[coverage],MATCH(AC92,techniques[name],0))&gt;0,INDEX(techniques[coverage],MATCH(AC92,techniques[name],0)),""),"")</f>
        <v/>
      </c>
    </row>
    <row r="93">
      <c r="A93" s="45" t="n"/>
      <c r="B93" s="62">
        <f t="array" ref="B93">IF(A93&lt;&gt;"",IF(INDEX(techniques[coverage],MATCH(A93,techniques[name],0))&gt;0,INDEX(techniques[coverage],MATCH(A93,techniques[name],0)),""),"")</f>
        <v/>
      </c>
      <c r="C93" s="45" t="n"/>
      <c r="D93" s="62">
        <f t="array" ref="D93">IF(C93&lt;&gt;"",IF(INDEX(techniques[coverage],MATCH(C93,techniques[name],0))&gt;0,INDEX(techniques[coverage],MATCH(C93,techniques[name],0)),""),"")</f>
        <v/>
      </c>
      <c r="E93" s="45" t="n"/>
      <c r="F93" s="62">
        <f t="array" ref="F93">IF(E93&lt;&gt;"",IF(INDEX(techniques[coverage],MATCH(E93,techniques[name],0))&gt;0,INDEX(techniques[coverage],MATCH(E93,techniques[name],0)),""),"")</f>
        <v/>
      </c>
      <c r="G93" s="45" t="n"/>
      <c r="H93" s="62">
        <f t="array" ref="H93">IF(G93&lt;&gt;"",IF(INDEX(techniques[coverage],MATCH(G93,techniques[name],0))&gt;0,INDEX(techniques[coverage],MATCH(G93,techniques[name],0)),""),"")</f>
        <v/>
      </c>
      <c r="I93" s="45" t="n"/>
      <c r="J93" s="62">
        <f t="array" ref="J93">IF(I93&lt;&gt;"",IF(INDEX(techniques[coverage],MATCH(I93,techniques[name],0))&gt;0,INDEX(techniques[coverage],MATCH(I93,techniques[name],0)),""),"")</f>
        <v/>
      </c>
      <c r="K93" s="45" t="n"/>
      <c r="L93" s="62">
        <f t="array" ref="L93">IF(K93&lt;&gt;"",IF(INDEX(techniques[coverage],MATCH(K93,techniques[name],0))&gt;0,INDEX(techniques[coverage],MATCH(K93,techniques[name],0)),""),"")</f>
        <v/>
      </c>
      <c r="M93" s="45" t="n"/>
      <c r="N93" s="62">
        <f t="array" ref="N93">IF(M93&lt;&gt;"",IF(INDEX(techniques[coverage],MATCH(M93,techniques[name],0))&gt;0,INDEX(techniques[coverage],MATCH(M93,techniques[name],0)),""),"")</f>
        <v/>
      </c>
      <c r="O93" s="45" t="n"/>
      <c r="P93" s="62">
        <f t="array" ref="P93">IF(O93&lt;&gt;"",IF(INDEX(techniques[coverage],MATCH(O93,techniques[name],0))&gt;0,INDEX(techniques[coverage],MATCH(O93,techniques[name],0)),""),"")</f>
        <v/>
      </c>
      <c r="Q93" s="45" t="n"/>
      <c r="R93" s="62">
        <f t="array" ref="R93">IF(Q93&lt;&gt;"",IF(INDEX(techniques[coverage],MATCH(Q93,techniques[name],0))&gt;0,INDEX(techniques[coverage],MATCH(Q93,techniques[name],0)),""),"")</f>
        <v/>
      </c>
      <c r="S93" s="45" t="n"/>
      <c r="T93" s="62">
        <f t="array" ref="T93">IF(S93&lt;&gt;"",IF(INDEX(techniques[coverage],MATCH(S93,techniques[name],0))&gt;0,INDEX(techniques[coverage],MATCH(S93,techniques[name],0)),""),"")</f>
        <v/>
      </c>
      <c r="U93" s="45" t="n"/>
      <c r="V93" s="62">
        <f t="array" ref="V93">IF(U93&lt;&gt;"",IF(INDEX(techniques[coverage],MATCH(U93,techniques[name],0))&gt;0,INDEX(techniques[coverage],MATCH(U93,techniques[name],0)),""),"")</f>
        <v/>
      </c>
      <c r="W93" s="45" t="n"/>
      <c r="X93" s="62">
        <f t="array" ref="X93">IF(W93&lt;&gt;"",IF(INDEX(techniques[coverage],MATCH(W93,techniques[name],0))&gt;0,INDEX(techniques[coverage],MATCH(W93,techniques[name],0)),""),"")</f>
        <v/>
      </c>
      <c r="Y93" s="45" t="n"/>
      <c r="Z93" s="62">
        <f t="array" ref="Z93">IF(Y93&lt;&gt;"",IF(INDEX(techniques[coverage],MATCH(Y93,techniques[name],0))&gt;0,INDEX(techniques[coverage],MATCH(Y93,techniques[name],0)),""),"")</f>
        <v/>
      </c>
      <c r="AA93" s="45" t="n"/>
      <c r="AB93" s="62">
        <f t="array" ref="AB93">IF(AA93&lt;&gt;"",IF(INDEX(techniques[coverage],MATCH(AA93,techniques[name],0))&gt;0,INDEX(techniques[coverage],MATCH(AA93,techniques[name],0)),""),"")</f>
        <v/>
      </c>
      <c r="AC93" s="45" t="n"/>
      <c r="AD93" s="62">
        <f t="array" ref="AD93">IF(AC93&lt;&gt;"",IF(INDEX(techniques[coverage],MATCH(AC93,techniques[name],0))&gt;0,INDEX(techniques[coverage],MATCH(AC93,techniques[name],0)),""),"")</f>
        <v/>
      </c>
    </row>
    <row r="94">
      <c r="A94" s="45" t="n"/>
      <c r="B94" s="62">
        <f t="array" ref="B94">IF(A94&lt;&gt;"",IF(INDEX(techniques[coverage],MATCH(A94,techniques[name],0))&gt;0,INDEX(techniques[coverage],MATCH(A94,techniques[name],0)),""),"")</f>
        <v/>
      </c>
      <c r="C94" s="45" t="n"/>
      <c r="D94" s="62">
        <f t="array" ref="D94">IF(C94&lt;&gt;"",IF(INDEX(techniques[coverage],MATCH(C94,techniques[name],0))&gt;0,INDEX(techniques[coverage],MATCH(C94,techniques[name],0)),""),"")</f>
        <v/>
      </c>
      <c r="E94" s="45" t="n"/>
      <c r="F94" s="62">
        <f t="array" ref="F94">IF(E94&lt;&gt;"",IF(INDEX(techniques[coverage],MATCH(E94,techniques[name],0))&gt;0,INDEX(techniques[coverage],MATCH(E94,techniques[name],0)),""),"")</f>
        <v/>
      </c>
      <c r="G94" s="45" t="n"/>
      <c r="H94" s="62">
        <f t="array" ref="H94">IF(G94&lt;&gt;"",IF(INDEX(techniques[coverage],MATCH(G94,techniques[name],0))&gt;0,INDEX(techniques[coverage],MATCH(G94,techniques[name],0)),""),"")</f>
        <v/>
      </c>
      <c r="I94" s="45" t="n"/>
      <c r="J94" s="62">
        <f t="array" ref="J94">IF(I94&lt;&gt;"",IF(INDEX(techniques[coverage],MATCH(I94,techniques[name],0))&gt;0,INDEX(techniques[coverage],MATCH(I94,techniques[name],0)),""),"")</f>
        <v/>
      </c>
      <c r="K94" s="45" t="n"/>
      <c r="L94" s="62">
        <f t="array" ref="L94">IF(K94&lt;&gt;"",IF(INDEX(techniques[coverage],MATCH(K94,techniques[name],0))&gt;0,INDEX(techniques[coverage],MATCH(K94,techniques[name],0)),""),"")</f>
        <v/>
      </c>
      <c r="M94" s="45" t="n"/>
      <c r="N94" s="62">
        <f t="array" ref="N94">IF(M94&lt;&gt;"",IF(INDEX(techniques[coverage],MATCH(M94,techniques[name],0))&gt;0,INDEX(techniques[coverage],MATCH(M94,techniques[name],0)),""),"")</f>
        <v/>
      </c>
      <c r="O94" s="45" t="n"/>
      <c r="P94" s="62">
        <f t="array" ref="P94">IF(O94&lt;&gt;"",IF(INDEX(techniques[coverage],MATCH(O94,techniques[name],0))&gt;0,INDEX(techniques[coverage],MATCH(O94,techniques[name],0)),""),"")</f>
        <v/>
      </c>
      <c r="Q94" s="45" t="n"/>
      <c r="R94" s="62">
        <f t="array" ref="R94">IF(Q94&lt;&gt;"",IF(INDEX(techniques[coverage],MATCH(Q94,techniques[name],0))&gt;0,INDEX(techniques[coverage],MATCH(Q94,techniques[name],0)),""),"")</f>
        <v/>
      </c>
      <c r="S94" s="45" t="n"/>
      <c r="T94" s="62">
        <f t="array" ref="T94">IF(S94&lt;&gt;"",IF(INDEX(techniques[coverage],MATCH(S94,techniques[name],0))&gt;0,INDEX(techniques[coverage],MATCH(S94,techniques[name],0)),""),"")</f>
        <v/>
      </c>
      <c r="U94" s="45" t="n"/>
      <c r="V94" s="62">
        <f t="array" ref="V94">IF(U94&lt;&gt;"",IF(INDEX(techniques[coverage],MATCH(U94,techniques[name],0))&gt;0,INDEX(techniques[coverage],MATCH(U94,techniques[name],0)),""),"")</f>
        <v/>
      </c>
      <c r="W94" s="45" t="n"/>
      <c r="X94" s="62">
        <f t="array" ref="X94">IF(W94&lt;&gt;"",IF(INDEX(techniques[coverage],MATCH(W94,techniques[name],0))&gt;0,INDEX(techniques[coverage],MATCH(W94,techniques[name],0)),""),"")</f>
        <v/>
      </c>
      <c r="Y94" s="45" t="n"/>
      <c r="Z94" s="62">
        <f t="array" ref="Z94">IF(Y94&lt;&gt;"",IF(INDEX(techniques[coverage],MATCH(Y94,techniques[name],0))&gt;0,INDEX(techniques[coverage],MATCH(Y94,techniques[name],0)),""),"")</f>
        <v/>
      </c>
      <c r="AA94" s="45" t="n"/>
      <c r="AB94" s="62">
        <f t="array" ref="AB94">IF(AA94&lt;&gt;"",IF(INDEX(techniques[coverage],MATCH(AA94,techniques[name],0))&gt;0,INDEX(techniques[coverage],MATCH(AA94,techniques[name],0)),""),"")</f>
        <v/>
      </c>
      <c r="AC94" s="45" t="n"/>
      <c r="AD94" s="62">
        <f t="array" ref="AD94">IF(AC94&lt;&gt;"",IF(INDEX(techniques[coverage],MATCH(AC94,techniques[name],0))&gt;0,INDEX(techniques[coverage],MATCH(AC94,techniques[name],0)),""),"")</f>
        <v/>
      </c>
    </row>
    <row r="95">
      <c r="A95" s="45" t="n"/>
      <c r="B95" s="62">
        <f t="array" ref="B95">IF(A95&lt;&gt;"",IF(INDEX(techniques[coverage],MATCH(A95,techniques[name],0))&gt;0,INDEX(techniques[coverage],MATCH(A95,techniques[name],0)),""),"")</f>
        <v/>
      </c>
      <c r="C95" s="45" t="n"/>
      <c r="D95" s="62">
        <f t="array" ref="D95">IF(C95&lt;&gt;"",IF(INDEX(techniques[coverage],MATCH(C95,techniques[name],0))&gt;0,INDEX(techniques[coverage],MATCH(C95,techniques[name],0)),""),"")</f>
        <v/>
      </c>
      <c r="E95" s="45" t="n"/>
      <c r="F95" s="62">
        <f t="array" ref="F95">IF(E95&lt;&gt;"",IF(INDEX(techniques[coverage],MATCH(E95,techniques[name],0))&gt;0,INDEX(techniques[coverage],MATCH(E95,techniques[name],0)),""),"")</f>
        <v/>
      </c>
      <c r="G95" s="45" t="n"/>
      <c r="H95" s="62">
        <f t="array" ref="H95">IF(G95&lt;&gt;"",IF(INDEX(techniques[coverage],MATCH(G95,techniques[name],0))&gt;0,INDEX(techniques[coverage],MATCH(G95,techniques[name],0)),""),"")</f>
        <v/>
      </c>
      <c r="I95" s="45" t="n"/>
      <c r="J95" s="62">
        <f t="array" ref="J95">IF(I95&lt;&gt;"",IF(INDEX(techniques[coverage],MATCH(I95,techniques[name],0))&gt;0,INDEX(techniques[coverage],MATCH(I95,techniques[name],0)),""),"")</f>
        <v/>
      </c>
      <c r="K95" s="45" t="n"/>
      <c r="L95" s="62">
        <f t="array" ref="L95">IF(K95&lt;&gt;"",IF(INDEX(techniques[coverage],MATCH(K95,techniques[name],0))&gt;0,INDEX(techniques[coverage],MATCH(K95,techniques[name],0)),""),"")</f>
        <v/>
      </c>
      <c r="M95" s="45" t="n"/>
      <c r="N95" s="62">
        <f t="array" ref="N95">IF(M95&lt;&gt;"",IF(INDEX(techniques[coverage],MATCH(M95,techniques[name],0))&gt;0,INDEX(techniques[coverage],MATCH(M95,techniques[name],0)),""),"")</f>
        <v/>
      </c>
      <c r="O95" s="45" t="n"/>
      <c r="P95" s="62">
        <f t="array" ref="P95">IF(O95&lt;&gt;"",IF(INDEX(techniques[coverage],MATCH(O95,techniques[name],0))&gt;0,INDEX(techniques[coverage],MATCH(O95,techniques[name],0)),""),"")</f>
        <v/>
      </c>
      <c r="Q95" s="45" t="n"/>
      <c r="R95" s="62">
        <f t="array" ref="R95">IF(Q95&lt;&gt;"",IF(INDEX(techniques[coverage],MATCH(Q95,techniques[name],0))&gt;0,INDEX(techniques[coverage],MATCH(Q95,techniques[name],0)),""),"")</f>
        <v/>
      </c>
      <c r="S95" s="45" t="n"/>
      <c r="T95" s="62">
        <f t="array" ref="T95">IF(S95&lt;&gt;"",IF(INDEX(techniques[coverage],MATCH(S95,techniques[name],0))&gt;0,INDEX(techniques[coverage],MATCH(S95,techniques[name],0)),""),"")</f>
        <v/>
      </c>
      <c r="U95" s="45" t="n"/>
      <c r="V95" s="62">
        <f t="array" ref="V95">IF(U95&lt;&gt;"",IF(INDEX(techniques[coverage],MATCH(U95,techniques[name],0))&gt;0,INDEX(techniques[coverage],MATCH(U95,techniques[name],0)),""),"")</f>
        <v/>
      </c>
      <c r="W95" s="45" t="n"/>
      <c r="X95" s="62">
        <f t="array" ref="X95">IF(W95&lt;&gt;"",IF(INDEX(techniques[coverage],MATCH(W95,techniques[name],0))&gt;0,INDEX(techniques[coverage],MATCH(W95,techniques[name],0)),""),"")</f>
        <v/>
      </c>
      <c r="Y95" s="45" t="n"/>
      <c r="Z95" s="62">
        <f t="array" ref="Z95">IF(Y95&lt;&gt;"",IF(INDEX(techniques[coverage],MATCH(Y95,techniques[name],0))&gt;0,INDEX(techniques[coverage],MATCH(Y95,techniques[name],0)),""),"")</f>
        <v/>
      </c>
      <c r="AA95" s="45" t="n"/>
      <c r="AB95" s="62">
        <f t="array" ref="AB95">IF(AA95&lt;&gt;"",IF(INDEX(techniques[coverage],MATCH(AA95,techniques[name],0))&gt;0,INDEX(techniques[coverage],MATCH(AA95,techniques[name],0)),""),"")</f>
        <v/>
      </c>
      <c r="AC95" s="45" t="n"/>
      <c r="AD95" s="62">
        <f t="array" ref="AD95">IF(AC95&lt;&gt;"",IF(INDEX(techniques[coverage],MATCH(AC95,techniques[name],0))&gt;0,INDEX(techniques[coverage],MATCH(AC95,techniques[name],0)),""),"")</f>
        <v/>
      </c>
    </row>
    <row r="96">
      <c r="A96" s="45" t="n"/>
      <c r="B96" s="62">
        <f t="array" ref="B96">IF(A96&lt;&gt;"",IF(INDEX(techniques[coverage],MATCH(A96,techniques[name],0))&gt;0,INDEX(techniques[coverage],MATCH(A96,techniques[name],0)),""),"")</f>
        <v/>
      </c>
      <c r="C96" s="45" t="n"/>
      <c r="D96" s="62">
        <f t="array" ref="D96">IF(C96&lt;&gt;"",IF(INDEX(techniques[coverage],MATCH(C96,techniques[name],0))&gt;0,INDEX(techniques[coverage],MATCH(C96,techniques[name],0)),""),"")</f>
        <v/>
      </c>
      <c r="E96" s="45" t="n"/>
      <c r="F96" s="62">
        <f t="array" ref="F96">IF(E96&lt;&gt;"",IF(INDEX(techniques[coverage],MATCH(E96,techniques[name],0))&gt;0,INDEX(techniques[coverage],MATCH(E96,techniques[name],0)),""),"")</f>
        <v/>
      </c>
      <c r="G96" s="45" t="n"/>
      <c r="H96" s="62">
        <f t="array" ref="H96">IF(G96&lt;&gt;"",IF(INDEX(techniques[coverage],MATCH(G96,techniques[name],0))&gt;0,INDEX(techniques[coverage],MATCH(G96,techniques[name],0)),""),"")</f>
        <v/>
      </c>
      <c r="I96" s="45" t="n"/>
      <c r="J96" s="62">
        <f t="array" ref="J96">IF(I96&lt;&gt;"",IF(INDEX(techniques[coverage],MATCH(I96,techniques[name],0))&gt;0,INDEX(techniques[coverage],MATCH(I96,techniques[name],0)),""),"")</f>
        <v/>
      </c>
      <c r="K96" s="45" t="n"/>
      <c r="L96" s="62">
        <f t="array" ref="L96">IF(K96&lt;&gt;"",IF(INDEX(techniques[coverage],MATCH(K96,techniques[name],0))&gt;0,INDEX(techniques[coverage],MATCH(K96,techniques[name],0)),""),"")</f>
        <v/>
      </c>
      <c r="M96" s="45" t="n"/>
      <c r="N96" s="62">
        <f t="array" ref="N96">IF(M96&lt;&gt;"",IF(INDEX(techniques[coverage],MATCH(M96,techniques[name],0))&gt;0,INDEX(techniques[coverage],MATCH(M96,techniques[name],0)),""),"")</f>
        <v/>
      </c>
      <c r="O96" s="45" t="n"/>
      <c r="P96" s="62">
        <f t="array" ref="P96">IF(O96&lt;&gt;"",IF(INDEX(techniques[coverage],MATCH(O96,techniques[name],0))&gt;0,INDEX(techniques[coverage],MATCH(O96,techniques[name],0)),""),"")</f>
        <v/>
      </c>
      <c r="Q96" s="45" t="n"/>
      <c r="R96" s="62">
        <f t="array" ref="R96">IF(Q96&lt;&gt;"",IF(INDEX(techniques[coverage],MATCH(Q96,techniques[name],0))&gt;0,INDEX(techniques[coverage],MATCH(Q96,techniques[name],0)),""),"")</f>
        <v/>
      </c>
      <c r="S96" s="45" t="n"/>
      <c r="T96" s="62">
        <f t="array" ref="T96">IF(S96&lt;&gt;"",IF(INDEX(techniques[coverage],MATCH(S96,techniques[name],0))&gt;0,INDEX(techniques[coverage],MATCH(S96,techniques[name],0)),""),"")</f>
        <v/>
      </c>
      <c r="U96" s="45" t="n"/>
      <c r="V96" s="62">
        <f t="array" ref="V96">IF(U96&lt;&gt;"",IF(INDEX(techniques[coverage],MATCH(U96,techniques[name],0))&gt;0,INDEX(techniques[coverage],MATCH(U96,techniques[name],0)),""),"")</f>
        <v/>
      </c>
      <c r="W96" s="45" t="n"/>
      <c r="X96" s="62">
        <f t="array" ref="X96">IF(W96&lt;&gt;"",IF(INDEX(techniques[coverage],MATCH(W96,techniques[name],0))&gt;0,INDEX(techniques[coverage],MATCH(W96,techniques[name],0)),""),"")</f>
        <v/>
      </c>
      <c r="Y96" s="45" t="n"/>
      <c r="Z96" s="62">
        <f t="array" ref="Z96">IF(Y96&lt;&gt;"",IF(INDEX(techniques[coverage],MATCH(Y96,techniques[name],0))&gt;0,INDEX(techniques[coverage],MATCH(Y96,techniques[name],0)),""),"")</f>
        <v/>
      </c>
      <c r="AA96" s="45" t="n"/>
      <c r="AB96" s="62">
        <f t="array" ref="AB96">IF(AA96&lt;&gt;"",IF(INDEX(techniques[coverage],MATCH(AA96,techniques[name],0))&gt;0,INDEX(techniques[coverage],MATCH(AA96,techniques[name],0)),""),"")</f>
        <v/>
      </c>
      <c r="AC96" s="45" t="n"/>
      <c r="AD96" s="62">
        <f t="array" ref="AD96">IF(AC96&lt;&gt;"",IF(INDEX(techniques[coverage],MATCH(AC96,techniques[name],0))&gt;0,INDEX(techniques[coverage],MATCH(AC96,techniques[name],0)),""),"")</f>
        <v/>
      </c>
    </row>
    <row r="97">
      <c r="A97" s="45" t="n"/>
      <c r="B97" s="62">
        <f t="array" ref="B97">IF(A97&lt;&gt;"",IF(INDEX(techniques[coverage],MATCH(A97,techniques[name],0))&gt;0,INDEX(techniques[coverage],MATCH(A97,techniques[name],0)),""),"")</f>
        <v/>
      </c>
      <c r="C97" s="45" t="n"/>
      <c r="D97" s="62">
        <f t="array" ref="D97">IF(C97&lt;&gt;"",IF(INDEX(techniques[coverage],MATCH(C97,techniques[name],0))&gt;0,INDEX(techniques[coverage],MATCH(C97,techniques[name],0)),""),"")</f>
        <v/>
      </c>
      <c r="E97" s="45" t="n"/>
      <c r="F97" s="62">
        <f t="array" ref="F97">IF(E97&lt;&gt;"",IF(INDEX(techniques[coverage],MATCH(E97,techniques[name],0))&gt;0,INDEX(techniques[coverage],MATCH(E97,techniques[name],0)),""),"")</f>
        <v/>
      </c>
      <c r="G97" s="45" t="n"/>
      <c r="H97" s="62">
        <f t="array" ref="H97">IF(G97&lt;&gt;"",IF(INDEX(techniques[coverage],MATCH(G97,techniques[name],0))&gt;0,INDEX(techniques[coverage],MATCH(G97,techniques[name],0)),""),"")</f>
        <v/>
      </c>
      <c r="I97" s="45" t="n"/>
      <c r="J97" s="62">
        <f t="array" ref="J97">IF(I97&lt;&gt;"",IF(INDEX(techniques[coverage],MATCH(I97,techniques[name],0))&gt;0,INDEX(techniques[coverage],MATCH(I97,techniques[name],0)),""),"")</f>
        <v/>
      </c>
      <c r="K97" s="45" t="n"/>
      <c r="L97" s="62">
        <f t="array" ref="L97">IF(K97&lt;&gt;"",IF(INDEX(techniques[coverage],MATCH(K97,techniques[name],0))&gt;0,INDEX(techniques[coverage],MATCH(K97,techniques[name],0)),""),"")</f>
        <v/>
      </c>
      <c r="M97" s="45" t="n"/>
      <c r="N97" s="62">
        <f t="array" ref="N97">IF(M97&lt;&gt;"",IF(INDEX(techniques[coverage],MATCH(M97,techniques[name],0))&gt;0,INDEX(techniques[coverage],MATCH(M97,techniques[name],0)),""),"")</f>
        <v/>
      </c>
      <c r="O97" s="45" t="n"/>
      <c r="P97" s="62">
        <f t="array" ref="P97">IF(O97&lt;&gt;"",IF(INDEX(techniques[coverage],MATCH(O97,techniques[name],0))&gt;0,INDEX(techniques[coverage],MATCH(O97,techniques[name],0)),""),"")</f>
        <v/>
      </c>
      <c r="Q97" s="45" t="n"/>
      <c r="R97" s="62">
        <f t="array" ref="R97">IF(Q97&lt;&gt;"",IF(INDEX(techniques[coverage],MATCH(Q97,techniques[name],0))&gt;0,INDEX(techniques[coverage],MATCH(Q97,techniques[name],0)),""),"")</f>
        <v/>
      </c>
      <c r="S97" s="45" t="n"/>
      <c r="T97" s="62">
        <f t="array" ref="T97">IF(S97&lt;&gt;"",IF(INDEX(techniques[coverage],MATCH(S97,techniques[name],0))&gt;0,INDEX(techniques[coverage],MATCH(S97,techniques[name],0)),""),"")</f>
        <v/>
      </c>
      <c r="U97" s="45" t="n"/>
      <c r="V97" s="62">
        <f t="array" ref="V97">IF(U97&lt;&gt;"",IF(INDEX(techniques[coverage],MATCH(U97,techniques[name],0))&gt;0,INDEX(techniques[coverage],MATCH(U97,techniques[name],0)),""),"")</f>
        <v/>
      </c>
      <c r="W97" s="45" t="n"/>
      <c r="X97" s="62">
        <f t="array" ref="X97">IF(W97&lt;&gt;"",IF(INDEX(techniques[coverage],MATCH(W97,techniques[name],0))&gt;0,INDEX(techniques[coverage],MATCH(W97,techniques[name],0)),""),"")</f>
        <v/>
      </c>
      <c r="Y97" s="45" t="n"/>
      <c r="Z97" s="62">
        <f t="array" ref="Z97">IF(Y97&lt;&gt;"",IF(INDEX(techniques[coverage],MATCH(Y97,techniques[name],0))&gt;0,INDEX(techniques[coverage],MATCH(Y97,techniques[name],0)),""),"")</f>
        <v/>
      </c>
      <c r="AA97" s="45" t="n"/>
      <c r="AB97" s="62">
        <f t="array" ref="AB97">IF(AA97&lt;&gt;"",IF(INDEX(techniques[coverage],MATCH(AA97,techniques[name],0))&gt;0,INDEX(techniques[coverage],MATCH(AA97,techniques[name],0)),""),"")</f>
        <v/>
      </c>
      <c r="AC97" s="45" t="n"/>
      <c r="AD97" s="62">
        <f t="array" ref="AD97">IF(AC97&lt;&gt;"",IF(INDEX(techniques[coverage],MATCH(AC97,techniques[name],0))&gt;0,INDEX(techniques[coverage],MATCH(AC97,techniques[name],0)),""),"")</f>
        <v/>
      </c>
    </row>
    <row r="98">
      <c r="A98" s="45" t="n"/>
      <c r="B98" s="62">
        <f t="array" ref="B98">IF(A98&lt;&gt;"",IF(INDEX(techniques[coverage],MATCH(A98,techniques[name],0))&gt;0,INDEX(techniques[coverage],MATCH(A98,techniques[name],0)),""),"")</f>
        <v/>
      </c>
      <c r="C98" s="45" t="n"/>
      <c r="D98" s="62">
        <f t="array" ref="D98">IF(C98&lt;&gt;"",IF(INDEX(techniques[coverage],MATCH(C98,techniques[name],0))&gt;0,INDEX(techniques[coverage],MATCH(C98,techniques[name],0)),""),"")</f>
        <v/>
      </c>
      <c r="E98" s="45" t="n"/>
      <c r="F98" s="62">
        <f t="array" ref="F98">IF(E98&lt;&gt;"",IF(INDEX(techniques[coverage],MATCH(E98,techniques[name],0))&gt;0,INDEX(techniques[coverage],MATCH(E98,techniques[name],0)),""),"")</f>
        <v/>
      </c>
      <c r="G98" s="45" t="n"/>
      <c r="H98" s="62">
        <f t="array" ref="H98">IF(G98&lt;&gt;"",IF(INDEX(techniques[coverage],MATCH(G98,techniques[name],0))&gt;0,INDEX(techniques[coverage],MATCH(G98,techniques[name],0)),""),"")</f>
        <v/>
      </c>
      <c r="I98" s="45" t="n"/>
      <c r="J98" s="62">
        <f t="array" ref="J98">IF(I98&lt;&gt;"",IF(INDEX(techniques[coverage],MATCH(I98,techniques[name],0))&gt;0,INDEX(techniques[coverage],MATCH(I98,techniques[name],0)),""),"")</f>
        <v/>
      </c>
      <c r="K98" s="45" t="n"/>
      <c r="L98" s="62">
        <f t="array" ref="L98">IF(K98&lt;&gt;"",IF(INDEX(techniques[coverage],MATCH(K98,techniques[name],0))&gt;0,INDEX(techniques[coverage],MATCH(K98,techniques[name],0)),""),"")</f>
        <v/>
      </c>
      <c r="M98" s="45" t="n"/>
      <c r="N98" s="62">
        <f t="array" ref="N98">IF(M98&lt;&gt;"",IF(INDEX(techniques[coverage],MATCH(M98,techniques[name],0))&gt;0,INDEX(techniques[coverage],MATCH(M98,techniques[name],0)),""),"")</f>
        <v/>
      </c>
      <c r="O98" s="45" t="n"/>
      <c r="P98" s="62">
        <f t="array" ref="P98">IF(O98&lt;&gt;"",IF(INDEX(techniques[coverage],MATCH(O98,techniques[name],0))&gt;0,INDEX(techniques[coverage],MATCH(O98,techniques[name],0)),""),"")</f>
        <v/>
      </c>
      <c r="Q98" s="45" t="n"/>
      <c r="R98" s="62">
        <f t="array" ref="R98">IF(Q98&lt;&gt;"",IF(INDEX(techniques[coverage],MATCH(Q98,techniques[name],0))&gt;0,INDEX(techniques[coverage],MATCH(Q98,techniques[name],0)),""),"")</f>
        <v/>
      </c>
      <c r="S98" s="45" t="n"/>
      <c r="T98" s="62">
        <f t="array" ref="T98">IF(S98&lt;&gt;"",IF(INDEX(techniques[coverage],MATCH(S98,techniques[name],0))&gt;0,INDEX(techniques[coverage],MATCH(S98,techniques[name],0)),""),"")</f>
        <v/>
      </c>
      <c r="U98" s="45" t="n"/>
      <c r="V98" s="62">
        <f t="array" ref="V98">IF(U98&lt;&gt;"",IF(INDEX(techniques[coverage],MATCH(U98,techniques[name],0))&gt;0,INDEX(techniques[coverage],MATCH(U98,techniques[name],0)),""),"")</f>
        <v/>
      </c>
      <c r="W98" s="45" t="n"/>
      <c r="X98" s="62">
        <f t="array" ref="X98">IF(W98&lt;&gt;"",IF(INDEX(techniques[coverage],MATCH(W98,techniques[name],0))&gt;0,INDEX(techniques[coverage],MATCH(W98,techniques[name],0)),""),"")</f>
        <v/>
      </c>
      <c r="Y98" s="45" t="n"/>
      <c r="Z98" s="62">
        <f t="array" ref="Z98">IF(Y98&lt;&gt;"",IF(INDEX(techniques[coverage],MATCH(Y98,techniques[name],0))&gt;0,INDEX(techniques[coverage],MATCH(Y98,techniques[name],0)),""),"")</f>
        <v/>
      </c>
      <c r="AA98" s="45" t="n"/>
      <c r="AB98" s="62">
        <f t="array" ref="AB98">IF(AA98&lt;&gt;"",IF(INDEX(techniques[coverage],MATCH(AA98,techniques[name],0))&gt;0,INDEX(techniques[coverage],MATCH(AA98,techniques[name],0)),""),"")</f>
        <v/>
      </c>
      <c r="AC98" s="45" t="n"/>
      <c r="AD98" s="62">
        <f t="array" ref="AD98">IF(AC98&lt;&gt;"",IF(INDEX(techniques[coverage],MATCH(AC98,techniques[name],0))&gt;0,INDEX(techniques[coverage],MATCH(AC98,techniques[name],0)),""),"")</f>
        <v/>
      </c>
    </row>
    <row r="99">
      <c r="A99" s="45" t="n"/>
      <c r="B99" s="62">
        <f t="array" ref="B99">IF(A99&lt;&gt;"",IF(INDEX(techniques[coverage],MATCH(A99,techniques[name],0))&gt;0,INDEX(techniques[coverage],MATCH(A99,techniques[name],0)),""),"")</f>
        <v/>
      </c>
      <c r="C99" s="45" t="n"/>
      <c r="D99" s="62">
        <f t="array" ref="D99">IF(C99&lt;&gt;"",IF(INDEX(techniques[coverage],MATCH(C99,techniques[name],0))&gt;0,INDEX(techniques[coverage],MATCH(C99,techniques[name],0)),""),"")</f>
        <v/>
      </c>
      <c r="E99" s="45" t="n"/>
      <c r="F99" s="62">
        <f t="array" ref="F99">IF(E99&lt;&gt;"",IF(INDEX(techniques[coverage],MATCH(E99,techniques[name],0))&gt;0,INDEX(techniques[coverage],MATCH(E99,techniques[name],0)),""),"")</f>
        <v/>
      </c>
      <c r="G99" s="45" t="n"/>
      <c r="H99" s="62">
        <f t="array" ref="H99">IF(G99&lt;&gt;"",IF(INDEX(techniques[coverage],MATCH(G99,techniques[name],0))&gt;0,INDEX(techniques[coverage],MATCH(G99,techniques[name],0)),""),"")</f>
        <v/>
      </c>
      <c r="I99" s="45" t="n"/>
      <c r="J99" s="62">
        <f t="array" ref="J99">IF(I99&lt;&gt;"",IF(INDEX(techniques[coverage],MATCH(I99,techniques[name],0))&gt;0,INDEX(techniques[coverage],MATCH(I99,techniques[name],0)),""),"")</f>
        <v/>
      </c>
      <c r="K99" s="45" t="n"/>
      <c r="L99" s="62">
        <f t="array" ref="L99">IF(K99&lt;&gt;"",IF(INDEX(techniques[coverage],MATCH(K99,techniques[name],0))&gt;0,INDEX(techniques[coverage],MATCH(K99,techniques[name],0)),""),"")</f>
        <v/>
      </c>
      <c r="M99" s="45" t="n"/>
      <c r="N99" s="62">
        <f t="array" ref="N99">IF(M99&lt;&gt;"",IF(INDEX(techniques[coverage],MATCH(M99,techniques[name],0))&gt;0,INDEX(techniques[coverage],MATCH(M99,techniques[name],0)),""),"")</f>
        <v/>
      </c>
      <c r="O99" s="45" t="n"/>
      <c r="P99" s="62">
        <f t="array" ref="P99">IF(O99&lt;&gt;"",IF(INDEX(techniques[coverage],MATCH(O99,techniques[name],0))&gt;0,INDEX(techniques[coverage],MATCH(O99,techniques[name],0)),""),"")</f>
        <v/>
      </c>
      <c r="Q99" s="45" t="n"/>
      <c r="R99" s="62">
        <f t="array" ref="R99">IF(Q99&lt;&gt;"",IF(INDEX(techniques[coverage],MATCH(Q99,techniques[name],0))&gt;0,INDEX(techniques[coverage],MATCH(Q99,techniques[name],0)),""),"")</f>
        <v/>
      </c>
      <c r="S99" s="45" t="n"/>
      <c r="T99" s="62">
        <f t="array" ref="T99">IF(S99&lt;&gt;"",IF(INDEX(techniques[coverage],MATCH(S99,techniques[name],0))&gt;0,INDEX(techniques[coverage],MATCH(S99,techniques[name],0)),""),"")</f>
        <v/>
      </c>
      <c r="U99" s="45" t="n"/>
      <c r="V99" s="62">
        <f t="array" ref="V99">IF(U99&lt;&gt;"",IF(INDEX(techniques[coverage],MATCH(U99,techniques[name],0))&gt;0,INDEX(techniques[coverage],MATCH(U99,techniques[name],0)),""),"")</f>
        <v/>
      </c>
      <c r="W99" s="45" t="n"/>
      <c r="X99" s="62">
        <f t="array" ref="X99">IF(W99&lt;&gt;"",IF(INDEX(techniques[coverage],MATCH(W99,techniques[name],0))&gt;0,INDEX(techniques[coverage],MATCH(W99,techniques[name],0)),""),"")</f>
        <v/>
      </c>
      <c r="Y99" s="45" t="n"/>
      <c r="Z99" s="62">
        <f t="array" ref="Z99">IF(Y99&lt;&gt;"",IF(INDEX(techniques[coverage],MATCH(Y99,techniques[name],0))&gt;0,INDEX(techniques[coverage],MATCH(Y99,techniques[name],0)),""),"")</f>
        <v/>
      </c>
      <c r="AA99" s="45" t="n"/>
      <c r="AB99" s="62">
        <f t="array" ref="AB99">IF(AA99&lt;&gt;"",IF(INDEX(techniques[coverage],MATCH(AA99,techniques[name],0))&gt;0,INDEX(techniques[coverage],MATCH(AA99,techniques[name],0)),""),"")</f>
        <v/>
      </c>
      <c r="AC99" s="45" t="n"/>
      <c r="AD99" s="62">
        <f t="array" ref="AD99">IF(AC99&lt;&gt;"",IF(INDEX(techniques[coverage],MATCH(AC99,techniques[name],0))&gt;0,INDEX(techniques[coverage],MATCH(AC99,techniques[name],0)),""),"")</f>
        <v/>
      </c>
    </row>
    <row r="100">
      <c r="A100" s="45" t="n"/>
      <c r="B100" s="62">
        <f t="array" ref="B100">IF(A100&lt;&gt;"",IF(INDEX(techniques[coverage],MATCH(A100,techniques[name],0))&gt;0,INDEX(techniques[coverage],MATCH(A100,techniques[name],0)),""),"")</f>
        <v/>
      </c>
      <c r="C100" s="45" t="n"/>
      <c r="D100" s="62">
        <f t="array" ref="D100">IF(C100&lt;&gt;"",IF(INDEX(techniques[coverage],MATCH(C100,techniques[name],0))&gt;0,INDEX(techniques[coverage],MATCH(C100,techniques[name],0)),""),"")</f>
        <v/>
      </c>
      <c r="E100" s="45" t="n"/>
      <c r="F100" s="62">
        <f t="array" ref="F100">IF(E100&lt;&gt;"",IF(INDEX(techniques[coverage],MATCH(E100,techniques[name],0))&gt;0,INDEX(techniques[coverage],MATCH(E100,techniques[name],0)),""),"")</f>
        <v/>
      </c>
      <c r="G100" s="45" t="n"/>
      <c r="H100" s="62">
        <f t="array" ref="H100">IF(G100&lt;&gt;"",IF(INDEX(techniques[coverage],MATCH(G100,techniques[name],0))&gt;0,INDEX(techniques[coverage],MATCH(G100,techniques[name],0)),""),"")</f>
        <v/>
      </c>
      <c r="I100" s="45" t="n"/>
      <c r="J100" s="62">
        <f t="array" ref="J100">IF(I100&lt;&gt;"",IF(INDEX(techniques[coverage],MATCH(I100,techniques[name],0))&gt;0,INDEX(techniques[coverage],MATCH(I100,techniques[name],0)),""),"")</f>
        <v/>
      </c>
      <c r="K100" s="45" t="n"/>
      <c r="L100" s="62">
        <f t="array" ref="L100">IF(K100&lt;&gt;"",IF(INDEX(techniques[coverage],MATCH(K100,techniques[name],0))&gt;0,INDEX(techniques[coverage],MATCH(K100,techniques[name],0)),""),"")</f>
        <v/>
      </c>
      <c r="M100" s="45" t="n"/>
      <c r="N100" s="62">
        <f t="array" ref="N100">IF(M100&lt;&gt;"",IF(INDEX(techniques[coverage],MATCH(M100,techniques[name],0))&gt;0,INDEX(techniques[coverage],MATCH(M100,techniques[name],0)),""),"")</f>
        <v/>
      </c>
      <c r="O100" s="45" t="n"/>
      <c r="P100" s="62">
        <f t="array" ref="P100">IF(O100&lt;&gt;"",IF(INDEX(techniques[coverage],MATCH(O100,techniques[name],0))&gt;0,INDEX(techniques[coverage],MATCH(O100,techniques[name],0)),""),"")</f>
        <v/>
      </c>
      <c r="Q100" s="45" t="n"/>
      <c r="R100" s="62">
        <f t="array" ref="R100">IF(Q100&lt;&gt;"",IF(INDEX(techniques[coverage],MATCH(Q100,techniques[name],0))&gt;0,INDEX(techniques[coverage],MATCH(Q100,techniques[name],0)),""),"")</f>
        <v/>
      </c>
      <c r="S100" s="45" t="n"/>
      <c r="T100" s="62">
        <f t="array" ref="T100">IF(S100&lt;&gt;"",IF(INDEX(techniques[coverage],MATCH(S100,techniques[name],0))&gt;0,INDEX(techniques[coverage],MATCH(S100,techniques[name],0)),""),"")</f>
        <v/>
      </c>
      <c r="U100" s="45" t="n"/>
      <c r="V100" s="62">
        <f t="array" ref="V100">IF(U100&lt;&gt;"",IF(INDEX(techniques[coverage],MATCH(U100,techniques[name],0))&gt;0,INDEX(techniques[coverage],MATCH(U100,techniques[name],0)),""),"")</f>
        <v/>
      </c>
      <c r="W100" s="45" t="n"/>
      <c r="X100" s="62">
        <f t="array" ref="X100">IF(W100&lt;&gt;"",IF(INDEX(techniques[coverage],MATCH(W100,techniques[name],0))&gt;0,INDEX(techniques[coverage],MATCH(W100,techniques[name],0)),""),"")</f>
        <v/>
      </c>
      <c r="Y100" s="45" t="n"/>
      <c r="Z100" s="62">
        <f t="array" ref="Z100">IF(Y100&lt;&gt;"",IF(INDEX(techniques[coverage],MATCH(Y100,techniques[name],0))&gt;0,INDEX(techniques[coverage],MATCH(Y100,techniques[name],0)),""),"")</f>
        <v/>
      </c>
      <c r="AA100" s="45" t="n"/>
      <c r="AB100" s="62">
        <f t="array" ref="AB100">IF(AA100&lt;&gt;"",IF(INDEX(techniques[coverage],MATCH(AA100,techniques[name],0))&gt;0,INDEX(techniques[coverage],MATCH(AA100,techniques[name],0)),""),"")</f>
        <v/>
      </c>
      <c r="AC100" s="45" t="n"/>
      <c r="AD100" s="62">
        <f t="array" ref="AD100">IF(AC100&lt;&gt;"",IF(INDEX(techniques[coverage],MATCH(AC100,techniques[name],0))&gt;0,INDEX(techniques[coverage],MATCH(AC100,techniques[name],0)),""),"")</f>
        <v/>
      </c>
    </row>
    <row r="101">
      <c r="A101" s="45" t="n"/>
      <c r="B101" s="62">
        <f t="array" ref="B101">IF(A101&lt;&gt;"",IF(INDEX(techniques[coverage],MATCH(A101,techniques[name],0))&gt;0,INDEX(techniques[coverage],MATCH(A101,techniques[name],0)),""),"")</f>
        <v/>
      </c>
      <c r="C101" s="45" t="n"/>
      <c r="D101" s="62">
        <f t="array" ref="D101">IF(C101&lt;&gt;"",IF(INDEX(techniques[coverage],MATCH(C101,techniques[name],0))&gt;0,INDEX(techniques[coverage],MATCH(C101,techniques[name],0)),""),"")</f>
        <v/>
      </c>
      <c r="E101" s="45" t="n"/>
      <c r="F101" s="62">
        <f t="array" ref="F101">IF(E101&lt;&gt;"",IF(INDEX(techniques[coverage],MATCH(E101,techniques[name],0))&gt;0,INDEX(techniques[coverage],MATCH(E101,techniques[name],0)),""),"")</f>
        <v/>
      </c>
      <c r="G101" s="45" t="n"/>
      <c r="H101" s="62">
        <f t="array" ref="H101">IF(G101&lt;&gt;"",IF(INDEX(techniques[coverage],MATCH(G101,techniques[name],0))&gt;0,INDEX(techniques[coverage],MATCH(G101,techniques[name],0)),""),"")</f>
        <v/>
      </c>
      <c r="I101" s="45" t="n"/>
      <c r="J101" s="62">
        <f t="array" ref="J101">IF(I101&lt;&gt;"",IF(INDEX(techniques[coverage],MATCH(I101,techniques[name],0))&gt;0,INDEX(techniques[coverage],MATCH(I101,techniques[name],0)),""),"")</f>
        <v/>
      </c>
      <c r="K101" s="45" t="n"/>
      <c r="L101" s="62">
        <f t="array" ref="L101">IF(K101&lt;&gt;"",IF(INDEX(techniques[coverage],MATCH(K101,techniques[name],0))&gt;0,INDEX(techniques[coverage],MATCH(K101,techniques[name],0)),""),"")</f>
        <v/>
      </c>
      <c r="M101" s="45" t="n"/>
      <c r="N101" s="62">
        <f t="array" ref="N101">IF(M101&lt;&gt;"",IF(INDEX(techniques[coverage],MATCH(M101,techniques[name],0))&gt;0,INDEX(techniques[coverage],MATCH(M101,techniques[name],0)),""),"")</f>
        <v/>
      </c>
      <c r="O101" s="45" t="n"/>
      <c r="P101" s="62">
        <f t="array" ref="P101">IF(O101&lt;&gt;"",IF(INDEX(techniques[coverage],MATCH(O101,techniques[name],0))&gt;0,INDEX(techniques[coverage],MATCH(O101,techniques[name],0)),""),"")</f>
        <v/>
      </c>
      <c r="Q101" s="45" t="n"/>
      <c r="R101" s="62">
        <f t="array" ref="R101">IF(Q101&lt;&gt;"",IF(INDEX(techniques[coverage],MATCH(Q101,techniques[name],0))&gt;0,INDEX(techniques[coverage],MATCH(Q101,techniques[name],0)),""),"")</f>
        <v/>
      </c>
      <c r="S101" s="45" t="n"/>
      <c r="T101" s="62">
        <f t="array" ref="T101">IF(S101&lt;&gt;"",IF(INDEX(techniques[coverage],MATCH(S101,techniques[name],0))&gt;0,INDEX(techniques[coverage],MATCH(S101,techniques[name],0)),""),"")</f>
        <v/>
      </c>
      <c r="U101" s="45" t="n"/>
      <c r="V101" s="62">
        <f t="array" ref="V101">IF(U101&lt;&gt;"",IF(INDEX(techniques[coverage],MATCH(U101,techniques[name],0))&gt;0,INDEX(techniques[coverage],MATCH(U101,techniques[name],0)),""),"")</f>
        <v/>
      </c>
      <c r="W101" s="45" t="n"/>
      <c r="X101" s="62">
        <f t="array" ref="X101">IF(W101&lt;&gt;"",IF(INDEX(techniques[coverage],MATCH(W101,techniques[name],0))&gt;0,INDEX(techniques[coverage],MATCH(W101,techniques[name],0)),""),"")</f>
        <v/>
      </c>
      <c r="Y101" s="45" t="n"/>
      <c r="Z101" s="62">
        <f t="array" ref="Z101">IF(Y101&lt;&gt;"",IF(INDEX(techniques[coverage],MATCH(Y101,techniques[name],0))&gt;0,INDEX(techniques[coverage],MATCH(Y101,techniques[name],0)),""),"")</f>
        <v/>
      </c>
      <c r="AA101" s="45" t="n"/>
      <c r="AB101" s="62">
        <f t="array" ref="AB101">IF(AA101&lt;&gt;"",IF(INDEX(techniques[coverage],MATCH(AA101,techniques[name],0))&gt;0,INDEX(techniques[coverage],MATCH(AA101,techniques[name],0)),""),"")</f>
        <v/>
      </c>
      <c r="AC101" s="45" t="n"/>
      <c r="AD101" s="62">
        <f t="array" ref="AD101">IF(AC101&lt;&gt;"",IF(INDEX(techniques[coverage],MATCH(AC101,techniques[name],0))&gt;0,INDEX(techniques[coverage],MATCH(AC101,techniques[name],0)),""),"")</f>
        <v/>
      </c>
    </row>
    <row r="102">
      <c r="A102" s="45" t="n"/>
      <c r="B102" s="62">
        <f t="array" ref="B102">IF(A102&lt;&gt;"",IF(INDEX(techniques[coverage],MATCH(A102,techniques[name],0))&gt;0,INDEX(techniques[coverage],MATCH(A102,techniques[name],0)),""),"")</f>
        <v/>
      </c>
      <c r="C102" s="45" t="n"/>
      <c r="D102" s="62">
        <f t="array" ref="D102">IF(C102&lt;&gt;"",IF(INDEX(techniques[coverage],MATCH(C102,techniques[name],0))&gt;0,INDEX(techniques[coverage],MATCH(C102,techniques[name],0)),""),"")</f>
        <v/>
      </c>
      <c r="E102" s="45" t="n"/>
      <c r="F102" s="62">
        <f t="array" ref="F102">IF(E102&lt;&gt;"",IF(INDEX(techniques[coverage],MATCH(E102,techniques[name],0))&gt;0,INDEX(techniques[coverage],MATCH(E102,techniques[name],0)),""),"")</f>
        <v/>
      </c>
      <c r="G102" s="45" t="n"/>
      <c r="H102" s="62">
        <f t="array" ref="H102">IF(G102&lt;&gt;"",IF(INDEX(techniques[coverage],MATCH(G102,techniques[name],0))&gt;0,INDEX(techniques[coverage],MATCH(G102,techniques[name],0)),""),"")</f>
        <v/>
      </c>
      <c r="I102" s="45" t="n"/>
      <c r="J102" s="62">
        <f t="array" ref="J102">IF(I102&lt;&gt;"",IF(INDEX(techniques[coverage],MATCH(I102,techniques[name],0))&gt;0,INDEX(techniques[coverage],MATCH(I102,techniques[name],0)),""),"")</f>
        <v/>
      </c>
      <c r="K102" s="45" t="n"/>
      <c r="L102" s="62">
        <f t="array" ref="L102">IF(K102&lt;&gt;"",IF(INDEX(techniques[coverage],MATCH(K102,techniques[name],0))&gt;0,INDEX(techniques[coverage],MATCH(K102,techniques[name],0)),""),"")</f>
        <v/>
      </c>
      <c r="M102" s="45" t="n"/>
      <c r="N102" s="62">
        <f t="array" ref="N102">IF(M102&lt;&gt;"",IF(INDEX(techniques[coverage],MATCH(M102,techniques[name],0))&gt;0,INDEX(techniques[coverage],MATCH(M102,techniques[name],0)),""),"")</f>
        <v/>
      </c>
      <c r="O102" s="45" t="n"/>
      <c r="P102" s="62">
        <f t="array" ref="P102">IF(O102&lt;&gt;"",IF(INDEX(techniques[coverage],MATCH(O102,techniques[name],0))&gt;0,INDEX(techniques[coverage],MATCH(O102,techniques[name],0)),""),"")</f>
        <v/>
      </c>
      <c r="Q102" s="45" t="n"/>
      <c r="R102" s="62">
        <f t="array" ref="R102">IF(Q102&lt;&gt;"",IF(INDEX(techniques[coverage],MATCH(Q102,techniques[name],0))&gt;0,INDEX(techniques[coverage],MATCH(Q102,techniques[name],0)),""),"")</f>
        <v/>
      </c>
      <c r="S102" s="45" t="n"/>
      <c r="T102" s="62">
        <f t="array" ref="T102">IF(S102&lt;&gt;"",IF(INDEX(techniques[coverage],MATCH(S102,techniques[name],0))&gt;0,INDEX(techniques[coverage],MATCH(S102,techniques[name],0)),""),"")</f>
        <v/>
      </c>
      <c r="U102" s="45" t="n"/>
      <c r="V102" s="62">
        <f t="array" ref="V102">IF(U102&lt;&gt;"",IF(INDEX(techniques[coverage],MATCH(U102,techniques[name],0))&gt;0,INDEX(techniques[coverage],MATCH(U102,techniques[name],0)),""),"")</f>
        <v/>
      </c>
      <c r="W102" s="45" t="n"/>
      <c r="X102" s="62">
        <f t="array" ref="X102">IF(W102&lt;&gt;"",IF(INDEX(techniques[coverage],MATCH(W102,techniques[name],0))&gt;0,INDEX(techniques[coverage],MATCH(W102,techniques[name],0)),""),"")</f>
        <v/>
      </c>
      <c r="Y102" s="45" t="n"/>
      <c r="Z102" s="62">
        <f t="array" ref="Z102">IF(Y102&lt;&gt;"",IF(INDEX(techniques[coverage],MATCH(Y102,techniques[name],0))&gt;0,INDEX(techniques[coverage],MATCH(Y102,techniques[name],0)),""),"")</f>
        <v/>
      </c>
      <c r="AA102" s="45" t="n"/>
      <c r="AB102" s="62">
        <f t="array" ref="AB102">IF(AA102&lt;&gt;"",IF(INDEX(techniques[coverage],MATCH(AA102,techniques[name],0))&gt;0,INDEX(techniques[coverage],MATCH(AA102,techniques[name],0)),""),"")</f>
        <v/>
      </c>
      <c r="AC102" s="45" t="n"/>
      <c r="AD102" s="62">
        <f t="array" ref="AD102">IF(AC102&lt;&gt;"",IF(INDEX(techniques[coverage],MATCH(AC102,techniques[name],0))&gt;0,INDEX(techniques[coverage],MATCH(AC102,techniques[name],0)),""),"")</f>
        <v/>
      </c>
    </row>
    <row r="103">
      <c r="A103" s="45" t="n"/>
      <c r="B103" s="62">
        <f t="array" ref="B103">IF(A103&lt;&gt;"",IF(INDEX(techniques[coverage],MATCH(A103,techniques[name],0))&gt;0,INDEX(techniques[coverage],MATCH(A103,techniques[name],0)),""),"")</f>
        <v/>
      </c>
      <c r="C103" s="45" t="n"/>
      <c r="D103" s="62">
        <f t="array" ref="D103">IF(C103&lt;&gt;"",IF(INDEX(techniques[coverage],MATCH(C103,techniques[name],0))&gt;0,INDEX(techniques[coverage],MATCH(C103,techniques[name],0)),""),"")</f>
        <v/>
      </c>
      <c r="E103" s="45" t="n"/>
      <c r="F103" s="62">
        <f t="array" ref="F103">IF(E103&lt;&gt;"",IF(INDEX(techniques[coverage],MATCH(E103,techniques[name],0))&gt;0,INDEX(techniques[coverage],MATCH(E103,techniques[name],0)),""),"")</f>
        <v/>
      </c>
      <c r="G103" s="45" t="n"/>
      <c r="H103" s="62">
        <f t="array" ref="H103">IF(G103&lt;&gt;"",IF(INDEX(techniques[coverage],MATCH(G103,techniques[name],0))&gt;0,INDEX(techniques[coverage],MATCH(G103,techniques[name],0)),""),"")</f>
        <v/>
      </c>
      <c r="I103" s="45" t="n"/>
      <c r="J103" s="62">
        <f t="array" ref="J103">IF(I103&lt;&gt;"",IF(INDEX(techniques[coverage],MATCH(I103,techniques[name],0))&gt;0,INDEX(techniques[coverage],MATCH(I103,techniques[name],0)),""),"")</f>
        <v/>
      </c>
      <c r="K103" s="45" t="n"/>
      <c r="L103" s="62">
        <f t="array" ref="L103">IF(K103&lt;&gt;"",IF(INDEX(techniques[coverage],MATCH(K103,techniques[name],0))&gt;0,INDEX(techniques[coverage],MATCH(K103,techniques[name],0)),""),"")</f>
        <v/>
      </c>
      <c r="M103" s="45" t="n"/>
      <c r="N103" s="62">
        <f t="array" ref="N103">IF(M103&lt;&gt;"",IF(INDEX(techniques[coverage],MATCH(M103,techniques[name],0))&gt;0,INDEX(techniques[coverage],MATCH(M103,techniques[name],0)),""),"")</f>
        <v/>
      </c>
      <c r="O103" s="45" t="n"/>
      <c r="P103" s="62">
        <f t="array" ref="P103">IF(O103&lt;&gt;"",IF(INDEX(techniques[coverage],MATCH(O103,techniques[name],0))&gt;0,INDEX(techniques[coverage],MATCH(O103,techniques[name],0)),""),"")</f>
        <v/>
      </c>
      <c r="Q103" s="45" t="n"/>
      <c r="R103" s="62">
        <f t="array" ref="R103">IF(Q103&lt;&gt;"",IF(INDEX(techniques[coverage],MATCH(Q103,techniques[name],0))&gt;0,INDEX(techniques[coverage],MATCH(Q103,techniques[name],0)),""),"")</f>
        <v/>
      </c>
      <c r="S103" s="45" t="n"/>
      <c r="T103" s="62">
        <f t="array" ref="T103">IF(S103&lt;&gt;"",IF(INDEX(techniques[coverage],MATCH(S103,techniques[name],0))&gt;0,INDEX(techniques[coverage],MATCH(S103,techniques[name],0)),""),"")</f>
        <v/>
      </c>
      <c r="U103" s="45" t="n"/>
      <c r="V103" s="62">
        <f t="array" ref="V103">IF(U103&lt;&gt;"",IF(INDEX(techniques[coverage],MATCH(U103,techniques[name],0))&gt;0,INDEX(techniques[coverage],MATCH(U103,techniques[name],0)),""),"")</f>
        <v/>
      </c>
      <c r="W103" s="45" t="n"/>
      <c r="X103" s="62">
        <f t="array" ref="X103">IF(W103&lt;&gt;"",IF(INDEX(techniques[coverage],MATCH(W103,techniques[name],0))&gt;0,INDEX(techniques[coverage],MATCH(W103,techniques[name],0)),""),"")</f>
        <v/>
      </c>
      <c r="Y103" s="45" t="n"/>
      <c r="Z103" s="62">
        <f t="array" ref="Z103">IF(Y103&lt;&gt;"",IF(INDEX(techniques[coverage],MATCH(Y103,techniques[name],0))&gt;0,INDEX(techniques[coverage],MATCH(Y103,techniques[name],0)),""),"")</f>
        <v/>
      </c>
      <c r="AA103" s="45" t="n"/>
      <c r="AB103" s="62">
        <f t="array" ref="AB103">IF(AA103&lt;&gt;"",IF(INDEX(techniques[coverage],MATCH(AA103,techniques[name],0))&gt;0,INDEX(techniques[coverage],MATCH(AA103,techniques[name],0)),""),"")</f>
        <v/>
      </c>
      <c r="AC103" s="45" t="n"/>
      <c r="AD103" s="62">
        <f t="array" ref="AD103">IF(AC103&lt;&gt;"",IF(INDEX(techniques[coverage],MATCH(AC103,techniques[name],0))&gt;0,INDEX(techniques[coverage],MATCH(AC103,techniques[name],0)),""),"")</f>
        <v/>
      </c>
    </row>
    <row r="104">
      <c r="A104" s="45" t="n"/>
      <c r="B104" s="62">
        <f t="array" ref="B104">IF(A104&lt;&gt;"",IF(INDEX(techniques[coverage],MATCH(A104,techniques[name],0))&gt;0,INDEX(techniques[coverage],MATCH(A104,techniques[name],0)),""),"")</f>
        <v/>
      </c>
      <c r="C104" s="45" t="n"/>
      <c r="D104" s="62">
        <f t="array" ref="D104">IF(C104&lt;&gt;"",IF(INDEX(techniques[coverage],MATCH(C104,techniques[name],0))&gt;0,INDEX(techniques[coverage],MATCH(C104,techniques[name],0)),""),"")</f>
        <v/>
      </c>
      <c r="E104" s="45" t="n"/>
      <c r="F104" s="62">
        <f t="array" ref="F104">IF(E104&lt;&gt;"",IF(INDEX(techniques[coverage],MATCH(E104,techniques[name],0))&gt;0,INDEX(techniques[coverage],MATCH(E104,techniques[name],0)),""),"")</f>
        <v/>
      </c>
      <c r="G104" s="45" t="n"/>
      <c r="H104" s="62">
        <f t="array" ref="H104">IF(G104&lt;&gt;"",IF(INDEX(techniques[coverage],MATCH(G104,techniques[name],0))&gt;0,INDEX(techniques[coverage],MATCH(G104,techniques[name],0)),""),"")</f>
        <v/>
      </c>
      <c r="I104" s="45" t="n"/>
      <c r="J104" s="62">
        <f t="array" ref="J104">IF(I104&lt;&gt;"",IF(INDEX(techniques[coverage],MATCH(I104,techniques[name],0))&gt;0,INDEX(techniques[coverage],MATCH(I104,techniques[name],0)),""),"")</f>
        <v/>
      </c>
      <c r="K104" s="45" t="n"/>
      <c r="L104" s="62">
        <f t="array" ref="L104">IF(K104&lt;&gt;"",IF(INDEX(techniques[coverage],MATCH(K104,techniques[name],0))&gt;0,INDEX(techniques[coverage],MATCH(K104,techniques[name],0)),""),"")</f>
        <v/>
      </c>
      <c r="M104" s="45" t="n"/>
      <c r="N104" s="62">
        <f t="array" ref="N104">IF(M104&lt;&gt;"",IF(INDEX(techniques[coverage],MATCH(M104,techniques[name],0))&gt;0,INDEX(techniques[coverage],MATCH(M104,techniques[name],0)),""),"")</f>
        <v/>
      </c>
      <c r="O104" s="45" t="n"/>
      <c r="P104" s="62">
        <f t="array" ref="P104">IF(O104&lt;&gt;"",IF(INDEX(techniques[coverage],MATCH(O104,techniques[name],0))&gt;0,INDEX(techniques[coverage],MATCH(O104,techniques[name],0)),""),"")</f>
        <v/>
      </c>
      <c r="Q104" s="45" t="n"/>
      <c r="R104" s="62">
        <f t="array" ref="R104">IF(Q104&lt;&gt;"",IF(INDEX(techniques[coverage],MATCH(Q104,techniques[name],0))&gt;0,INDEX(techniques[coverage],MATCH(Q104,techniques[name],0)),""),"")</f>
        <v/>
      </c>
      <c r="S104" s="45" t="n"/>
      <c r="T104" s="62">
        <f t="array" ref="T104">IF(S104&lt;&gt;"",IF(INDEX(techniques[coverage],MATCH(S104,techniques[name],0))&gt;0,INDEX(techniques[coverage],MATCH(S104,techniques[name],0)),""),"")</f>
        <v/>
      </c>
      <c r="U104" s="45" t="n"/>
      <c r="V104" s="62">
        <f t="array" ref="V104">IF(U104&lt;&gt;"",IF(INDEX(techniques[coverage],MATCH(U104,techniques[name],0))&gt;0,INDEX(techniques[coverage],MATCH(U104,techniques[name],0)),""),"")</f>
        <v/>
      </c>
      <c r="W104" s="45" t="n"/>
      <c r="X104" s="62">
        <f t="array" ref="X104">IF(W104&lt;&gt;"",IF(INDEX(techniques[coverage],MATCH(W104,techniques[name],0))&gt;0,INDEX(techniques[coverage],MATCH(W104,techniques[name],0)),""),"")</f>
        <v/>
      </c>
      <c r="Y104" s="45" t="n"/>
      <c r="Z104" s="62">
        <f t="array" ref="Z104">IF(Y104&lt;&gt;"",IF(INDEX(techniques[coverage],MATCH(Y104,techniques[name],0))&gt;0,INDEX(techniques[coverage],MATCH(Y104,techniques[name],0)),""),"")</f>
        <v/>
      </c>
      <c r="AA104" s="45" t="n"/>
      <c r="AB104" s="62">
        <f t="array" ref="AB104">IF(AA104&lt;&gt;"",IF(INDEX(techniques[coverage],MATCH(AA104,techniques[name],0))&gt;0,INDEX(techniques[coverage],MATCH(AA104,techniques[name],0)),""),"")</f>
        <v/>
      </c>
      <c r="AC104" s="45" t="n"/>
      <c r="AD104" s="62">
        <f t="array" ref="AD104">IF(AC104&lt;&gt;"",IF(INDEX(techniques[coverage],MATCH(AC104,techniques[name],0))&gt;0,INDEX(techniques[coverage],MATCH(AC104,techniques[name],0)),""),"")</f>
        <v/>
      </c>
    </row>
    <row r="105">
      <c r="A105" s="45" t="n"/>
      <c r="B105" s="62">
        <f t="array" ref="B105">IF(A105&lt;&gt;"",IF(INDEX(techniques[coverage],MATCH(A105,techniques[name],0))&gt;0,INDEX(techniques[coverage],MATCH(A105,techniques[name],0)),""),"")</f>
        <v/>
      </c>
      <c r="C105" s="45" t="n"/>
      <c r="D105" s="62">
        <f t="array" ref="D105">IF(C105&lt;&gt;"",IF(INDEX(techniques[coverage],MATCH(C105,techniques[name],0))&gt;0,INDEX(techniques[coverage],MATCH(C105,techniques[name],0)),""),"")</f>
        <v/>
      </c>
      <c r="E105" s="45" t="n"/>
      <c r="F105" s="62">
        <f t="array" ref="F105">IF(E105&lt;&gt;"",IF(INDEX(techniques[coverage],MATCH(E105,techniques[name],0))&gt;0,INDEX(techniques[coverage],MATCH(E105,techniques[name],0)),""),"")</f>
        <v/>
      </c>
      <c r="G105" s="45" t="n"/>
      <c r="H105" s="62">
        <f t="array" ref="H105">IF(G105&lt;&gt;"",IF(INDEX(techniques[coverage],MATCH(G105,techniques[name],0))&gt;0,INDEX(techniques[coverage],MATCH(G105,techniques[name],0)),""),"")</f>
        <v/>
      </c>
      <c r="I105" s="45" t="n"/>
      <c r="J105" s="62">
        <f t="array" ref="J105">IF(I105&lt;&gt;"",IF(INDEX(techniques[coverage],MATCH(I105,techniques[name],0))&gt;0,INDEX(techniques[coverage],MATCH(I105,techniques[name],0)),""),"")</f>
        <v/>
      </c>
      <c r="K105" s="45" t="n"/>
      <c r="L105" s="62">
        <f t="array" ref="L105">IF(K105&lt;&gt;"",IF(INDEX(techniques[coverage],MATCH(K105,techniques[name],0))&gt;0,INDEX(techniques[coverage],MATCH(K105,techniques[name],0)),""),"")</f>
        <v/>
      </c>
      <c r="M105" s="45" t="n"/>
      <c r="N105" s="62">
        <f t="array" ref="N105">IF(M105&lt;&gt;"",IF(INDEX(techniques[coverage],MATCH(M105,techniques[name],0))&gt;0,INDEX(techniques[coverage],MATCH(M105,techniques[name],0)),""),"")</f>
        <v/>
      </c>
      <c r="O105" s="45" t="n"/>
      <c r="P105" s="62">
        <f t="array" ref="P105">IF(O105&lt;&gt;"",IF(INDEX(techniques[coverage],MATCH(O105,techniques[name],0))&gt;0,INDEX(techniques[coverage],MATCH(O105,techniques[name],0)),""),"")</f>
        <v/>
      </c>
      <c r="Q105" s="45" t="n"/>
      <c r="R105" s="62">
        <f t="array" ref="R105">IF(Q105&lt;&gt;"",IF(INDEX(techniques[coverage],MATCH(Q105,techniques[name],0))&gt;0,INDEX(techniques[coverage],MATCH(Q105,techniques[name],0)),""),"")</f>
        <v/>
      </c>
      <c r="S105" s="45" t="n"/>
      <c r="T105" s="62">
        <f t="array" ref="T105">IF(S105&lt;&gt;"",IF(INDEX(techniques[coverage],MATCH(S105,techniques[name],0))&gt;0,INDEX(techniques[coverage],MATCH(S105,techniques[name],0)),""),"")</f>
        <v/>
      </c>
      <c r="U105" s="45" t="n"/>
      <c r="V105" s="62">
        <f t="array" ref="V105">IF(U105&lt;&gt;"",IF(INDEX(techniques[coverage],MATCH(U105,techniques[name],0))&gt;0,INDEX(techniques[coverage],MATCH(U105,techniques[name],0)),""),"")</f>
        <v/>
      </c>
      <c r="W105" s="45" t="n"/>
      <c r="X105" s="62">
        <f t="array" ref="X105">IF(W105&lt;&gt;"",IF(INDEX(techniques[coverage],MATCH(W105,techniques[name],0))&gt;0,INDEX(techniques[coverage],MATCH(W105,techniques[name],0)),""),"")</f>
        <v/>
      </c>
      <c r="Y105" s="45" t="n"/>
      <c r="Z105" s="62">
        <f t="array" ref="Z105">IF(Y105&lt;&gt;"",IF(INDEX(techniques[coverage],MATCH(Y105,techniques[name],0))&gt;0,INDEX(techniques[coverage],MATCH(Y105,techniques[name],0)),""),"")</f>
        <v/>
      </c>
      <c r="AA105" s="45" t="n"/>
      <c r="AB105" s="62">
        <f t="array" ref="AB105">IF(AA105&lt;&gt;"",IF(INDEX(techniques[coverage],MATCH(AA105,techniques[name],0))&gt;0,INDEX(techniques[coverage],MATCH(AA105,techniques[name],0)),""),"")</f>
        <v/>
      </c>
      <c r="AC105" s="45" t="n"/>
      <c r="AD105" s="62">
        <f t="array" ref="AD105">IF(AC105&lt;&gt;"",IF(INDEX(techniques[coverage],MATCH(AC105,techniques[name],0))&gt;0,INDEX(techniques[coverage],MATCH(AC105,techniques[name],0)),""),"")</f>
        <v/>
      </c>
    </row>
    <row r="106">
      <c r="A106" s="45" t="n"/>
      <c r="B106" s="62">
        <f t="array" ref="B106">IF(A106&lt;&gt;"",IF(INDEX(techniques[coverage],MATCH(A106,techniques[name],0))&gt;0,INDEX(techniques[coverage],MATCH(A106,techniques[name],0)),""),"")</f>
        <v/>
      </c>
      <c r="C106" s="45" t="n"/>
      <c r="D106" s="62">
        <f t="array" ref="D106">IF(C106&lt;&gt;"",IF(INDEX(techniques[coverage],MATCH(C106,techniques[name],0))&gt;0,INDEX(techniques[coverage],MATCH(C106,techniques[name],0)),""),"")</f>
        <v/>
      </c>
      <c r="E106" s="45" t="n"/>
      <c r="F106" s="62">
        <f t="array" ref="F106">IF(E106&lt;&gt;"",IF(INDEX(techniques[coverage],MATCH(E106,techniques[name],0))&gt;0,INDEX(techniques[coverage],MATCH(E106,techniques[name],0)),""),"")</f>
        <v/>
      </c>
      <c r="G106" s="45" t="n"/>
      <c r="H106" s="62">
        <f t="array" ref="H106">IF(G106&lt;&gt;"",IF(INDEX(techniques[coverage],MATCH(G106,techniques[name],0))&gt;0,INDEX(techniques[coverage],MATCH(G106,techniques[name],0)),""),"")</f>
        <v/>
      </c>
      <c r="I106" s="45" t="n"/>
      <c r="J106" s="62">
        <f t="array" ref="J106">IF(I106&lt;&gt;"",IF(INDEX(techniques[coverage],MATCH(I106,techniques[name],0))&gt;0,INDEX(techniques[coverage],MATCH(I106,techniques[name],0)),""),"")</f>
        <v/>
      </c>
      <c r="K106" s="45" t="n"/>
      <c r="L106" s="62">
        <f t="array" ref="L106">IF(K106&lt;&gt;"",IF(INDEX(techniques[coverage],MATCH(K106,techniques[name],0))&gt;0,INDEX(techniques[coverage],MATCH(K106,techniques[name],0)),""),"")</f>
        <v/>
      </c>
      <c r="M106" s="45" t="n"/>
      <c r="N106" s="62">
        <f t="array" ref="N106">IF(M106&lt;&gt;"",IF(INDEX(techniques[coverage],MATCH(M106,techniques[name],0))&gt;0,INDEX(techniques[coverage],MATCH(M106,techniques[name],0)),""),"")</f>
        <v/>
      </c>
      <c r="O106" s="45" t="n"/>
      <c r="P106" s="62">
        <f t="array" ref="P106">IF(O106&lt;&gt;"",IF(INDEX(techniques[coverage],MATCH(O106,techniques[name],0))&gt;0,INDEX(techniques[coverage],MATCH(O106,techniques[name],0)),""),"")</f>
        <v/>
      </c>
      <c r="Q106" s="45" t="n"/>
      <c r="R106" s="62">
        <f t="array" ref="R106">IF(Q106&lt;&gt;"",IF(INDEX(techniques[coverage],MATCH(Q106,techniques[name],0))&gt;0,INDEX(techniques[coverage],MATCH(Q106,techniques[name],0)),""),"")</f>
        <v/>
      </c>
      <c r="S106" s="45" t="n"/>
      <c r="T106" s="62">
        <f t="array" ref="T106">IF(S106&lt;&gt;"",IF(INDEX(techniques[coverage],MATCH(S106,techniques[name],0))&gt;0,INDEX(techniques[coverage],MATCH(S106,techniques[name],0)),""),"")</f>
        <v/>
      </c>
      <c r="U106" s="45" t="n"/>
      <c r="V106" s="62">
        <f t="array" ref="V106">IF(U106&lt;&gt;"",IF(INDEX(techniques[coverage],MATCH(U106,techniques[name],0))&gt;0,INDEX(techniques[coverage],MATCH(U106,techniques[name],0)),""),"")</f>
        <v/>
      </c>
      <c r="W106" s="45" t="n"/>
      <c r="X106" s="62">
        <f t="array" ref="X106">IF(W106&lt;&gt;"",IF(INDEX(techniques[coverage],MATCH(W106,techniques[name],0))&gt;0,INDEX(techniques[coverage],MATCH(W106,techniques[name],0)),""),"")</f>
        <v/>
      </c>
      <c r="Y106" s="45" t="n"/>
      <c r="Z106" s="62">
        <f t="array" ref="Z106">IF(Y106&lt;&gt;"",IF(INDEX(techniques[coverage],MATCH(Y106,techniques[name],0))&gt;0,INDEX(techniques[coverage],MATCH(Y106,techniques[name],0)),""),"")</f>
        <v/>
      </c>
      <c r="AA106" s="45" t="n"/>
      <c r="AB106" s="62">
        <f t="array" ref="AB106">IF(AA106&lt;&gt;"",IF(INDEX(techniques[coverage],MATCH(AA106,techniques[name],0))&gt;0,INDEX(techniques[coverage],MATCH(AA106,techniques[name],0)),""),"")</f>
        <v/>
      </c>
      <c r="AC106" s="45" t="n"/>
      <c r="AD106" s="62">
        <f t="array" ref="AD106">IF(AC106&lt;&gt;"",IF(INDEX(techniques[coverage],MATCH(AC106,techniques[name],0))&gt;0,INDEX(techniques[coverage],MATCH(AC106,techniques[name],0)),""),"")</f>
        <v/>
      </c>
    </row>
    <row r="107">
      <c r="A107" s="45" t="n"/>
      <c r="B107" s="62">
        <f t="array" ref="B107">IF(A107&lt;&gt;"",IF(INDEX(techniques[coverage],MATCH(A107,techniques[name],0))&gt;0,INDEX(techniques[coverage],MATCH(A107,techniques[name],0)),""),"")</f>
        <v/>
      </c>
      <c r="C107" s="45" t="n"/>
      <c r="D107" s="62">
        <f t="array" ref="D107">IF(C107&lt;&gt;"",IF(INDEX(techniques[coverage],MATCH(C107,techniques[name],0))&gt;0,INDEX(techniques[coverage],MATCH(C107,techniques[name],0)),""),"")</f>
        <v/>
      </c>
      <c r="E107" s="45" t="n"/>
      <c r="F107" s="62">
        <f t="array" ref="F107">IF(E107&lt;&gt;"",IF(INDEX(techniques[coverage],MATCH(E107,techniques[name],0))&gt;0,INDEX(techniques[coverage],MATCH(E107,techniques[name],0)),""),"")</f>
        <v/>
      </c>
      <c r="G107" s="45" t="n"/>
      <c r="H107" s="62">
        <f t="array" ref="H107">IF(G107&lt;&gt;"",IF(INDEX(techniques[coverage],MATCH(G107,techniques[name],0))&gt;0,INDEX(techniques[coverage],MATCH(G107,techniques[name],0)),""),"")</f>
        <v/>
      </c>
      <c r="I107" s="45" t="n"/>
      <c r="J107" s="62">
        <f t="array" ref="J107">IF(I107&lt;&gt;"",IF(INDEX(techniques[coverage],MATCH(I107,techniques[name],0))&gt;0,INDEX(techniques[coverage],MATCH(I107,techniques[name],0)),""),"")</f>
        <v/>
      </c>
      <c r="K107" s="45" t="n"/>
      <c r="L107" s="62">
        <f t="array" ref="L107">IF(K107&lt;&gt;"",IF(INDEX(techniques[coverage],MATCH(K107,techniques[name],0))&gt;0,INDEX(techniques[coverage],MATCH(K107,techniques[name],0)),""),"")</f>
        <v/>
      </c>
      <c r="M107" s="45" t="n"/>
      <c r="N107" s="62">
        <f t="array" ref="N107">IF(M107&lt;&gt;"",IF(INDEX(techniques[coverage],MATCH(M107,techniques[name],0))&gt;0,INDEX(techniques[coverage],MATCH(M107,techniques[name],0)),""),"")</f>
        <v/>
      </c>
      <c r="O107" s="45" t="n"/>
      <c r="P107" s="62">
        <f t="array" ref="P107">IF(O107&lt;&gt;"",IF(INDEX(techniques[coverage],MATCH(O107,techniques[name],0))&gt;0,INDEX(techniques[coverage],MATCH(O107,techniques[name],0)),""),"")</f>
        <v/>
      </c>
      <c r="Q107" s="45" t="n"/>
      <c r="R107" s="62">
        <f t="array" ref="R107">IF(Q107&lt;&gt;"",IF(INDEX(techniques[coverage],MATCH(Q107,techniques[name],0))&gt;0,INDEX(techniques[coverage],MATCH(Q107,techniques[name],0)),""),"")</f>
        <v/>
      </c>
      <c r="S107" s="45" t="n"/>
      <c r="T107" s="62">
        <f t="array" ref="T107">IF(S107&lt;&gt;"",IF(INDEX(techniques[coverage],MATCH(S107,techniques[name],0))&gt;0,INDEX(techniques[coverage],MATCH(S107,techniques[name],0)),""),"")</f>
        <v/>
      </c>
      <c r="U107" s="45" t="n"/>
      <c r="V107" s="62">
        <f t="array" ref="V107">IF(U107&lt;&gt;"",IF(INDEX(techniques[coverage],MATCH(U107,techniques[name],0))&gt;0,INDEX(techniques[coverage],MATCH(U107,techniques[name],0)),""),"")</f>
        <v/>
      </c>
      <c r="W107" s="45" t="n"/>
      <c r="X107" s="62">
        <f t="array" ref="X107">IF(W107&lt;&gt;"",IF(INDEX(techniques[coverage],MATCH(W107,techniques[name],0))&gt;0,INDEX(techniques[coverage],MATCH(W107,techniques[name],0)),""),"")</f>
        <v/>
      </c>
      <c r="Y107" s="45" t="n"/>
      <c r="Z107" s="62">
        <f t="array" ref="Z107">IF(Y107&lt;&gt;"",IF(INDEX(techniques[coverage],MATCH(Y107,techniques[name],0))&gt;0,INDEX(techniques[coverage],MATCH(Y107,techniques[name],0)),""),"")</f>
        <v/>
      </c>
      <c r="AA107" s="45" t="n"/>
      <c r="AB107" s="62">
        <f t="array" ref="AB107">IF(AA107&lt;&gt;"",IF(INDEX(techniques[coverage],MATCH(AA107,techniques[name],0))&gt;0,INDEX(techniques[coverage],MATCH(AA107,techniques[name],0)),""),"")</f>
        <v/>
      </c>
      <c r="AC107" s="45" t="n"/>
      <c r="AD107" s="62">
        <f t="array" ref="AD107">IF(AC107&lt;&gt;"",IF(INDEX(techniques[coverage],MATCH(AC107,techniques[name],0))&gt;0,INDEX(techniques[coverage],MATCH(AC107,techniques[name],0)),""),"")</f>
        <v/>
      </c>
    </row>
    <row r="108">
      <c r="A108" s="45" t="n"/>
      <c r="B108" s="62">
        <f t="array" ref="B108">IF(A108&lt;&gt;"",IF(INDEX(techniques[coverage],MATCH(A108,techniques[name],0))&gt;0,INDEX(techniques[coverage],MATCH(A108,techniques[name],0)),""),"")</f>
        <v/>
      </c>
      <c r="C108" s="45" t="n"/>
      <c r="D108" s="62">
        <f t="array" ref="D108">IF(C108&lt;&gt;"",IF(INDEX(techniques[coverage],MATCH(C108,techniques[name],0))&gt;0,INDEX(techniques[coverage],MATCH(C108,techniques[name],0)),""),"")</f>
        <v/>
      </c>
      <c r="E108" s="45" t="n"/>
      <c r="F108" s="62">
        <f t="array" ref="F108">IF(E108&lt;&gt;"",IF(INDEX(techniques[coverage],MATCH(E108,techniques[name],0))&gt;0,INDEX(techniques[coverage],MATCH(E108,techniques[name],0)),""),"")</f>
        <v/>
      </c>
      <c r="G108" s="45" t="n"/>
      <c r="H108" s="62">
        <f t="array" ref="H108">IF(G108&lt;&gt;"",IF(INDEX(techniques[coverage],MATCH(G108,techniques[name],0))&gt;0,INDEX(techniques[coverage],MATCH(G108,techniques[name],0)),""),"")</f>
        <v/>
      </c>
      <c r="I108" s="45" t="n"/>
      <c r="J108" s="62">
        <f t="array" ref="J108">IF(I108&lt;&gt;"",IF(INDEX(techniques[coverage],MATCH(I108,techniques[name],0))&gt;0,INDEX(techniques[coverage],MATCH(I108,techniques[name],0)),""),"")</f>
        <v/>
      </c>
      <c r="K108" s="45" t="n"/>
      <c r="L108" s="62">
        <f t="array" ref="L108">IF(K108&lt;&gt;"",IF(INDEX(techniques[coverage],MATCH(K108,techniques[name],0))&gt;0,INDEX(techniques[coverage],MATCH(K108,techniques[name],0)),""),"")</f>
        <v/>
      </c>
      <c r="M108" s="45" t="n"/>
      <c r="N108" s="62">
        <f t="array" ref="N108">IF(M108&lt;&gt;"",IF(INDEX(techniques[coverage],MATCH(M108,techniques[name],0))&gt;0,INDEX(techniques[coverage],MATCH(M108,techniques[name],0)),""),"")</f>
        <v/>
      </c>
      <c r="O108" s="45" t="n"/>
      <c r="P108" s="62">
        <f t="array" ref="P108">IF(O108&lt;&gt;"",IF(INDEX(techniques[coverage],MATCH(O108,techniques[name],0))&gt;0,INDEX(techniques[coverage],MATCH(O108,techniques[name],0)),""),"")</f>
        <v/>
      </c>
      <c r="Q108" s="45" t="n"/>
      <c r="R108" s="62">
        <f t="array" ref="R108">IF(Q108&lt;&gt;"",IF(INDEX(techniques[coverage],MATCH(Q108,techniques[name],0))&gt;0,INDEX(techniques[coverage],MATCH(Q108,techniques[name],0)),""),"")</f>
        <v/>
      </c>
      <c r="S108" s="45" t="n"/>
      <c r="T108" s="62">
        <f t="array" ref="T108">IF(S108&lt;&gt;"",IF(INDEX(techniques[coverage],MATCH(S108,techniques[name],0))&gt;0,INDEX(techniques[coverage],MATCH(S108,techniques[name],0)),""),"")</f>
        <v/>
      </c>
      <c r="U108" s="45" t="n"/>
      <c r="V108" s="62">
        <f t="array" ref="V108">IF(U108&lt;&gt;"",IF(INDEX(techniques[coverage],MATCH(U108,techniques[name],0))&gt;0,INDEX(techniques[coverage],MATCH(U108,techniques[name],0)),""),"")</f>
        <v/>
      </c>
      <c r="W108" s="45" t="n"/>
      <c r="X108" s="62">
        <f t="array" ref="X108">IF(W108&lt;&gt;"",IF(INDEX(techniques[coverage],MATCH(W108,techniques[name],0))&gt;0,INDEX(techniques[coverage],MATCH(W108,techniques[name],0)),""),"")</f>
        <v/>
      </c>
      <c r="Y108" s="45" t="n"/>
      <c r="Z108" s="62">
        <f t="array" ref="Z108">IF(Y108&lt;&gt;"",IF(INDEX(techniques[coverage],MATCH(Y108,techniques[name],0))&gt;0,INDEX(techniques[coverage],MATCH(Y108,techniques[name],0)),""),"")</f>
        <v/>
      </c>
      <c r="AA108" s="45" t="n"/>
      <c r="AB108" s="62">
        <f t="array" ref="AB108">IF(AA108&lt;&gt;"",IF(INDEX(techniques[coverage],MATCH(AA108,techniques[name],0))&gt;0,INDEX(techniques[coverage],MATCH(AA108,techniques[name],0)),""),"")</f>
        <v/>
      </c>
      <c r="AC108" s="45" t="n"/>
      <c r="AD108" s="62">
        <f t="array" ref="AD108">IF(AC108&lt;&gt;"",IF(INDEX(techniques[coverage],MATCH(AC108,techniques[name],0))&gt;0,INDEX(techniques[coverage],MATCH(AC108,techniques[name],0)),""),"")</f>
        <v/>
      </c>
    </row>
    <row r="109">
      <c r="A109" s="45" t="n"/>
      <c r="B109" s="62">
        <f t="array" ref="B109">IF(A109&lt;&gt;"",IF(INDEX(techniques[coverage],MATCH(A109,techniques[name],0))&gt;0,INDEX(techniques[coverage],MATCH(A109,techniques[name],0)),""),"")</f>
        <v/>
      </c>
      <c r="C109" s="45" t="n"/>
      <c r="D109" s="62">
        <f t="array" ref="D109">IF(C109&lt;&gt;"",IF(INDEX(techniques[coverage],MATCH(C109,techniques[name],0))&gt;0,INDEX(techniques[coverage],MATCH(C109,techniques[name],0)),""),"")</f>
        <v/>
      </c>
      <c r="E109" s="45" t="n"/>
      <c r="F109" s="62">
        <f t="array" ref="F109">IF(E109&lt;&gt;"",IF(INDEX(techniques[coverage],MATCH(E109,techniques[name],0))&gt;0,INDEX(techniques[coverage],MATCH(E109,techniques[name],0)),""),"")</f>
        <v/>
      </c>
      <c r="G109" s="45" t="n"/>
      <c r="H109" s="62">
        <f t="array" ref="H109">IF(G109&lt;&gt;"",IF(INDEX(techniques[coverage],MATCH(G109,techniques[name],0))&gt;0,INDEX(techniques[coverage],MATCH(G109,techniques[name],0)),""),"")</f>
        <v/>
      </c>
      <c r="I109" s="45" t="n"/>
      <c r="J109" s="62">
        <f t="array" ref="J109">IF(I109&lt;&gt;"",IF(INDEX(techniques[coverage],MATCH(I109,techniques[name],0))&gt;0,INDEX(techniques[coverage],MATCH(I109,techniques[name],0)),""),"")</f>
        <v/>
      </c>
      <c r="K109" s="45" t="n"/>
      <c r="L109" s="62">
        <f t="array" ref="L109">IF(K109&lt;&gt;"",IF(INDEX(techniques[coverage],MATCH(K109,techniques[name],0))&gt;0,INDEX(techniques[coverage],MATCH(K109,techniques[name],0)),""),"")</f>
        <v/>
      </c>
      <c r="M109" s="45" t="n"/>
      <c r="N109" s="62">
        <f t="array" ref="N109">IF(M109&lt;&gt;"",IF(INDEX(techniques[coverage],MATCH(M109,techniques[name],0))&gt;0,INDEX(techniques[coverage],MATCH(M109,techniques[name],0)),""),"")</f>
        <v/>
      </c>
      <c r="O109" s="45" t="n"/>
      <c r="P109" s="62">
        <f t="array" ref="P109">IF(O109&lt;&gt;"",IF(INDEX(techniques[coverage],MATCH(O109,techniques[name],0))&gt;0,INDEX(techniques[coverage],MATCH(O109,techniques[name],0)),""),"")</f>
        <v/>
      </c>
      <c r="Q109" s="45" t="n"/>
      <c r="R109" s="62">
        <f t="array" ref="R109">IF(Q109&lt;&gt;"",IF(INDEX(techniques[coverage],MATCH(Q109,techniques[name],0))&gt;0,INDEX(techniques[coverage],MATCH(Q109,techniques[name],0)),""),"")</f>
        <v/>
      </c>
      <c r="S109" s="45" t="n"/>
      <c r="T109" s="62">
        <f t="array" ref="T109">IF(S109&lt;&gt;"",IF(INDEX(techniques[coverage],MATCH(S109,techniques[name],0))&gt;0,INDEX(techniques[coverage],MATCH(S109,techniques[name],0)),""),"")</f>
        <v/>
      </c>
      <c r="U109" s="45" t="n"/>
      <c r="V109" s="62">
        <f t="array" ref="V109">IF(U109&lt;&gt;"",IF(INDEX(techniques[coverage],MATCH(U109,techniques[name],0))&gt;0,INDEX(techniques[coverage],MATCH(U109,techniques[name],0)),""),"")</f>
        <v/>
      </c>
      <c r="W109" s="45" t="n"/>
      <c r="X109" s="62">
        <f t="array" ref="X109">IF(W109&lt;&gt;"",IF(INDEX(techniques[coverage],MATCH(W109,techniques[name],0))&gt;0,INDEX(techniques[coverage],MATCH(W109,techniques[name],0)),""),"")</f>
        <v/>
      </c>
      <c r="Y109" s="45" t="n"/>
      <c r="Z109" s="62">
        <f t="array" ref="Z109">IF(Y109&lt;&gt;"",IF(INDEX(techniques[coverage],MATCH(Y109,techniques[name],0))&gt;0,INDEX(techniques[coverage],MATCH(Y109,techniques[name],0)),""),"")</f>
        <v/>
      </c>
      <c r="AA109" s="45" t="n"/>
      <c r="AB109" s="62">
        <f t="array" ref="AB109">IF(AA109&lt;&gt;"",IF(INDEX(techniques[coverage],MATCH(AA109,techniques[name],0))&gt;0,INDEX(techniques[coverage],MATCH(AA109,techniques[name],0)),""),"")</f>
        <v/>
      </c>
      <c r="AC109" s="45" t="n"/>
      <c r="AD109" s="62">
        <f t="array" ref="AD109">IF(AC109&lt;&gt;"",IF(INDEX(techniques[coverage],MATCH(AC109,techniques[name],0))&gt;0,INDEX(techniques[coverage],MATCH(AC109,techniques[name],0)),""),"")</f>
        <v/>
      </c>
    </row>
    <row r="110">
      <c r="A110" s="45" t="n"/>
      <c r="B110" s="62">
        <f t="array" ref="B110">IF(A110&lt;&gt;"",IF(INDEX(techniques[coverage],MATCH(A110,techniques[name],0))&gt;0,INDEX(techniques[coverage],MATCH(A110,techniques[name],0)),""),"")</f>
        <v/>
      </c>
      <c r="C110" s="45" t="n"/>
      <c r="D110" s="62">
        <f t="array" ref="D110">IF(C110&lt;&gt;"",IF(INDEX(techniques[coverage],MATCH(C110,techniques[name],0))&gt;0,INDEX(techniques[coverage],MATCH(C110,techniques[name],0)),""),"")</f>
        <v/>
      </c>
      <c r="E110" s="45" t="n"/>
      <c r="F110" s="62">
        <f t="array" ref="F110">IF(E110&lt;&gt;"",IF(INDEX(techniques[coverage],MATCH(E110,techniques[name],0))&gt;0,INDEX(techniques[coverage],MATCH(E110,techniques[name],0)),""),"")</f>
        <v/>
      </c>
      <c r="G110" s="45" t="n"/>
      <c r="H110" s="62">
        <f t="array" ref="H110">IF(G110&lt;&gt;"",IF(INDEX(techniques[coverage],MATCH(G110,techniques[name],0))&gt;0,INDEX(techniques[coverage],MATCH(G110,techniques[name],0)),""),"")</f>
        <v/>
      </c>
      <c r="I110" s="45" t="n"/>
      <c r="J110" s="62">
        <f t="array" ref="J110">IF(I110&lt;&gt;"",IF(INDEX(techniques[coverage],MATCH(I110,techniques[name],0))&gt;0,INDEX(techniques[coverage],MATCH(I110,techniques[name],0)),""),"")</f>
        <v/>
      </c>
      <c r="K110" s="45" t="n"/>
      <c r="L110" s="62">
        <f t="array" ref="L110">IF(K110&lt;&gt;"",IF(INDEX(techniques[coverage],MATCH(K110,techniques[name],0))&gt;0,INDEX(techniques[coverage],MATCH(K110,techniques[name],0)),""),"")</f>
        <v/>
      </c>
      <c r="M110" s="45" t="n"/>
      <c r="N110" s="62">
        <f t="array" ref="N110">IF(M110&lt;&gt;"",IF(INDEX(techniques[coverage],MATCH(M110,techniques[name],0))&gt;0,INDEX(techniques[coverage],MATCH(M110,techniques[name],0)),""),"")</f>
        <v/>
      </c>
      <c r="O110" s="45" t="n"/>
      <c r="P110" s="62">
        <f t="array" ref="P110">IF(O110&lt;&gt;"",IF(INDEX(techniques[coverage],MATCH(O110,techniques[name],0))&gt;0,INDEX(techniques[coverage],MATCH(O110,techniques[name],0)),""),"")</f>
        <v/>
      </c>
      <c r="Q110" s="45" t="n"/>
      <c r="R110" s="62">
        <f t="array" ref="R110">IF(Q110&lt;&gt;"",IF(INDEX(techniques[coverage],MATCH(Q110,techniques[name],0))&gt;0,INDEX(techniques[coverage],MATCH(Q110,techniques[name],0)),""),"")</f>
        <v/>
      </c>
      <c r="S110" s="45" t="n"/>
      <c r="T110" s="62">
        <f t="array" ref="T110">IF(S110&lt;&gt;"",IF(INDEX(techniques[coverage],MATCH(S110,techniques[name],0))&gt;0,INDEX(techniques[coverage],MATCH(S110,techniques[name],0)),""),"")</f>
        <v/>
      </c>
      <c r="U110" s="45" t="n"/>
      <c r="V110" s="62">
        <f t="array" ref="V110">IF(U110&lt;&gt;"",IF(INDEX(techniques[coverage],MATCH(U110,techniques[name],0))&gt;0,INDEX(techniques[coverage],MATCH(U110,techniques[name],0)),""),"")</f>
        <v/>
      </c>
      <c r="W110" s="45" t="n"/>
      <c r="X110" s="62">
        <f t="array" ref="X110">IF(W110&lt;&gt;"",IF(INDEX(techniques[coverage],MATCH(W110,techniques[name],0))&gt;0,INDEX(techniques[coverage],MATCH(W110,techniques[name],0)),""),"")</f>
        <v/>
      </c>
      <c r="Y110" s="45" t="n"/>
      <c r="Z110" s="62">
        <f t="array" ref="Z110">IF(Y110&lt;&gt;"",IF(INDEX(techniques[coverage],MATCH(Y110,techniques[name],0))&gt;0,INDEX(techniques[coverage],MATCH(Y110,techniques[name],0)),""),"")</f>
        <v/>
      </c>
      <c r="AA110" s="45" t="n"/>
      <c r="AB110" s="62">
        <f t="array" ref="AB110">IF(AA110&lt;&gt;"",IF(INDEX(techniques[coverage],MATCH(AA110,techniques[name],0))&gt;0,INDEX(techniques[coverage],MATCH(AA110,techniques[name],0)),""),"")</f>
        <v/>
      </c>
      <c r="AC110" s="45" t="n"/>
      <c r="AD110" s="62">
        <f t="array" ref="AD110">IF(AC110&lt;&gt;"",IF(INDEX(techniques[coverage],MATCH(AC110,techniques[name],0))&gt;0,INDEX(techniques[coverage],MATCH(AC110,techniques[name],0)),""),"")</f>
        <v/>
      </c>
    </row>
    <row r="111">
      <c r="A111" s="45" t="n"/>
      <c r="B111" s="62">
        <f t="array" ref="B111">IF(A111&lt;&gt;"",IF(INDEX(techniques[coverage],MATCH(A111,techniques[name],0))&gt;0,INDEX(techniques[coverage],MATCH(A111,techniques[name],0)),""),"")</f>
        <v/>
      </c>
      <c r="C111" s="45" t="n"/>
      <c r="D111" s="62">
        <f t="array" ref="D111">IF(C111&lt;&gt;"",IF(INDEX(techniques[coverage],MATCH(C111,techniques[name],0))&gt;0,INDEX(techniques[coverage],MATCH(C111,techniques[name],0)),""),"")</f>
        <v/>
      </c>
      <c r="E111" s="45" t="n"/>
      <c r="F111" s="62">
        <f t="array" ref="F111">IF(E111&lt;&gt;"",IF(INDEX(techniques[coverage],MATCH(E111,techniques[name],0))&gt;0,INDEX(techniques[coverage],MATCH(E111,techniques[name],0)),""),"")</f>
        <v/>
      </c>
      <c r="G111" s="45" t="n"/>
      <c r="H111" s="62">
        <f t="array" ref="H111">IF(G111&lt;&gt;"",IF(INDEX(techniques[coverage],MATCH(G111,techniques[name],0))&gt;0,INDEX(techniques[coverage],MATCH(G111,techniques[name],0)),""),"")</f>
        <v/>
      </c>
      <c r="I111" s="45" t="n"/>
      <c r="J111" s="62">
        <f t="array" ref="J111">IF(I111&lt;&gt;"",IF(INDEX(techniques[coverage],MATCH(I111,techniques[name],0))&gt;0,INDEX(techniques[coverage],MATCH(I111,techniques[name],0)),""),"")</f>
        <v/>
      </c>
      <c r="K111" s="45" t="n"/>
      <c r="L111" s="62">
        <f t="array" ref="L111">IF(K111&lt;&gt;"",IF(INDEX(techniques[coverage],MATCH(K111,techniques[name],0))&gt;0,INDEX(techniques[coverage],MATCH(K111,techniques[name],0)),""),"")</f>
        <v/>
      </c>
      <c r="M111" s="45" t="n"/>
      <c r="N111" s="62">
        <f t="array" ref="N111">IF(M111&lt;&gt;"",IF(INDEX(techniques[coverage],MATCH(M111,techniques[name],0))&gt;0,INDEX(techniques[coverage],MATCH(M111,techniques[name],0)),""),"")</f>
        <v/>
      </c>
      <c r="O111" s="45" t="n"/>
      <c r="P111" s="62">
        <f t="array" ref="P111">IF(O111&lt;&gt;"",IF(INDEX(techniques[coverage],MATCH(O111,techniques[name],0))&gt;0,INDEX(techniques[coverage],MATCH(O111,techniques[name],0)),""),"")</f>
        <v/>
      </c>
      <c r="Q111" s="45" t="n"/>
      <c r="R111" s="62">
        <f t="array" ref="R111">IF(Q111&lt;&gt;"",IF(INDEX(techniques[coverage],MATCH(Q111,techniques[name],0))&gt;0,INDEX(techniques[coverage],MATCH(Q111,techniques[name],0)),""),"")</f>
        <v/>
      </c>
      <c r="S111" s="45" t="n"/>
      <c r="T111" s="62">
        <f t="array" ref="T111">IF(S111&lt;&gt;"",IF(INDEX(techniques[coverage],MATCH(S111,techniques[name],0))&gt;0,INDEX(techniques[coverage],MATCH(S111,techniques[name],0)),""),"")</f>
        <v/>
      </c>
      <c r="U111" s="45" t="n"/>
      <c r="V111" s="62">
        <f t="array" ref="V111">IF(U111&lt;&gt;"",IF(INDEX(techniques[coverage],MATCH(U111,techniques[name],0))&gt;0,INDEX(techniques[coverage],MATCH(U111,techniques[name],0)),""),"")</f>
        <v/>
      </c>
      <c r="W111" s="45" t="n"/>
      <c r="X111" s="62">
        <f t="array" ref="X111">IF(W111&lt;&gt;"",IF(INDEX(techniques[coverage],MATCH(W111,techniques[name],0))&gt;0,INDEX(techniques[coverage],MATCH(W111,techniques[name],0)),""),"")</f>
        <v/>
      </c>
      <c r="Y111" s="45" t="n"/>
      <c r="Z111" s="62">
        <f t="array" ref="Z111">IF(Y111&lt;&gt;"",IF(INDEX(techniques[coverage],MATCH(Y111,techniques[name],0))&gt;0,INDEX(techniques[coverage],MATCH(Y111,techniques[name],0)),""),"")</f>
        <v/>
      </c>
      <c r="AA111" s="45" t="n"/>
      <c r="AB111" s="62">
        <f t="array" ref="AB111">IF(AA111&lt;&gt;"",IF(INDEX(techniques[coverage],MATCH(AA111,techniques[name],0))&gt;0,INDEX(techniques[coverage],MATCH(AA111,techniques[name],0)),""),"")</f>
        <v/>
      </c>
      <c r="AC111" s="45" t="n"/>
      <c r="AD111" s="62">
        <f t="array" ref="AD111">IF(AC111&lt;&gt;"",IF(INDEX(techniques[coverage],MATCH(AC111,techniques[name],0))&gt;0,INDEX(techniques[coverage],MATCH(AC111,techniques[name],0)),""),"")</f>
        <v/>
      </c>
    </row>
    <row r="112">
      <c r="A112" s="45" t="n"/>
      <c r="B112" s="62">
        <f t="array" ref="B112">IF(A112&lt;&gt;"",IF(INDEX(techniques[coverage],MATCH(A112,techniques[name],0))&gt;0,INDEX(techniques[coverage],MATCH(A112,techniques[name],0)),""),"")</f>
        <v/>
      </c>
      <c r="C112" s="45" t="n"/>
      <c r="D112" s="62">
        <f t="array" ref="D112">IF(C112&lt;&gt;"",IF(INDEX(techniques[coverage],MATCH(C112,techniques[name],0))&gt;0,INDEX(techniques[coverage],MATCH(C112,techniques[name],0)),""),"")</f>
        <v/>
      </c>
      <c r="E112" s="45" t="n"/>
      <c r="F112" s="62">
        <f t="array" ref="F112">IF(E112&lt;&gt;"",IF(INDEX(techniques[coverage],MATCH(E112,techniques[name],0))&gt;0,INDEX(techniques[coverage],MATCH(E112,techniques[name],0)),""),"")</f>
        <v/>
      </c>
      <c r="G112" s="45" t="n"/>
      <c r="H112" s="62">
        <f t="array" ref="H112">IF(G112&lt;&gt;"",IF(INDEX(techniques[coverage],MATCH(G112,techniques[name],0))&gt;0,INDEX(techniques[coverage],MATCH(G112,techniques[name],0)),""),"")</f>
        <v/>
      </c>
      <c r="I112" s="45" t="n"/>
      <c r="J112" s="62">
        <f t="array" ref="J112">IF(I112&lt;&gt;"",IF(INDEX(techniques[coverage],MATCH(I112,techniques[name],0))&gt;0,INDEX(techniques[coverage],MATCH(I112,techniques[name],0)),""),"")</f>
        <v/>
      </c>
      <c r="K112" s="45" t="n"/>
      <c r="L112" s="62">
        <f t="array" ref="L112">IF(K112&lt;&gt;"",IF(INDEX(techniques[coverage],MATCH(K112,techniques[name],0))&gt;0,INDEX(techniques[coverage],MATCH(K112,techniques[name],0)),""),"")</f>
        <v/>
      </c>
      <c r="M112" s="45" t="n"/>
      <c r="N112" s="62">
        <f t="array" ref="N112">IF(M112&lt;&gt;"",IF(INDEX(techniques[coverage],MATCH(M112,techniques[name],0))&gt;0,INDEX(techniques[coverage],MATCH(M112,techniques[name],0)),""),"")</f>
        <v/>
      </c>
      <c r="O112" s="45" t="n"/>
      <c r="P112" s="62">
        <f t="array" ref="P112">IF(O112&lt;&gt;"",IF(INDEX(techniques[coverage],MATCH(O112,techniques[name],0))&gt;0,INDEX(techniques[coverage],MATCH(O112,techniques[name],0)),""),"")</f>
        <v/>
      </c>
      <c r="Q112" s="45" t="n"/>
      <c r="R112" s="62">
        <f t="array" ref="R112">IF(Q112&lt;&gt;"",IF(INDEX(techniques[coverage],MATCH(Q112,techniques[name],0))&gt;0,INDEX(techniques[coverage],MATCH(Q112,techniques[name],0)),""),"")</f>
        <v/>
      </c>
      <c r="S112" s="45" t="n"/>
      <c r="T112" s="62">
        <f t="array" ref="T112">IF(S112&lt;&gt;"",IF(INDEX(techniques[coverage],MATCH(S112,techniques[name],0))&gt;0,INDEX(techniques[coverage],MATCH(S112,techniques[name],0)),""),"")</f>
        <v/>
      </c>
      <c r="U112" s="45" t="n"/>
      <c r="V112" s="62">
        <f t="array" ref="V112">IF(U112&lt;&gt;"",IF(INDEX(techniques[coverage],MATCH(U112,techniques[name],0))&gt;0,INDEX(techniques[coverage],MATCH(U112,techniques[name],0)),""),"")</f>
        <v/>
      </c>
      <c r="W112" s="45" t="n"/>
      <c r="X112" s="62">
        <f t="array" ref="X112">IF(W112&lt;&gt;"",IF(INDEX(techniques[coverage],MATCH(W112,techniques[name],0))&gt;0,INDEX(techniques[coverage],MATCH(W112,techniques[name],0)),""),"")</f>
        <v/>
      </c>
      <c r="Y112" s="45" t="n"/>
      <c r="Z112" s="62">
        <f t="array" ref="Z112">IF(Y112&lt;&gt;"",IF(INDEX(techniques[coverage],MATCH(Y112,techniques[name],0))&gt;0,INDEX(techniques[coverage],MATCH(Y112,techniques[name],0)),""),"")</f>
        <v/>
      </c>
      <c r="AA112" s="45" t="n"/>
      <c r="AB112" s="62">
        <f t="array" ref="AB112">IF(AA112&lt;&gt;"",IF(INDEX(techniques[coverage],MATCH(AA112,techniques[name],0))&gt;0,INDEX(techniques[coverage],MATCH(AA112,techniques[name],0)),""),"")</f>
        <v/>
      </c>
      <c r="AC112" s="45" t="n"/>
      <c r="AD112" s="62">
        <f t="array" ref="AD112">IF(AC112&lt;&gt;"",IF(INDEX(techniques[coverage],MATCH(AC112,techniques[name],0))&gt;0,INDEX(techniques[coverage],MATCH(AC112,techniques[name],0)),""),"")</f>
        <v/>
      </c>
    </row>
    <row r="113">
      <c r="A113" s="45" t="n"/>
      <c r="B113" s="62">
        <f t="array" ref="B113">IF(A113&lt;&gt;"",IF(INDEX(techniques[coverage],MATCH(A113,techniques[name],0))&gt;0,INDEX(techniques[coverage],MATCH(A113,techniques[name],0)),""),"")</f>
        <v/>
      </c>
      <c r="C113" s="45" t="n"/>
      <c r="D113" s="62">
        <f t="array" ref="D113">IF(C113&lt;&gt;"",IF(INDEX(techniques[coverage],MATCH(C113,techniques[name],0))&gt;0,INDEX(techniques[coverage],MATCH(C113,techniques[name],0)),""),"")</f>
        <v/>
      </c>
      <c r="E113" s="45" t="n"/>
      <c r="F113" s="62">
        <f t="array" ref="F113">IF(E113&lt;&gt;"",IF(INDEX(techniques[coverage],MATCH(E113,techniques[name],0))&gt;0,INDEX(techniques[coverage],MATCH(E113,techniques[name],0)),""),"")</f>
        <v/>
      </c>
      <c r="G113" s="45" t="n"/>
      <c r="H113" s="62">
        <f t="array" ref="H113">IF(G113&lt;&gt;"",IF(INDEX(techniques[coverage],MATCH(G113,techniques[name],0))&gt;0,INDEX(techniques[coverage],MATCH(G113,techniques[name],0)),""),"")</f>
        <v/>
      </c>
      <c r="I113" s="45" t="n"/>
      <c r="J113" s="62">
        <f t="array" ref="J113">IF(I113&lt;&gt;"",IF(INDEX(techniques[coverage],MATCH(I113,techniques[name],0))&gt;0,INDEX(techniques[coverage],MATCH(I113,techniques[name],0)),""),"")</f>
        <v/>
      </c>
      <c r="K113" s="45" t="n"/>
      <c r="L113" s="62">
        <f t="array" ref="L113">IF(K113&lt;&gt;"",IF(INDEX(techniques[coverage],MATCH(K113,techniques[name],0))&gt;0,INDEX(techniques[coverage],MATCH(K113,techniques[name],0)),""),"")</f>
        <v/>
      </c>
      <c r="M113" s="45" t="n"/>
      <c r="N113" s="62">
        <f t="array" ref="N113">IF(M113&lt;&gt;"",IF(INDEX(techniques[coverage],MATCH(M113,techniques[name],0))&gt;0,INDEX(techniques[coverage],MATCH(M113,techniques[name],0)),""),"")</f>
        <v/>
      </c>
      <c r="O113" s="45" t="n"/>
      <c r="P113" s="62">
        <f t="array" ref="P113">IF(O113&lt;&gt;"",IF(INDEX(techniques[coverage],MATCH(O113,techniques[name],0))&gt;0,INDEX(techniques[coverage],MATCH(O113,techniques[name],0)),""),"")</f>
        <v/>
      </c>
      <c r="Q113" s="45" t="n"/>
      <c r="R113" s="62">
        <f t="array" ref="R113">IF(Q113&lt;&gt;"",IF(INDEX(techniques[coverage],MATCH(Q113,techniques[name],0))&gt;0,INDEX(techniques[coverage],MATCH(Q113,techniques[name],0)),""),"")</f>
        <v/>
      </c>
      <c r="S113" s="45" t="n"/>
      <c r="T113" s="62">
        <f t="array" ref="T113">IF(S113&lt;&gt;"",IF(INDEX(techniques[coverage],MATCH(S113,techniques[name],0))&gt;0,INDEX(techniques[coverage],MATCH(S113,techniques[name],0)),""),"")</f>
        <v/>
      </c>
      <c r="U113" s="45" t="n"/>
      <c r="V113" s="62">
        <f t="array" ref="V113">IF(U113&lt;&gt;"",IF(INDEX(techniques[coverage],MATCH(U113,techniques[name],0))&gt;0,INDEX(techniques[coverage],MATCH(U113,techniques[name],0)),""),"")</f>
        <v/>
      </c>
      <c r="W113" s="45" t="n"/>
      <c r="X113" s="62">
        <f t="array" ref="X113">IF(W113&lt;&gt;"",IF(INDEX(techniques[coverage],MATCH(W113,techniques[name],0))&gt;0,INDEX(techniques[coverage],MATCH(W113,techniques[name],0)),""),"")</f>
        <v/>
      </c>
      <c r="Y113" s="45" t="n"/>
      <c r="Z113" s="62">
        <f t="array" ref="Z113">IF(Y113&lt;&gt;"",IF(INDEX(techniques[coverage],MATCH(Y113,techniques[name],0))&gt;0,INDEX(techniques[coverage],MATCH(Y113,techniques[name],0)),""),"")</f>
        <v/>
      </c>
      <c r="AA113" s="45" t="n"/>
      <c r="AB113" s="62">
        <f t="array" ref="AB113">IF(AA113&lt;&gt;"",IF(INDEX(techniques[coverage],MATCH(AA113,techniques[name],0))&gt;0,INDEX(techniques[coverage],MATCH(AA113,techniques[name],0)),""),"")</f>
        <v/>
      </c>
      <c r="AC113" s="45" t="n"/>
      <c r="AD113" s="62">
        <f t="array" ref="AD113">IF(AC113&lt;&gt;"",IF(INDEX(techniques[coverage],MATCH(AC113,techniques[name],0))&gt;0,INDEX(techniques[coverage],MATCH(AC113,techniques[name],0)),""),"")</f>
        <v/>
      </c>
    </row>
    <row r="114">
      <c r="A114" s="45" t="n"/>
      <c r="B114" s="62">
        <f t="array" ref="B114">IF(A114&lt;&gt;"",IF(INDEX(techniques[coverage],MATCH(A114,techniques[name],0))&gt;0,INDEX(techniques[coverage],MATCH(A114,techniques[name],0)),""),"")</f>
        <v/>
      </c>
      <c r="C114" s="45" t="n"/>
      <c r="D114" s="62">
        <f t="array" ref="D114">IF(C114&lt;&gt;"",IF(INDEX(techniques[coverage],MATCH(C114,techniques[name],0))&gt;0,INDEX(techniques[coverage],MATCH(C114,techniques[name],0)),""),"")</f>
        <v/>
      </c>
      <c r="E114" s="45" t="n"/>
      <c r="F114" s="62">
        <f t="array" ref="F114">IF(E114&lt;&gt;"",IF(INDEX(techniques[coverage],MATCH(E114,techniques[name],0))&gt;0,INDEX(techniques[coverage],MATCH(E114,techniques[name],0)),""),"")</f>
        <v/>
      </c>
      <c r="G114" s="45" t="n"/>
      <c r="H114" s="62">
        <f t="array" ref="H114">IF(G114&lt;&gt;"",IF(INDEX(techniques[coverage],MATCH(G114,techniques[name],0))&gt;0,INDEX(techniques[coverage],MATCH(G114,techniques[name],0)),""),"")</f>
        <v/>
      </c>
      <c r="I114" s="45" t="n"/>
      <c r="J114" s="62">
        <f t="array" ref="J114">IF(I114&lt;&gt;"",IF(INDEX(techniques[coverage],MATCH(I114,techniques[name],0))&gt;0,INDEX(techniques[coverage],MATCH(I114,techniques[name],0)),""),"")</f>
        <v/>
      </c>
      <c r="K114" s="45" t="n"/>
      <c r="L114" s="62">
        <f t="array" ref="L114">IF(K114&lt;&gt;"",IF(INDEX(techniques[coverage],MATCH(K114,techniques[name],0))&gt;0,INDEX(techniques[coverage],MATCH(K114,techniques[name],0)),""),"")</f>
        <v/>
      </c>
      <c r="M114" s="45" t="n"/>
      <c r="N114" s="62">
        <f t="array" ref="N114">IF(M114&lt;&gt;"",IF(INDEX(techniques[coverage],MATCH(M114,techniques[name],0))&gt;0,INDEX(techniques[coverage],MATCH(M114,techniques[name],0)),""),"")</f>
        <v/>
      </c>
      <c r="O114" s="45" t="n"/>
      <c r="P114" s="62">
        <f t="array" ref="P114">IF(O114&lt;&gt;"",IF(INDEX(techniques[coverage],MATCH(O114,techniques[name],0))&gt;0,INDEX(techniques[coverage],MATCH(O114,techniques[name],0)),""),"")</f>
        <v/>
      </c>
      <c r="Q114" s="45" t="n"/>
      <c r="R114" s="62">
        <f t="array" ref="R114">IF(Q114&lt;&gt;"",IF(INDEX(techniques[coverage],MATCH(Q114,techniques[name],0))&gt;0,INDEX(techniques[coverage],MATCH(Q114,techniques[name],0)),""),"")</f>
        <v/>
      </c>
      <c r="S114" s="45" t="n"/>
      <c r="T114" s="62">
        <f t="array" ref="T114">IF(S114&lt;&gt;"",IF(INDEX(techniques[coverage],MATCH(S114,techniques[name],0))&gt;0,INDEX(techniques[coverage],MATCH(S114,techniques[name],0)),""),"")</f>
        <v/>
      </c>
      <c r="U114" s="45" t="n"/>
      <c r="V114" s="62">
        <f t="array" ref="V114">IF(U114&lt;&gt;"",IF(INDEX(techniques[coverage],MATCH(U114,techniques[name],0))&gt;0,INDEX(techniques[coverage],MATCH(U114,techniques[name],0)),""),"")</f>
        <v/>
      </c>
      <c r="W114" s="45" t="n"/>
      <c r="X114" s="62">
        <f t="array" ref="X114">IF(W114&lt;&gt;"",IF(INDEX(techniques[coverage],MATCH(W114,techniques[name],0))&gt;0,INDEX(techniques[coverage],MATCH(W114,techniques[name],0)),""),"")</f>
        <v/>
      </c>
      <c r="Y114" s="45" t="n"/>
      <c r="Z114" s="62">
        <f t="array" ref="Z114">IF(Y114&lt;&gt;"",IF(INDEX(techniques[coverage],MATCH(Y114,techniques[name],0))&gt;0,INDEX(techniques[coverage],MATCH(Y114,techniques[name],0)),""),"")</f>
        <v/>
      </c>
      <c r="AA114" s="45" t="n"/>
      <c r="AB114" s="62">
        <f t="array" ref="AB114">IF(AA114&lt;&gt;"",IF(INDEX(techniques[coverage],MATCH(AA114,techniques[name],0))&gt;0,INDEX(techniques[coverage],MATCH(AA114,techniques[name],0)),""),"")</f>
        <v/>
      </c>
      <c r="AC114" s="45" t="n"/>
      <c r="AD114" s="62">
        <f t="array" ref="AD114">IF(AC114&lt;&gt;"",IF(INDEX(techniques[coverage],MATCH(AC114,techniques[name],0))&gt;0,INDEX(techniques[coverage],MATCH(AC114,techniques[name],0)),""),"")</f>
        <v/>
      </c>
    </row>
    <row r="115">
      <c r="A115" s="45" t="n"/>
      <c r="B115" s="62">
        <f t="array" ref="B115">IF(A115&lt;&gt;"",IF(INDEX(techniques[coverage],MATCH(A115,techniques[name],0))&gt;0,INDEX(techniques[coverage],MATCH(A115,techniques[name],0)),""),"")</f>
        <v/>
      </c>
      <c r="C115" s="45" t="n"/>
      <c r="D115" s="62">
        <f t="array" ref="D115">IF(C115&lt;&gt;"",IF(INDEX(techniques[coverage],MATCH(C115,techniques[name],0))&gt;0,INDEX(techniques[coverage],MATCH(C115,techniques[name],0)),""),"")</f>
        <v/>
      </c>
      <c r="E115" s="45" t="n"/>
      <c r="F115" s="62">
        <f t="array" ref="F115">IF(E115&lt;&gt;"",IF(INDEX(techniques[coverage],MATCH(E115,techniques[name],0))&gt;0,INDEX(techniques[coverage],MATCH(E115,techniques[name],0)),""),"")</f>
        <v/>
      </c>
      <c r="G115" s="45" t="n"/>
      <c r="H115" s="62">
        <f t="array" ref="H115">IF(G115&lt;&gt;"",IF(INDEX(techniques[coverage],MATCH(G115,techniques[name],0))&gt;0,INDEX(techniques[coverage],MATCH(G115,techniques[name],0)),""),"")</f>
        <v/>
      </c>
      <c r="I115" s="45" t="n"/>
      <c r="J115" s="62">
        <f t="array" ref="J115">IF(I115&lt;&gt;"",IF(INDEX(techniques[coverage],MATCH(I115,techniques[name],0))&gt;0,INDEX(techniques[coverage],MATCH(I115,techniques[name],0)),""),"")</f>
        <v/>
      </c>
      <c r="K115" s="45" t="n"/>
      <c r="L115" s="62">
        <f t="array" ref="L115">IF(K115&lt;&gt;"",IF(INDEX(techniques[coverage],MATCH(K115,techniques[name],0))&gt;0,INDEX(techniques[coverage],MATCH(K115,techniques[name],0)),""),"")</f>
        <v/>
      </c>
      <c r="M115" s="45" t="n"/>
      <c r="N115" s="62">
        <f t="array" ref="N115">IF(M115&lt;&gt;"",IF(INDEX(techniques[coverage],MATCH(M115,techniques[name],0))&gt;0,INDEX(techniques[coverage],MATCH(M115,techniques[name],0)),""),"")</f>
        <v/>
      </c>
      <c r="O115" s="45" t="n"/>
      <c r="P115" s="62">
        <f t="array" ref="P115">IF(O115&lt;&gt;"",IF(INDEX(techniques[coverage],MATCH(O115,techniques[name],0))&gt;0,INDEX(techniques[coverage],MATCH(O115,techniques[name],0)),""),"")</f>
        <v/>
      </c>
      <c r="Q115" s="45" t="n"/>
      <c r="R115" s="62">
        <f t="array" ref="R115">IF(Q115&lt;&gt;"",IF(INDEX(techniques[coverage],MATCH(Q115,techniques[name],0))&gt;0,INDEX(techniques[coverage],MATCH(Q115,techniques[name],0)),""),"")</f>
        <v/>
      </c>
      <c r="S115" s="45" t="n"/>
      <c r="T115" s="62">
        <f t="array" ref="T115">IF(S115&lt;&gt;"",IF(INDEX(techniques[coverage],MATCH(S115,techniques[name],0))&gt;0,INDEX(techniques[coverage],MATCH(S115,techniques[name],0)),""),"")</f>
        <v/>
      </c>
      <c r="U115" s="45" t="n"/>
      <c r="V115" s="62">
        <f t="array" ref="V115">IF(U115&lt;&gt;"",IF(INDEX(techniques[coverage],MATCH(U115,techniques[name],0))&gt;0,INDEX(techniques[coverage],MATCH(U115,techniques[name],0)),""),"")</f>
        <v/>
      </c>
      <c r="W115" s="45" t="n"/>
      <c r="X115" s="62">
        <f t="array" ref="X115">IF(W115&lt;&gt;"",IF(INDEX(techniques[coverage],MATCH(W115,techniques[name],0))&gt;0,INDEX(techniques[coverage],MATCH(W115,techniques[name],0)),""),"")</f>
        <v/>
      </c>
      <c r="Y115" s="45" t="n"/>
      <c r="Z115" s="62">
        <f t="array" ref="Z115">IF(Y115&lt;&gt;"",IF(INDEX(techniques[coverage],MATCH(Y115,techniques[name],0))&gt;0,INDEX(techniques[coverage],MATCH(Y115,techniques[name],0)),""),"")</f>
        <v/>
      </c>
      <c r="AA115" s="45" t="n"/>
      <c r="AB115" s="62">
        <f t="array" ref="AB115">IF(AA115&lt;&gt;"",IF(INDEX(techniques[coverage],MATCH(AA115,techniques[name],0))&gt;0,INDEX(techniques[coverage],MATCH(AA115,techniques[name],0)),""),"")</f>
        <v/>
      </c>
      <c r="AC115" s="45" t="n"/>
      <c r="AD115" s="62">
        <f t="array" ref="AD115">IF(AC115&lt;&gt;"",IF(INDEX(techniques[coverage],MATCH(AC115,techniques[name],0))&gt;0,INDEX(techniques[coverage],MATCH(AC115,techniques[name],0)),""),"")</f>
        <v/>
      </c>
    </row>
    <row r="116">
      <c r="A116" s="45" t="n"/>
      <c r="B116" s="62">
        <f t="array" ref="B116">IF(A116&lt;&gt;"",IF(INDEX(techniques[coverage],MATCH(A116,techniques[name],0))&gt;0,INDEX(techniques[coverage],MATCH(A116,techniques[name],0)),""),"")</f>
        <v/>
      </c>
      <c r="C116" s="45" t="n"/>
      <c r="D116" s="62">
        <f t="array" ref="D116">IF(C116&lt;&gt;"",IF(INDEX(techniques[coverage],MATCH(C116,techniques[name],0))&gt;0,INDEX(techniques[coverage],MATCH(C116,techniques[name],0)),""),"")</f>
        <v/>
      </c>
      <c r="E116" s="45" t="n"/>
      <c r="F116" s="62">
        <f t="array" ref="F116">IF(E116&lt;&gt;"",IF(INDEX(techniques[coverage],MATCH(E116,techniques[name],0))&gt;0,INDEX(techniques[coverage],MATCH(E116,techniques[name],0)),""),"")</f>
        <v/>
      </c>
      <c r="G116" s="45" t="n"/>
      <c r="H116" s="62">
        <f t="array" ref="H116">IF(G116&lt;&gt;"",IF(INDEX(techniques[coverage],MATCH(G116,techniques[name],0))&gt;0,INDEX(techniques[coverage],MATCH(G116,techniques[name],0)),""),"")</f>
        <v/>
      </c>
      <c r="I116" s="45" t="n"/>
      <c r="J116" s="62">
        <f t="array" ref="J116">IF(I116&lt;&gt;"",IF(INDEX(techniques[coverage],MATCH(I116,techniques[name],0))&gt;0,INDEX(techniques[coverage],MATCH(I116,techniques[name],0)),""),"")</f>
        <v/>
      </c>
      <c r="K116" s="45" t="n"/>
      <c r="L116" s="62">
        <f t="array" ref="L116">IF(K116&lt;&gt;"",IF(INDEX(techniques[coverage],MATCH(K116,techniques[name],0))&gt;0,INDEX(techniques[coverage],MATCH(K116,techniques[name],0)),""),"")</f>
        <v/>
      </c>
      <c r="M116" s="45" t="n"/>
      <c r="N116" s="62">
        <f t="array" ref="N116">IF(M116&lt;&gt;"",IF(INDEX(techniques[coverage],MATCH(M116,techniques[name],0))&gt;0,INDEX(techniques[coverage],MATCH(M116,techniques[name],0)),""),"")</f>
        <v/>
      </c>
      <c r="O116" s="45" t="n"/>
      <c r="P116" s="62">
        <f t="array" ref="P116">IF(O116&lt;&gt;"",IF(INDEX(techniques[coverage],MATCH(O116,techniques[name],0))&gt;0,INDEX(techniques[coverage],MATCH(O116,techniques[name],0)),""),"")</f>
        <v/>
      </c>
      <c r="Q116" s="45" t="n"/>
      <c r="R116" s="62">
        <f t="array" ref="R116">IF(Q116&lt;&gt;"",IF(INDEX(techniques[coverage],MATCH(Q116,techniques[name],0))&gt;0,INDEX(techniques[coverage],MATCH(Q116,techniques[name],0)),""),"")</f>
        <v/>
      </c>
      <c r="S116" s="45" t="n"/>
      <c r="T116" s="62">
        <f t="array" ref="T116">IF(S116&lt;&gt;"",IF(INDEX(techniques[coverage],MATCH(S116,techniques[name],0))&gt;0,INDEX(techniques[coverage],MATCH(S116,techniques[name],0)),""),"")</f>
        <v/>
      </c>
      <c r="U116" s="45" t="n"/>
      <c r="V116" s="62">
        <f t="array" ref="V116">IF(U116&lt;&gt;"",IF(INDEX(techniques[coverage],MATCH(U116,techniques[name],0))&gt;0,INDEX(techniques[coverage],MATCH(U116,techniques[name],0)),""),"")</f>
        <v/>
      </c>
      <c r="W116" s="45" t="n"/>
      <c r="X116" s="62">
        <f t="array" ref="X116">IF(W116&lt;&gt;"",IF(INDEX(techniques[coverage],MATCH(W116,techniques[name],0))&gt;0,INDEX(techniques[coverage],MATCH(W116,techniques[name],0)),""),"")</f>
        <v/>
      </c>
      <c r="Y116" s="45" t="n"/>
      <c r="Z116" s="62">
        <f t="array" ref="Z116">IF(Y116&lt;&gt;"",IF(INDEX(techniques[coverage],MATCH(Y116,techniques[name],0))&gt;0,INDEX(techniques[coverage],MATCH(Y116,techniques[name],0)),""),"")</f>
        <v/>
      </c>
      <c r="AA116" s="45" t="n"/>
      <c r="AB116" s="62">
        <f t="array" ref="AB116">IF(AA116&lt;&gt;"",IF(INDEX(techniques[coverage],MATCH(AA116,techniques[name],0))&gt;0,INDEX(techniques[coverage],MATCH(AA116,techniques[name],0)),""),"")</f>
        <v/>
      </c>
      <c r="AC116" s="45" t="n"/>
      <c r="AD116" s="62">
        <f t="array" ref="AD116">IF(AC116&lt;&gt;"",IF(INDEX(techniques[coverage],MATCH(AC116,techniques[name],0))&gt;0,INDEX(techniques[coverage],MATCH(AC116,techniques[name],0)),""),"")</f>
        <v/>
      </c>
    </row>
    <row r="117">
      <c r="A117" s="45" t="n"/>
      <c r="B117" s="62">
        <f t="array" ref="B117">IF(A117&lt;&gt;"",IF(INDEX(techniques[coverage],MATCH(A117,techniques[name],0))&gt;0,INDEX(techniques[coverage],MATCH(A117,techniques[name],0)),""),"")</f>
        <v/>
      </c>
      <c r="C117" s="45" t="n"/>
      <c r="D117" s="62">
        <f t="array" ref="D117">IF(C117&lt;&gt;"",IF(INDEX(techniques[coverage],MATCH(C117,techniques[name],0))&gt;0,INDEX(techniques[coverage],MATCH(C117,techniques[name],0)),""),"")</f>
        <v/>
      </c>
      <c r="E117" s="45" t="n"/>
      <c r="F117" s="62">
        <f t="array" ref="F117">IF(E117&lt;&gt;"",IF(INDEX(techniques[coverage],MATCH(E117,techniques[name],0))&gt;0,INDEX(techniques[coverage],MATCH(E117,techniques[name],0)),""),"")</f>
        <v/>
      </c>
      <c r="G117" s="45" t="n"/>
      <c r="H117" s="62">
        <f t="array" ref="H117">IF(G117&lt;&gt;"",IF(INDEX(techniques[coverage],MATCH(G117,techniques[name],0))&gt;0,INDEX(techniques[coverage],MATCH(G117,techniques[name],0)),""),"")</f>
        <v/>
      </c>
      <c r="I117" s="45" t="n"/>
      <c r="J117" s="62">
        <f t="array" ref="J117">IF(I117&lt;&gt;"",IF(INDEX(techniques[coverage],MATCH(I117,techniques[name],0))&gt;0,INDEX(techniques[coverage],MATCH(I117,techniques[name],0)),""),"")</f>
        <v/>
      </c>
      <c r="K117" s="45" t="n"/>
      <c r="L117" s="62">
        <f t="array" ref="L117">IF(K117&lt;&gt;"",IF(INDEX(techniques[coverage],MATCH(K117,techniques[name],0))&gt;0,INDEX(techniques[coverage],MATCH(K117,techniques[name],0)),""),"")</f>
        <v/>
      </c>
      <c r="M117" s="45" t="n"/>
      <c r="N117" s="62">
        <f t="array" ref="N117">IF(M117&lt;&gt;"",IF(INDEX(techniques[coverage],MATCH(M117,techniques[name],0))&gt;0,INDEX(techniques[coverage],MATCH(M117,techniques[name],0)),""),"")</f>
        <v/>
      </c>
      <c r="O117" s="45" t="n"/>
      <c r="P117" s="62">
        <f t="array" ref="P117">IF(O117&lt;&gt;"",IF(INDEX(techniques[coverage],MATCH(O117,techniques[name],0))&gt;0,INDEX(techniques[coverage],MATCH(O117,techniques[name],0)),""),"")</f>
        <v/>
      </c>
      <c r="Q117" s="45" t="n"/>
      <c r="R117" s="62">
        <f t="array" ref="R117">IF(Q117&lt;&gt;"",IF(INDEX(techniques[coverage],MATCH(Q117,techniques[name],0))&gt;0,INDEX(techniques[coverage],MATCH(Q117,techniques[name],0)),""),"")</f>
        <v/>
      </c>
      <c r="S117" s="45" t="n"/>
      <c r="T117" s="62">
        <f t="array" ref="T117">IF(S117&lt;&gt;"",IF(INDEX(techniques[coverage],MATCH(S117,techniques[name],0))&gt;0,INDEX(techniques[coverage],MATCH(S117,techniques[name],0)),""),"")</f>
        <v/>
      </c>
      <c r="U117" s="45" t="n"/>
      <c r="V117" s="62">
        <f t="array" ref="V117">IF(U117&lt;&gt;"",IF(INDEX(techniques[coverage],MATCH(U117,techniques[name],0))&gt;0,INDEX(techniques[coverage],MATCH(U117,techniques[name],0)),""),"")</f>
        <v/>
      </c>
      <c r="W117" s="45" t="n"/>
      <c r="X117" s="62">
        <f t="array" ref="X117">IF(W117&lt;&gt;"",IF(INDEX(techniques[coverage],MATCH(W117,techniques[name],0))&gt;0,INDEX(techniques[coverage],MATCH(W117,techniques[name],0)),""),"")</f>
        <v/>
      </c>
      <c r="Y117" s="45" t="n"/>
      <c r="Z117" s="62">
        <f t="array" ref="Z117">IF(Y117&lt;&gt;"",IF(INDEX(techniques[coverage],MATCH(Y117,techniques[name],0))&gt;0,INDEX(techniques[coverage],MATCH(Y117,techniques[name],0)),""),"")</f>
        <v/>
      </c>
      <c r="AA117" s="45" t="n"/>
      <c r="AB117" s="62">
        <f t="array" ref="AB117">IF(AA117&lt;&gt;"",IF(INDEX(techniques[coverage],MATCH(AA117,techniques[name],0))&gt;0,INDEX(techniques[coverage],MATCH(AA117,techniques[name],0)),""),"")</f>
        <v/>
      </c>
      <c r="AC117" s="45" t="n"/>
      <c r="AD117" s="62">
        <f t="array" ref="AD117">IF(AC117&lt;&gt;"",IF(INDEX(techniques[coverage],MATCH(AC117,techniques[name],0))&gt;0,INDEX(techniques[coverage],MATCH(AC117,techniques[name],0)),""),"")</f>
        <v/>
      </c>
    </row>
    <row r="118">
      <c r="A118" s="45" t="n"/>
      <c r="B118" s="62">
        <f t="array" ref="B118">IF(A118&lt;&gt;"",IF(INDEX(techniques[coverage],MATCH(A118,techniques[name],0))&gt;0,INDEX(techniques[coverage],MATCH(A118,techniques[name],0)),""),"")</f>
        <v/>
      </c>
      <c r="C118" s="45" t="n"/>
      <c r="D118" s="62">
        <f t="array" ref="D118">IF(C118&lt;&gt;"",IF(INDEX(techniques[coverage],MATCH(C118,techniques[name],0))&gt;0,INDEX(techniques[coverage],MATCH(C118,techniques[name],0)),""),"")</f>
        <v/>
      </c>
      <c r="E118" s="45" t="n"/>
      <c r="F118" s="62">
        <f t="array" ref="F118">IF(E118&lt;&gt;"",IF(INDEX(techniques[coverage],MATCH(E118,techniques[name],0))&gt;0,INDEX(techniques[coverage],MATCH(E118,techniques[name],0)),""),"")</f>
        <v/>
      </c>
      <c r="G118" s="45" t="n"/>
      <c r="H118" s="62">
        <f t="array" ref="H118">IF(G118&lt;&gt;"",IF(INDEX(techniques[coverage],MATCH(G118,techniques[name],0))&gt;0,INDEX(techniques[coverage],MATCH(G118,techniques[name],0)),""),"")</f>
        <v/>
      </c>
      <c r="I118" s="45" t="n"/>
      <c r="J118" s="62">
        <f t="array" ref="J118">IF(I118&lt;&gt;"",IF(INDEX(techniques[coverage],MATCH(I118,techniques[name],0))&gt;0,INDEX(techniques[coverage],MATCH(I118,techniques[name],0)),""),"")</f>
        <v/>
      </c>
      <c r="K118" s="45" t="n"/>
      <c r="L118" s="62">
        <f t="array" ref="L118">IF(K118&lt;&gt;"",IF(INDEX(techniques[coverage],MATCH(K118,techniques[name],0))&gt;0,INDEX(techniques[coverage],MATCH(K118,techniques[name],0)),""),"")</f>
        <v/>
      </c>
      <c r="M118" s="45" t="n"/>
      <c r="N118" s="62">
        <f t="array" ref="N118">IF(M118&lt;&gt;"",IF(INDEX(techniques[coverage],MATCH(M118,techniques[name],0))&gt;0,INDEX(techniques[coverage],MATCH(M118,techniques[name],0)),""),"")</f>
        <v/>
      </c>
      <c r="O118" s="45" t="n"/>
      <c r="P118" s="62">
        <f t="array" ref="P118">IF(O118&lt;&gt;"",IF(INDEX(techniques[coverage],MATCH(O118,techniques[name],0))&gt;0,INDEX(techniques[coverage],MATCH(O118,techniques[name],0)),""),"")</f>
        <v/>
      </c>
      <c r="Q118" s="45" t="n"/>
      <c r="R118" s="62">
        <f t="array" ref="R118">IF(Q118&lt;&gt;"",IF(INDEX(techniques[coverage],MATCH(Q118,techniques[name],0))&gt;0,INDEX(techniques[coverage],MATCH(Q118,techniques[name],0)),""),"")</f>
        <v/>
      </c>
      <c r="S118" s="45" t="n"/>
      <c r="T118" s="62">
        <f t="array" ref="T118">IF(S118&lt;&gt;"",IF(INDEX(techniques[coverage],MATCH(S118,techniques[name],0))&gt;0,INDEX(techniques[coverage],MATCH(S118,techniques[name],0)),""),"")</f>
        <v/>
      </c>
      <c r="U118" s="45" t="n"/>
      <c r="V118" s="62">
        <f t="array" ref="V118">IF(U118&lt;&gt;"",IF(INDEX(techniques[coverage],MATCH(U118,techniques[name],0))&gt;0,INDEX(techniques[coverage],MATCH(U118,techniques[name],0)),""),"")</f>
        <v/>
      </c>
      <c r="W118" s="45" t="n"/>
      <c r="X118" s="62">
        <f t="array" ref="X118">IF(W118&lt;&gt;"",IF(INDEX(techniques[coverage],MATCH(W118,techniques[name],0))&gt;0,INDEX(techniques[coverage],MATCH(W118,techniques[name],0)),""),"")</f>
        <v/>
      </c>
      <c r="Y118" s="45" t="n"/>
      <c r="Z118" s="62">
        <f t="array" ref="Z118">IF(Y118&lt;&gt;"",IF(INDEX(techniques[coverage],MATCH(Y118,techniques[name],0))&gt;0,INDEX(techniques[coverage],MATCH(Y118,techniques[name],0)),""),"")</f>
        <v/>
      </c>
      <c r="AA118" s="45" t="n"/>
      <c r="AB118" s="62">
        <f t="array" ref="AB118">IF(AA118&lt;&gt;"",IF(INDEX(techniques[coverage],MATCH(AA118,techniques[name],0))&gt;0,INDEX(techniques[coverage],MATCH(AA118,techniques[name],0)),""),"")</f>
        <v/>
      </c>
      <c r="AC118" s="45" t="n"/>
      <c r="AD118" s="62">
        <f t="array" ref="AD118">IF(AC118&lt;&gt;"",IF(INDEX(techniques[coverage],MATCH(AC118,techniques[name],0))&gt;0,INDEX(techniques[coverage],MATCH(AC118,techniques[name],0)),""),"")</f>
        <v/>
      </c>
    </row>
    <row r="119">
      <c r="A119" s="45" t="n"/>
      <c r="B119" s="62">
        <f t="array" ref="B119">IF(A119&lt;&gt;"",IF(INDEX(techniques[coverage],MATCH(A119,techniques[name],0))&gt;0,INDEX(techniques[coverage],MATCH(A119,techniques[name],0)),""),"")</f>
        <v/>
      </c>
      <c r="C119" s="45" t="n"/>
      <c r="D119" s="62">
        <f t="array" ref="D119">IF(C119&lt;&gt;"",IF(INDEX(techniques[coverage],MATCH(C119,techniques[name],0))&gt;0,INDEX(techniques[coverage],MATCH(C119,techniques[name],0)),""),"")</f>
        <v/>
      </c>
      <c r="E119" s="45" t="n"/>
      <c r="F119" s="62">
        <f t="array" ref="F119">IF(E119&lt;&gt;"",IF(INDEX(techniques[coverage],MATCH(E119,techniques[name],0))&gt;0,INDEX(techniques[coverage],MATCH(E119,techniques[name],0)),""),"")</f>
        <v/>
      </c>
      <c r="G119" s="45" t="n"/>
      <c r="H119" s="62">
        <f t="array" ref="H119">IF(G119&lt;&gt;"",IF(INDEX(techniques[coverage],MATCH(G119,techniques[name],0))&gt;0,INDEX(techniques[coverage],MATCH(G119,techniques[name],0)),""),"")</f>
        <v/>
      </c>
      <c r="I119" s="45" t="n"/>
      <c r="J119" s="62">
        <f t="array" ref="J119">IF(I119&lt;&gt;"",IF(INDEX(techniques[coverage],MATCH(I119,techniques[name],0))&gt;0,INDEX(techniques[coverage],MATCH(I119,techniques[name],0)),""),"")</f>
        <v/>
      </c>
      <c r="K119" s="45" t="n"/>
      <c r="L119" s="62">
        <f t="array" ref="L119">IF(K119&lt;&gt;"",IF(INDEX(techniques[coverage],MATCH(K119,techniques[name],0))&gt;0,INDEX(techniques[coverage],MATCH(K119,techniques[name],0)),""),"")</f>
        <v/>
      </c>
      <c r="M119" s="45" t="n"/>
      <c r="N119" s="62">
        <f t="array" ref="N119">IF(M119&lt;&gt;"",IF(INDEX(techniques[coverage],MATCH(M119,techniques[name],0))&gt;0,INDEX(techniques[coverage],MATCH(M119,techniques[name],0)),""),"")</f>
        <v/>
      </c>
      <c r="O119" s="45" t="n"/>
      <c r="P119" s="62">
        <f t="array" ref="P119">IF(O119&lt;&gt;"",IF(INDEX(techniques[coverage],MATCH(O119,techniques[name],0))&gt;0,INDEX(techniques[coverage],MATCH(O119,techniques[name],0)),""),"")</f>
        <v/>
      </c>
      <c r="Q119" s="45" t="n"/>
      <c r="R119" s="62">
        <f t="array" ref="R119">IF(Q119&lt;&gt;"",IF(INDEX(techniques[coverage],MATCH(Q119,techniques[name],0))&gt;0,INDEX(techniques[coverage],MATCH(Q119,techniques[name],0)),""),"")</f>
        <v/>
      </c>
      <c r="S119" s="45" t="n"/>
      <c r="T119" s="62">
        <f t="array" ref="T119">IF(S119&lt;&gt;"",IF(INDEX(techniques[coverage],MATCH(S119,techniques[name],0))&gt;0,INDEX(techniques[coverage],MATCH(S119,techniques[name],0)),""),"")</f>
        <v/>
      </c>
      <c r="U119" s="45" t="n"/>
      <c r="V119" s="62">
        <f t="array" ref="V119">IF(U119&lt;&gt;"",IF(INDEX(techniques[coverage],MATCH(U119,techniques[name],0))&gt;0,INDEX(techniques[coverage],MATCH(U119,techniques[name],0)),""),"")</f>
        <v/>
      </c>
      <c r="W119" s="45" t="n"/>
      <c r="X119" s="62">
        <f t="array" ref="X119">IF(W119&lt;&gt;"",IF(INDEX(techniques[coverage],MATCH(W119,techniques[name],0))&gt;0,INDEX(techniques[coverage],MATCH(W119,techniques[name],0)),""),"")</f>
        <v/>
      </c>
      <c r="Y119" s="45" t="n"/>
      <c r="Z119" s="62">
        <f t="array" ref="Z119">IF(Y119&lt;&gt;"",IF(INDEX(techniques[coverage],MATCH(Y119,techniques[name],0))&gt;0,INDEX(techniques[coverage],MATCH(Y119,techniques[name],0)),""),"")</f>
        <v/>
      </c>
      <c r="AA119" s="45" t="n"/>
      <c r="AB119" s="62">
        <f t="array" ref="AB119">IF(AA119&lt;&gt;"",IF(INDEX(techniques[coverage],MATCH(AA119,techniques[name],0))&gt;0,INDEX(techniques[coverage],MATCH(AA119,techniques[name],0)),""),"")</f>
        <v/>
      </c>
      <c r="AC119" s="45" t="n"/>
      <c r="AD119" s="62">
        <f t="array" ref="AD119">IF(AC119&lt;&gt;"",IF(INDEX(techniques[coverage],MATCH(AC119,techniques[name],0))&gt;0,INDEX(techniques[coverage],MATCH(AC119,techniques[name],0)),""),"")</f>
        <v/>
      </c>
    </row>
    <row r="120">
      <c r="A120" s="45" t="n"/>
      <c r="B120" s="62">
        <f t="array" ref="B120">IF(A120&lt;&gt;"",IF(INDEX(techniques[coverage],MATCH(A120,techniques[name],0))&gt;0,INDEX(techniques[coverage],MATCH(A120,techniques[name],0)),""),"")</f>
        <v/>
      </c>
      <c r="C120" s="45" t="n"/>
      <c r="D120" s="62">
        <f t="array" ref="D120">IF(C120&lt;&gt;"",IF(INDEX(techniques[coverage],MATCH(C120,techniques[name],0))&gt;0,INDEX(techniques[coverage],MATCH(C120,techniques[name],0)),""),"")</f>
        <v/>
      </c>
      <c r="E120" s="45" t="n"/>
      <c r="F120" s="62">
        <f t="array" ref="F120">IF(E120&lt;&gt;"",IF(INDEX(techniques[coverage],MATCH(E120,techniques[name],0))&gt;0,INDEX(techniques[coverage],MATCH(E120,techniques[name],0)),""),"")</f>
        <v/>
      </c>
      <c r="G120" s="45" t="n"/>
      <c r="H120" s="62">
        <f t="array" ref="H120">IF(G120&lt;&gt;"",IF(INDEX(techniques[coverage],MATCH(G120,techniques[name],0))&gt;0,INDEX(techniques[coverage],MATCH(G120,techniques[name],0)),""),"")</f>
        <v/>
      </c>
      <c r="I120" s="45" t="n"/>
      <c r="J120" s="62">
        <f t="array" ref="J120">IF(I120&lt;&gt;"",IF(INDEX(techniques[coverage],MATCH(I120,techniques[name],0))&gt;0,INDEX(techniques[coverage],MATCH(I120,techniques[name],0)),""),"")</f>
        <v/>
      </c>
      <c r="K120" s="45" t="n"/>
      <c r="L120" s="62">
        <f t="array" ref="L120">IF(K120&lt;&gt;"",IF(INDEX(techniques[coverage],MATCH(K120,techniques[name],0))&gt;0,INDEX(techniques[coverage],MATCH(K120,techniques[name],0)),""),"")</f>
        <v/>
      </c>
      <c r="M120" s="45" t="n"/>
      <c r="N120" s="62">
        <f t="array" ref="N120">IF(M120&lt;&gt;"",IF(INDEX(techniques[coverage],MATCH(M120,techniques[name],0))&gt;0,INDEX(techniques[coverage],MATCH(M120,techniques[name],0)),""),"")</f>
        <v/>
      </c>
      <c r="O120" s="45" t="n"/>
      <c r="P120" s="62">
        <f t="array" ref="P120">IF(O120&lt;&gt;"",IF(INDEX(techniques[coverage],MATCH(O120,techniques[name],0))&gt;0,INDEX(techniques[coverage],MATCH(O120,techniques[name],0)),""),"")</f>
        <v/>
      </c>
      <c r="Q120" s="45" t="n"/>
      <c r="R120" s="62">
        <f t="array" ref="R120">IF(Q120&lt;&gt;"",IF(INDEX(techniques[coverage],MATCH(Q120,techniques[name],0))&gt;0,INDEX(techniques[coverage],MATCH(Q120,techniques[name],0)),""),"")</f>
        <v/>
      </c>
      <c r="S120" s="45" t="n"/>
      <c r="T120" s="62">
        <f t="array" ref="T120">IF(S120&lt;&gt;"",IF(INDEX(techniques[coverage],MATCH(S120,techniques[name],0))&gt;0,INDEX(techniques[coverage],MATCH(S120,techniques[name],0)),""),"")</f>
        <v/>
      </c>
      <c r="U120" s="45" t="n"/>
      <c r="V120" s="62">
        <f t="array" ref="V120">IF(U120&lt;&gt;"",IF(INDEX(techniques[coverage],MATCH(U120,techniques[name],0))&gt;0,INDEX(techniques[coverage],MATCH(U120,techniques[name],0)),""),"")</f>
        <v/>
      </c>
      <c r="W120" s="45" t="n"/>
      <c r="X120" s="62">
        <f t="array" ref="X120">IF(W120&lt;&gt;"",IF(INDEX(techniques[coverage],MATCH(W120,techniques[name],0))&gt;0,INDEX(techniques[coverage],MATCH(W120,techniques[name],0)),""),"")</f>
        <v/>
      </c>
      <c r="Y120" s="45" t="n"/>
      <c r="Z120" s="62">
        <f t="array" ref="Z120">IF(Y120&lt;&gt;"",IF(INDEX(techniques[coverage],MATCH(Y120,techniques[name],0))&gt;0,INDEX(techniques[coverage],MATCH(Y120,techniques[name],0)),""),"")</f>
        <v/>
      </c>
      <c r="AA120" s="45" t="n"/>
      <c r="AB120" s="62">
        <f t="array" ref="AB120">IF(AA120&lt;&gt;"",IF(INDEX(techniques[coverage],MATCH(AA120,techniques[name],0))&gt;0,INDEX(techniques[coverage],MATCH(AA120,techniques[name],0)),""),"")</f>
        <v/>
      </c>
      <c r="AC120" s="45" t="n"/>
      <c r="AD120" s="62">
        <f t="array" ref="AD120">IF(AC120&lt;&gt;"",IF(INDEX(techniques[coverage],MATCH(AC120,techniques[name],0))&gt;0,INDEX(techniques[coverage],MATCH(AC120,techniques[name],0)),""),"")</f>
        <v/>
      </c>
    </row>
    <row r="121">
      <c r="A121" s="45" t="n"/>
      <c r="B121" s="62">
        <f t="array" ref="B121">IF(A121&lt;&gt;"",IF(INDEX(techniques[coverage],MATCH(A121,techniques[name],0))&gt;0,INDEX(techniques[coverage],MATCH(A121,techniques[name],0)),""),"")</f>
        <v/>
      </c>
      <c r="C121" s="45" t="n"/>
      <c r="D121" s="62">
        <f t="array" ref="D121">IF(C121&lt;&gt;"",IF(INDEX(techniques[coverage],MATCH(C121,techniques[name],0))&gt;0,INDEX(techniques[coverage],MATCH(C121,techniques[name],0)),""),"")</f>
        <v/>
      </c>
      <c r="E121" s="45" t="n"/>
      <c r="F121" s="62">
        <f t="array" ref="F121">IF(E121&lt;&gt;"",IF(INDEX(techniques[coverage],MATCH(E121,techniques[name],0))&gt;0,INDEX(techniques[coverage],MATCH(E121,techniques[name],0)),""),"")</f>
        <v/>
      </c>
      <c r="G121" s="45" t="n"/>
      <c r="H121" s="62">
        <f t="array" ref="H121">IF(G121&lt;&gt;"",IF(INDEX(techniques[coverage],MATCH(G121,techniques[name],0))&gt;0,INDEX(techniques[coverage],MATCH(G121,techniques[name],0)),""),"")</f>
        <v/>
      </c>
      <c r="I121" s="45" t="n"/>
      <c r="J121" s="62">
        <f t="array" ref="J121">IF(I121&lt;&gt;"",IF(INDEX(techniques[coverage],MATCH(I121,techniques[name],0))&gt;0,INDEX(techniques[coverage],MATCH(I121,techniques[name],0)),""),"")</f>
        <v/>
      </c>
      <c r="K121" s="45" t="n"/>
      <c r="L121" s="62">
        <f t="array" ref="L121">IF(K121&lt;&gt;"",IF(INDEX(techniques[coverage],MATCH(K121,techniques[name],0))&gt;0,INDEX(techniques[coverage],MATCH(K121,techniques[name],0)),""),"")</f>
        <v/>
      </c>
      <c r="M121" s="45" t="n"/>
      <c r="N121" s="62">
        <f t="array" ref="N121">IF(M121&lt;&gt;"",IF(INDEX(techniques[coverage],MATCH(M121,techniques[name],0))&gt;0,INDEX(techniques[coverage],MATCH(M121,techniques[name],0)),""),"")</f>
        <v/>
      </c>
      <c r="O121" s="45" t="n"/>
      <c r="P121" s="62">
        <f t="array" ref="P121">IF(O121&lt;&gt;"",IF(INDEX(techniques[coverage],MATCH(O121,techniques[name],0))&gt;0,INDEX(techniques[coverage],MATCH(O121,techniques[name],0)),""),"")</f>
        <v/>
      </c>
      <c r="Q121" s="45" t="n"/>
      <c r="R121" s="62">
        <f t="array" ref="R121">IF(Q121&lt;&gt;"",IF(INDEX(techniques[coverage],MATCH(Q121,techniques[name],0))&gt;0,INDEX(techniques[coverage],MATCH(Q121,techniques[name],0)),""),"")</f>
        <v/>
      </c>
      <c r="S121" s="45" t="n"/>
      <c r="T121" s="62">
        <f t="array" ref="T121">IF(S121&lt;&gt;"",IF(INDEX(techniques[coverage],MATCH(S121,techniques[name],0))&gt;0,INDEX(techniques[coverage],MATCH(S121,techniques[name],0)),""),"")</f>
        <v/>
      </c>
      <c r="U121" s="45" t="n"/>
      <c r="V121" s="62">
        <f t="array" ref="V121">IF(U121&lt;&gt;"",IF(INDEX(techniques[coverage],MATCH(U121,techniques[name],0))&gt;0,INDEX(techniques[coverage],MATCH(U121,techniques[name],0)),""),"")</f>
        <v/>
      </c>
      <c r="W121" s="45" t="n"/>
      <c r="X121" s="62">
        <f t="array" ref="X121">IF(W121&lt;&gt;"",IF(INDEX(techniques[coverage],MATCH(W121,techniques[name],0))&gt;0,INDEX(techniques[coverage],MATCH(W121,techniques[name],0)),""),"")</f>
        <v/>
      </c>
      <c r="Y121" s="45" t="n"/>
      <c r="Z121" s="62">
        <f t="array" ref="Z121">IF(Y121&lt;&gt;"",IF(INDEX(techniques[coverage],MATCH(Y121,techniques[name],0))&gt;0,INDEX(techniques[coverage],MATCH(Y121,techniques[name],0)),""),"")</f>
        <v/>
      </c>
      <c r="AA121" s="45" t="n"/>
      <c r="AB121" s="62">
        <f t="array" ref="AB121">IF(AA121&lt;&gt;"",IF(INDEX(techniques[coverage],MATCH(AA121,techniques[name],0))&gt;0,INDEX(techniques[coverage],MATCH(AA121,techniques[name],0)),""),"")</f>
        <v/>
      </c>
      <c r="AC121" s="45" t="n"/>
      <c r="AD121" s="62">
        <f t="array" ref="AD121">IF(AC121&lt;&gt;"",IF(INDEX(techniques[coverage],MATCH(AC121,techniques[name],0))&gt;0,INDEX(techniques[coverage],MATCH(AC121,techniques[name],0)),""),"")</f>
        <v/>
      </c>
    </row>
    <row r="122">
      <c r="A122" s="45" t="n"/>
      <c r="B122" s="62">
        <f t="array" ref="B122">IF(A122&lt;&gt;"",IF(INDEX(techniques[coverage],MATCH(A122,techniques[name],0))&gt;0,INDEX(techniques[coverage],MATCH(A122,techniques[name],0)),""),"")</f>
        <v/>
      </c>
      <c r="C122" s="45" t="n"/>
      <c r="D122" s="62">
        <f t="array" ref="D122">IF(C122&lt;&gt;"",IF(INDEX(techniques[coverage],MATCH(C122,techniques[name],0))&gt;0,INDEX(techniques[coverage],MATCH(C122,techniques[name],0)),""),"")</f>
        <v/>
      </c>
      <c r="E122" s="45" t="n"/>
      <c r="F122" s="62">
        <f t="array" ref="F122">IF(E122&lt;&gt;"",IF(INDEX(techniques[coverage],MATCH(E122,techniques[name],0))&gt;0,INDEX(techniques[coverage],MATCH(E122,techniques[name],0)),""),"")</f>
        <v/>
      </c>
      <c r="G122" s="45" t="n"/>
      <c r="H122" s="62">
        <f t="array" ref="H122">IF(G122&lt;&gt;"",IF(INDEX(techniques[coverage],MATCH(G122,techniques[name],0))&gt;0,INDEX(techniques[coverage],MATCH(G122,techniques[name],0)),""),"")</f>
        <v/>
      </c>
      <c r="I122" s="45" t="n"/>
      <c r="J122" s="62">
        <f t="array" ref="J122">IF(I122&lt;&gt;"",IF(INDEX(techniques[coverage],MATCH(I122,techniques[name],0))&gt;0,INDEX(techniques[coverage],MATCH(I122,techniques[name],0)),""),"")</f>
        <v/>
      </c>
      <c r="K122" s="45" t="n"/>
      <c r="L122" s="62">
        <f t="array" ref="L122">IF(K122&lt;&gt;"",IF(INDEX(techniques[coverage],MATCH(K122,techniques[name],0))&gt;0,INDEX(techniques[coverage],MATCH(K122,techniques[name],0)),""),"")</f>
        <v/>
      </c>
      <c r="M122" s="45" t="n"/>
      <c r="N122" s="62">
        <f t="array" ref="N122">IF(M122&lt;&gt;"",IF(INDEX(techniques[coverage],MATCH(M122,techniques[name],0))&gt;0,INDEX(techniques[coverage],MATCH(M122,techniques[name],0)),""),"")</f>
        <v/>
      </c>
      <c r="O122" s="45" t="n"/>
      <c r="P122" s="62">
        <f t="array" ref="P122">IF(O122&lt;&gt;"",IF(INDEX(techniques[coverage],MATCH(O122,techniques[name],0))&gt;0,INDEX(techniques[coverage],MATCH(O122,techniques[name],0)),""),"")</f>
        <v/>
      </c>
      <c r="Q122" s="45" t="n"/>
      <c r="R122" s="62">
        <f t="array" ref="R122">IF(Q122&lt;&gt;"",IF(INDEX(techniques[coverage],MATCH(Q122,techniques[name],0))&gt;0,INDEX(techniques[coverage],MATCH(Q122,techniques[name],0)),""),"")</f>
        <v/>
      </c>
      <c r="S122" s="45" t="n"/>
      <c r="T122" s="62">
        <f t="array" ref="T122">IF(S122&lt;&gt;"",IF(INDEX(techniques[coverage],MATCH(S122,techniques[name],0))&gt;0,INDEX(techniques[coverage],MATCH(S122,techniques[name],0)),""),"")</f>
        <v/>
      </c>
      <c r="U122" s="45" t="n"/>
      <c r="V122" s="62">
        <f t="array" ref="V122">IF(U122&lt;&gt;"",IF(INDEX(techniques[coverage],MATCH(U122,techniques[name],0))&gt;0,INDEX(techniques[coverage],MATCH(U122,techniques[name],0)),""),"")</f>
        <v/>
      </c>
      <c r="W122" s="45" t="n"/>
      <c r="X122" s="62">
        <f t="array" ref="X122">IF(W122&lt;&gt;"",IF(INDEX(techniques[coverage],MATCH(W122,techniques[name],0))&gt;0,INDEX(techniques[coverage],MATCH(W122,techniques[name],0)),""),"")</f>
        <v/>
      </c>
      <c r="Y122" s="45" t="n"/>
      <c r="Z122" s="62">
        <f t="array" ref="Z122">IF(Y122&lt;&gt;"",IF(INDEX(techniques[coverage],MATCH(Y122,techniques[name],0))&gt;0,INDEX(techniques[coverage],MATCH(Y122,techniques[name],0)),""),"")</f>
        <v/>
      </c>
      <c r="AA122" s="45" t="n"/>
      <c r="AB122" s="62">
        <f t="array" ref="AB122">IF(AA122&lt;&gt;"",IF(INDEX(techniques[coverage],MATCH(AA122,techniques[name],0))&gt;0,INDEX(techniques[coverage],MATCH(AA122,techniques[name],0)),""),"")</f>
        <v/>
      </c>
      <c r="AC122" s="45" t="n"/>
      <c r="AD122" s="62">
        <f t="array" ref="AD122">IF(AC122&lt;&gt;"",IF(INDEX(techniques[coverage],MATCH(AC122,techniques[name],0))&gt;0,INDEX(techniques[coverage],MATCH(AC122,techniques[name],0)),""),"")</f>
        <v/>
      </c>
    </row>
    <row r="123">
      <c r="A123" s="45" t="n"/>
      <c r="B123" s="62">
        <f t="array" ref="B123">IF(A123&lt;&gt;"",IF(INDEX(techniques[coverage],MATCH(A123,techniques[name],0))&gt;0,INDEX(techniques[coverage],MATCH(A123,techniques[name],0)),""),"")</f>
        <v/>
      </c>
      <c r="C123" s="45" t="n"/>
      <c r="D123" s="62">
        <f t="array" ref="D123">IF(C123&lt;&gt;"",IF(INDEX(techniques[coverage],MATCH(C123,techniques[name],0))&gt;0,INDEX(techniques[coverage],MATCH(C123,techniques[name],0)),""),"")</f>
        <v/>
      </c>
      <c r="E123" s="45" t="n"/>
      <c r="F123" s="62">
        <f t="array" ref="F123">IF(E123&lt;&gt;"",IF(INDEX(techniques[coverage],MATCH(E123,techniques[name],0))&gt;0,INDEX(techniques[coverage],MATCH(E123,techniques[name],0)),""),"")</f>
        <v/>
      </c>
      <c r="G123" s="45" t="n"/>
      <c r="H123" s="62">
        <f t="array" ref="H123">IF(G123&lt;&gt;"",IF(INDEX(techniques[coverage],MATCH(G123,techniques[name],0))&gt;0,INDEX(techniques[coverage],MATCH(G123,techniques[name],0)),""),"")</f>
        <v/>
      </c>
      <c r="I123" s="45" t="n"/>
      <c r="J123" s="62">
        <f t="array" ref="J123">IF(I123&lt;&gt;"",IF(INDEX(techniques[coverage],MATCH(I123,techniques[name],0))&gt;0,INDEX(techniques[coverage],MATCH(I123,techniques[name],0)),""),"")</f>
        <v/>
      </c>
      <c r="K123" s="45" t="n"/>
      <c r="L123" s="62">
        <f t="array" ref="L123">IF(K123&lt;&gt;"",IF(INDEX(techniques[coverage],MATCH(K123,techniques[name],0))&gt;0,INDEX(techniques[coverage],MATCH(K123,techniques[name],0)),""),"")</f>
        <v/>
      </c>
      <c r="M123" s="45" t="n"/>
      <c r="N123" s="62">
        <f t="array" ref="N123">IF(M123&lt;&gt;"",IF(INDEX(techniques[coverage],MATCH(M123,techniques[name],0))&gt;0,INDEX(techniques[coverage],MATCH(M123,techniques[name],0)),""),"")</f>
        <v/>
      </c>
      <c r="O123" s="45" t="n"/>
      <c r="P123" s="62">
        <f t="array" ref="P123">IF(O123&lt;&gt;"",IF(INDEX(techniques[coverage],MATCH(O123,techniques[name],0))&gt;0,INDEX(techniques[coverage],MATCH(O123,techniques[name],0)),""),"")</f>
        <v/>
      </c>
      <c r="Q123" s="45" t="n"/>
      <c r="R123" s="62">
        <f t="array" ref="R123">IF(Q123&lt;&gt;"",IF(INDEX(techniques[coverage],MATCH(Q123,techniques[name],0))&gt;0,INDEX(techniques[coverage],MATCH(Q123,techniques[name],0)),""),"")</f>
        <v/>
      </c>
      <c r="S123" s="45" t="n"/>
      <c r="T123" s="62">
        <f t="array" ref="T123">IF(S123&lt;&gt;"",IF(INDEX(techniques[coverage],MATCH(S123,techniques[name],0))&gt;0,INDEX(techniques[coverage],MATCH(S123,techniques[name],0)),""),"")</f>
        <v/>
      </c>
      <c r="U123" s="45" t="n"/>
      <c r="V123" s="62">
        <f t="array" ref="V123">IF(U123&lt;&gt;"",IF(INDEX(techniques[coverage],MATCH(U123,techniques[name],0))&gt;0,INDEX(techniques[coverage],MATCH(U123,techniques[name],0)),""),"")</f>
        <v/>
      </c>
      <c r="W123" s="45" t="n"/>
      <c r="X123" s="62">
        <f t="array" ref="X123">IF(W123&lt;&gt;"",IF(INDEX(techniques[coverage],MATCH(W123,techniques[name],0))&gt;0,INDEX(techniques[coverage],MATCH(W123,techniques[name],0)),""),"")</f>
        <v/>
      </c>
      <c r="Y123" s="45" t="n"/>
      <c r="Z123" s="62">
        <f t="array" ref="Z123">IF(Y123&lt;&gt;"",IF(INDEX(techniques[coverage],MATCH(Y123,techniques[name],0))&gt;0,INDEX(techniques[coverage],MATCH(Y123,techniques[name],0)),""),"")</f>
        <v/>
      </c>
      <c r="AA123" s="45" t="n"/>
      <c r="AB123" s="62">
        <f t="array" ref="AB123">IF(AA123&lt;&gt;"",IF(INDEX(techniques[coverage],MATCH(AA123,techniques[name],0))&gt;0,INDEX(techniques[coverage],MATCH(AA123,techniques[name],0)),""),"")</f>
        <v/>
      </c>
      <c r="AC123" s="45" t="n"/>
      <c r="AD123" s="62">
        <f t="array" ref="AD123">IF(AC123&lt;&gt;"",IF(INDEX(techniques[coverage],MATCH(AC123,techniques[name],0))&gt;0,INDEX(techniques[coverage],MATCH(AC123,techniques[name],0)),""),"")</f>
        <v/>
      </c>
    </row>
    <row r="124">
      <c r="A124" s="45" t="n"/>
      <c r="B124" s="62">
        <f t="array" ref="B124">IF(A124&lt;&gt;"",IF(INDEX(techniques[coverage],MATCH(A124,techniques[name],0))&gt;0,INDEX(techniques[coverage],MATCH(A124,techniques[name],0)),""),"")</f>
        <v/>
      </c>
      <c r="C124" s="45" t="n"/>
      <c r="D124" s="62">
        <f t="array" ref="D124">IF(C124&lt;&gt;"",IF(INDEX(techniques[coverage],MATCH(C124,techniques[name],0))&gt;0,INDEX(techniques[coverage],MATCH(C124,techniques[name],0)),""),"")</f>
        <v/>
      </c>
      <c r="E124" s="45" t="n"/>
      <c r="F124" s="62">
        <f t="array" ref="F124">IF(E124&lt;&gt;"",IF(INDEX(techniques[coverage],MATCH(E124,techniques[name],0))&gt;0,INDEX(techniques[coverage],MATCH(E124,techniques[name],0)),""),"")</f>
        <v/>
      </c>
      <c r="G124" s="45" t="n"/>
      <c r="H124" s="62">
        <f t="array" ref="H124">IF(G124&lt;&gt;"",IF(INDEX(techniques[coverage],MATCH(G124,techniques[name],0))&gt;0,INDEX(techniques[coverage],MATCH(G124,techniques[name],0)),""),"")</f>
        <v/>
      </c>
      <c r="I124" s="45" t="n"/>
      <c r="J124" s="62">
        <f t="array" ref="J124">IF(I124&lt;&gt;"",IF(INDEX(techniques[coverage],MATCH(I124,techniques[name],0))&gt;0,INDEX(techniques[coverage],MATCH(I124,techniques[name],0)),""),"")</f>
        <v/>
      </c>
      <c r="K124" s="45" t="n"/>
      <c r="L124" s="62">
        <f t="array" ref="L124">IF(K124&lt;&gt;"",IF(INDEX(techniques[coverage],MATCH(K124,techniques[name],0))&gt;0,INDEX(techniques[coverage],MATCH(K124,techniques[name],0)),""),"")</f>
        <v/>
      </c>
      <c r="M124" s="45" t="n"/>
      <c r="N124" s="62">
        <f t="array" ref="N124">IF(M124&lt;&gt;"",IF(INDEX(techniques[coverage],MATCH(M124,techniques[name],0))&gt;0,INDEX(techniques[coverage],MATCH(M124,techniques[name],0)),""),"")</f>
        <v/>
      </c>
      <c r="O124" s="45" t="n"/>
      <c r="P124" s="62">
        <f t="array" ref="P124">IF(O124&lt;&gt;"",IF(INDEX(techniques[coverage],MATCH(O124,techniques[name],0))&gt;0,INDEX(techniques[coverage],MATCH(O124,techniques[name],0)),""),"")</f>
        <v/>
      </c>
      <c r="Q124" s="45" t="n"/>
      <c r="R124" s="62">
        <f t="array" ref="R124">IF(Q124&lt;&gt;"",IF(INDEX(techniques[coverage],MATCH(Q124,techniques[name],0))&gt;0,INDEX(techniques[coverage],MATCH(Q124,techniques[name],0)),""),"")</f>
        <v/>
      </c>
      <c r="S124" s="45" t="n"/>
      <c r="T124" s="62">
        <f t="array" ref="T124">IF(S124&lt;&gt;"",IF(INDEX(techniques[coverage],MATCH(S124,techniques[name],0))&gt;0,INDEX(techniques[coverage],MATCH(S124,techniques[name],0)),""),"")</f>
        <v/>
      </c>
      <c r="U124" s="45" t="n"/>
      <c r="V124" s="62">
        <f t="array" ref="V124">IF(U124&lt;&gt;"",IF(INDEX(techniques[coverage],MATCH(U124,techniques[name],0))&gt;0,INDEX(techniques[coverage],MATCH(U124,techniques[name],0)),""),"")</f>
        <v/>
      </c>
      <c r="W124" s="45" t="n"/>
      <c r="X124" s="62">
        <f t="array" ref="X124">IF(W124&lt;&gt;"",IF(INDEX(techniques[coverage],MATCH(W124,techniques[name],0))&gt;0,INDEX(techniques[coverage],MATCH(W124,techniques[name],0)),""),"")</f>
        <v/>
      </c>
      <c r="Y124" s="45" t="n"/>
      <c r="Z124" s="62">
        <f t="array" ref="Z124">IF(Y124&lt;&gt;"",IF(INDEX(techniques[coverage],MATCH(Y124,techniques[name],0))&gt;0,INDEX(techniques[coverage],MATCH(Y124,techniques[name],0)),""),"")</f>
        <v/>
      </c>
      <c r="AA124" s="45" t="n"/>
      <c r="AB124" s="62">
        <f t="array" ref="AB124">IF(AA124&lt;&gt;"",IF(INDEX(techniques[coverage],MATCH(AA124,techniques[name],0))&gt;0,INDEX(techniques[coverage],MATCH(AA124,techniques[name],0)),""),"")</f>
        <v/>
      </c>
      <c r="AC124" s="45" t="n"/>
      <c r="AD124" s="62">
        <f t="array" ref="AD124">IF(AC124&lt;&gt;"",IF(INDEX(techniques[coverage],MATCH(AC124,techniques[name],0))&gt;0,INDEX(techniques[coverage],MATCH(AC124,techniques[name],0)),""),"")</f>
        <v/>
      </c>
    </row>
    <row r="125">
      <c r="A125" s="45" t="n"/>
      <c r="B125" s="62">
        <f t="array" ref="B125">IF(A125&lt;&gt;"",IF(INDEX(techniques[coverage],MATCH(A125,techniques[name],0))&gt;0,INDEX(techniques[coverage],MATCH(A125,techniques[name],0)),""),"")</f>
        <v/>
      </c>
      <c r="C125" s="45" t="n"/>
      <c r="D125" s="62">
        <f t="array" ref="D125">IF(C125&lt;&gt;"",IF(INDEX(techniques[coverage],MATCH(C125,techniques[name],0))&gt;0,INDEX(techniques[coverage],MATCH(C125,techniques[name],0)),""),"")</f>
        <v/>
      </c>
      <c r="E125" s="45" t="n"/>
      <c r="F125" s="62">
        <f t="array" ref="F125">IF(E125&lt;&gt;"",IF(INDEX(techniques[coverage],MATCH(E125,techniques[name],0))&gt;0,INDEX(techniques[coverage],MATCH(E125,techniques[name],0)),""),"")</f>
        <v/>
      </c>
      <c r="G125" s="45" t="n"/>
      <c r="H125" s="62">
        <f t="array" ref="H125">IF(G125&lt;&gt;"",IF(INDEX(techniques[coverage],MATCH(G125,techniques[name],0))&gt;0,INDEX(techniques[coverage],MATCH(G125,techniques[name],0)),""),"")</f>
        <v/>
      </c>
      <c r="I125" s="45" t="n"/>
      <c r="J125" s="62">
        <f t="array" ref="J125">IF(I125&lt;&gt;"",IF(INDEX(techniques[coverage],MATCH(I125,techniques[name],0))&gt;0,INDEX(techniques[coverage],MATCH(I125,techniques[name],0)),""),"")</f>
        <v/>
      </c>
      <c r="K125" s="45" t="n"/>
      <c r="L125" s="62">
        <f t="array" ref="L125">IF(K125&lt;&gt;"",IF(INDEX(techniques[coverage],MATCH(K125,techniques[name],0))&gt;0,INDEX(techniques[coverage],MATCH(K125,techniques[name],0)),""),"")</f>
        <v/>
      </c>
      <c r="M125" s="45" t="n"/>
      <c r="N125" s="62">
        <f t="array" ref="N125">IF(M125&lt;&gt;"",IF(INDEX(techniques[coverage],MATCH(M125,techniques[name],0))&gt;0,INDEX(techniques[coverage],MATCH(M125,techniques[name],0)),""),"")</f>
        <v/>
      </c>
      <c r="O125" s="45" t="n"/>
      <c r="P125" s="62">
        <f t="array" ref="P125">IF(O125&lt;&gt;"",IF(INDEX(techniques[coverage],MATCH(O125,techniques[name],0))&gt;0,INDEX(techniques[coverage],MATCH(O125,techniques[name],0)),""),"")</f>
        <v/>
      </c>
      <c r="Q125" s="45" t="n"/>
      <c r="R125" s="62">
        <f t="array" ref="R125">IF(Q125&lt;&gt;"",IF(INDEX(techniques[coverage],MATCH(Q125,techniques[name],0))&gt;0,INDEX(techniques[coverage],MATCH(Q125,techniques[name],0)),""),"")</f>
        <v/>
      </c>
      <c r="S125" s="45" t="n"/>
      <c r="T125" s="62">
        <f t="array" ref="T125">IF(S125&lt;&gt;"",IF(INDEX(techniques[coverage],MATCH(S125,techniques[name],0))&gt;0,INDEX(techniques[coverage],MATCH(S125,techniques[name],0)),""),"")</f>
        <v/>
      </c>
      <c r="U125" s="45" t="n"/>
      <c r="V125" s="62">
        <f t="array" ref="V125">IF(U125&lt;&gt;"",IF(INDEX(techniques[coverage],MATCH(U125,techniques[name],0))&gt;0,INDEX(techniques[coverage],MATCH(U125,techniques[name],0)),""),"")</f>
        <v/>
      </c>
      <c r="W125" s="45" t="n"/>
      <c r="X125" s="62">
        <f t="array" ref="X125">IF(W125&lt;&gt;"",IF(INDEX(techniques[coverage],MATCH(W125,techniques[name],0))&gt;0,INDEX(techniques[coverage],MATCH(W125,techniques[name],0)),""),"")</f>
        <v/>
      </c>
      <c r="Y125" s="45" t="n"/>
      <c r="Z125" s="62">
        <f t="array" ref="Z125">IF(Y125&lt;&gt;"",IF(INDEX(techniques[coverage],MATCH(Y125,techniques[name],0))&gt;0,INDEX(techniques[coverage],MATCH(Y125,techniques[name],0)),""),"")</f>
        <v/>
      </c>
      <c r="AA125" s="45" t="n"/>
      <c r="AB125" s="62">
        <f t="array" ref="AB125">IF(AA125&lt;&gt;"",IF(INDEX(techniques[coverage],MATCH(AA125,techniques[name],0))&gt;0,INDEX(techniques[coverage],MATCH(AA125,techniques[name],0)),""),"")</f>
        <v/>
      </c>
      <c r="AC125" s="45" t="n"/>
      <c r="AD125" s="62">
        <f t="array" ref="AD125">IF(AC125&lt;&gt;"",IF(INDEX(techniques[coverage],MATCH(AC125,techniques[name],0))&gt;0,INDEX(techniques[coverage],MATCH(AC125,techniques[name],0)),""),"")</f>
        <v/>
      </c>
    </row>
    <row r="126">
      <c r="A126" s="45" t="n"/>
      <c r="B126" s="62">
        <f t="array" ref="B126">IF(A126&lt;&gt;"",IF(INDEX(techniques[coverage],MATCH(A126,techniques[name],0))&gt;0,INDEX(techniques[coverage],MATCH(A126,techniques[name],0)),""),"")</f>
        <v/>
      </c>
      <c r="C126" s="45" t="n"/>
      <c r="D126" s="62">
        <f t="array" ref="D126">IF(C126&lt;&gt;"",IF(INDEX(techniques[coverage],MATCH(C126,techniques[name],0))&gt;0,INDEX(techniques[coverage],MATCH(C126,techniques[name],0)),""),"")</f>
        <v/>
      </c>
      <c r="E126" s="45" t="n"/>
      <c r="F126" s="62">
        <f t="array" ref="F126">IF(E126&lt;&gt;"",IF(INDEX(techniques[coverage],MATCH(E126,techniques[name],0))&gt;0,INDEX(techniques[coverage],MATCH(E126,techniques[name],0)),""),"")</f>
        <v/>
      </c>
      <c r="G126" s="45" t="n"/>
      <c r="H126" s="62">
        <f t="array" ref="H126">IF(G126&lt;&gt;"",IF(INDEX(techniques[coverage],MATCH(G126,techniques[name],0))&gt;0,INDEX(techniques[coverage],MATCH(G126,techniques[name],0)),""),"")</f>
        <v/>
      </c>
      <c r="I126" s="45" t="n"/>
      <c r="J126" s="62">
        <f t="array" ref="J126">IF(I126&lt;&gt;"",IF(INDEX(techniques[coverage],MATCH(I126,techniques[name],0))&gt;0,INDEX(techniques[coverage],MATCH(I126,techniques[name],0)),""),"")</f>
        <v/>
      </c>
      <c r="K126" s="45" t="n"/>
      <c r="L126" s="62">
        <f t="array" ref="L126">IF(K126&lt;&gt;"",IF(INDEX(techniques[coverage],MATCH(K126,techniques[name],0))&gt;0,INDEX(techniques[coverage],MATCH(K126,techniques[name],0)),""),"")</f>
        <v/>
      </c>
      <c r="M126" s="45" t="n"/>
      <c r="N126" s="62">
        <f t="array" ref="N126">IF(M126&lt;&gt;"",IF(INDEX(techniques[coverage],MATCH(M126,techniques[name],0))&gt;0,INDEX(techniques[coverage],MATCH(M126,techniques[name],0)),""),"")</f>
        <v/>
      </c>
      <c r="O126" s="45" t="n"/>
      <c r="P126" s="62">
        <f t="array" ref="P126">IF(O126&lt;&gt;"",IF(INDEX(techniques[coverage],MATCH(O126,techniques[name],0))&gt;0,INDEX(techniques[coverage],MATCH(O126,techniques[name],0)),""),"")</f>
        <v/>
      </c>
      <c r="Q126" s="45" t="n"/>
      <c r="R126" s="62">
        <f t="array" ref="R126">IF(Q126&lt;&gt;"",IF(INDEX(techniques[coverage],MATCH(Q126,techniques[name],0))&gt;0,INDEX(techniques[coverage],MATCH(Q126,techniques[name],0)),""),"")</f>
        <v/>
      </c>
      <c r="S126" s="45" t="n"/>
      <c r="T126" s="62">
        <f t="array" ref="T126">IF(S126&lt;&gt;"",IF(INDEX(techniques[coverage],MATCH(S126,techniques[name],0))&gt;0,INDEX(techniques[coverage],MATCH(S126,techniques[name],0)),""),"")</f>
        <v/>
      </c>
      <c r="U126" s="45" t="n"/>
      <c r="V126" s="62">
        <f t="array" ref="V126">IF(U126&lt;&gt;"",IF(INDEX(techniques[coverage],MATCH(U126,techniques[name],0))&gt;0,INDEX(techniques[coverage],MATCH(U126,techniques[name],0)),""),"")</f>
        <v/>
      </c>
      <c r="W126" s="45" t="n"/>
      <c r="X126" s="62">
        <f t="array" ref="X126">IF(W126&lt;&gt;"",IF(INDEX(techniques[coverage],MATCH(W126,techniques[name],0))&gt;0,INDEX(techniques[coverage],MATCH(W126,techniques[name],0)),""),"")</f>
        <v/>
      </c>
      <c r="Y126" s="45" t="n"/>
      <c r="Z126" s="62">
        <f t="array" ref="Z126">IF(Y126&lt;&gt;"",IF(INDEX(techniques[coverage],MATCH(Y126,techniques[name],0))&gt;0,INDEX(techniques[coverage],MATCH(Y126,techniques[name],0)),""),"")</f>
        <v/>
      </c>
      <c r="AA126" s="45" t="n"/>
      <c r="AB126" s="62">
        <f t="array" ref="AB126">IF(AA126&lt;&gt;"",IF(INDEX(techniques[coverage],MATCH(AA126,techniques[name],0))&gt;0,INDEX(techniques[coverage],MATCH(AA126,techniques[name],0)),""),"")</f>
        <v/>
      </c>
      <c r="AC126" s="45" t="n"/>
      <c r="AD126" s="62">
        <f t="array" ref="AD126">IF(AC126&lt;&gt;"",IF(INDEX(techniques[coverage],MATCH(AC126,techniques[name],0))&gt;0,INDEX(techniques[coverage],MATCH(AC126,techniques[name],0)),""),"")</f>
        <v/>
      </c>
    </row>
    <row r="127">
      <c r="A127" s="45" t="n"/>
      <c r="B127" s="62">
        <f t="array" ref="B127">IF(A127&lt;&gt;"",IF(INDEX(techniques[coverage],MATCH(A127,techniques[name],0))&gt;0,INDEX(techniques[coverage],MATCH(A127,techniques[name],0)),""),"")</f>
        <v/>
      </c>
      <c r="C127" s="45" t="n"/>
      <c r="D127" s="62">
        <f t="array" ref="D127">IF(C127&lt;&gt;"",IF(INDEX(techniques[coverage],MATCH(C127,techniques[name],0))&gt;0,INDEX(techniques[coverage],MATCH(C127,techniques[name],0)),""),"")</f>
        <v/>
      </c>
      <c r="E127" s="45" t="n"/>
      <c r="F127" s="62">
        <f t="array" ref="F127">IF(E127&lt;&gt;"",IF(INDEX(techniques[coverage],MATCH(E127,techniques[name],0))&gt;0,INDEX(techniques[coverage],MATCH(E127,techniques[name],0)),""),"")</f>
        <v/>
      </c>
      <c r="G127" s="45" t="n"/>
      <c r="H127" s="62">
        <f t="array" ref="H127">IF(G127&lt;&gt;"",IF(INDEX(techniques[coverage],MATCH(G127,techniques[name],0))&gt;0,INDEX(techniques[coverage],MATCH(G127,techniques[name],0)),""),"")</f>
        <v/>
      </c>
      <c r="I127" s="45" t="n"/>
      <c r="J127" s="62">
        <f t="array" ref="J127">IF(I127&lt;&gt;"",IF(INDEX(techniques[coverage],MATCH(I127,techniques[name],0))&gt;0,INDEX(techniques[coverage],MATCH(I127,techniques[name],0)),""),"")</f>
        <v/>
      </c>
      <c r="K127" s="45" t="n"/>
      <c r="L127" s="62">
        <f t="array" ref="L127">IF(K127&lt;&gt;"",IF(INDEX(techniques[coverage],MATCH(K127,techniques[name],0))&gt;0,INDEX(techniques[coverage],MATCH(K127,techniques[name],0)),""),"")</f>
        <v/>
      </c>
      <c r="M127" s="45" t="n"/>
      <c r="N127" s="62">
        <f t="array" ref="N127">IF(M127&lt;&gt;"",IF(INDEX(techniques[coverage],MATCH(M127,techniques[name],0))&gt;0,INDEX(techniques[coverage],MATCH(M127,techniques[name],0)),""),"")</f>
        <v/>
      </c>
      <c r="O127" s="45" t="n"/>
      <c r="P127" s="62">
        <f t="array" ref="P127">IF(O127&lt;&gt;"",IF(INDEX(techniques[coverage],MATCH(O127,techniques[name],0))&gt;0,INDEX(techniques[coverage],MATCH(O127,techniques[name],0)),""),"")</f>
        <v/>
      </c>
      <c r="Q127" s="45" t="n"/>
      <c r="R127" s="62">
        <f t="array" ref="R127">IF(Q127&lt;&gt;"",IF(INDEX(techniques[coverage],MATCH(Q127,techniques[name],0))&gt;0,INDEX(techniques[coverage],MATCH(Q127,techniques[name],0)),""),"")</f>
        <v/>
      </c>
      <c r="S127" s="45" t="n"/>
      <c r="T127" s="62">
        <f t="array" ref="T127">IF(S127&lt;&gt;"",IF(INDEX(techniques[coverage],MATCH(S127,techniques[name],0))&gt;0,INDEX(techniques[coverage],MATCH(S127,techniques[name],0)),""),"")</f>
        <v/>
      </c>
      <c r="U127" s="45" t="n"/>
      <c r="V127" s="62">
        <f t="array" ref="V127">IF(U127&lt;&gt;"",IF(INDEX(techniques[coverage],MATCH(U127,techniques[name],0))&gt;0,INDEX(techniques[coverage],MATCH(U127,techniques[name],0)),""),"")</f>
        <v/>
      </c>
      <c r="W127" s="45" t="n"/>
      <c r="X127" s="62">
        <f t="array" ref="X127">IF(W127&lt;&gt;"",IF(INDEX(techniques[coverage],MATCH(W127,techniques[name],0))&gt;0,INDEX(techniques[coverage],MATCH(W127,techniques[name],0)),""),"")</f>
        <v/>
      </c>
      <c r="Y127" s="45" t="n"/>
      <c r="Z127" s="62">
        <f t="array" ref="Z127">IF(Y127&lt;&gt;"",IF(INDEX(techniques[coverage],MATCH(Y127,techniques[name],0))&gt;0,INDEX(techniques[coverage],MATCH(Y127,techniques[name],0)),""),"")</f>
        <v/>
      </c>
      <c r="AA127" s="45" t="n"/>
      <c r="AB127" s="62">
        <f t="array" ref="AB127">IF(AA127&lt;&gt;"",IF(INDEX(techniques[coverage],MATCH(AA127,techniques[name],0))&gt;0,INDEX(techniques[coverage],MATCH(AA127,techniques[name],0)),""),"")</f>
        <v/>
      </c>
      <c r="AC127" s="45" t="n"/>
      <c r="AD127" s="62">
        <f t="array" ref="AD127">IF(AC127&lt;&gt;"",IF(INDEX(techniques[coverage],MATCH(AC127,techniques[name],0))&gt;0,INDEX(techniques[coverage],MATCH(AC127,techniques[name],0)),""),"")</f>
        <v/>
      </c>
    </row>
    <row r="128">
      <c r="A128" s="45" t="n"/>
      <c r="B128" s="62">
        <f t="array" ref="B128">IF(A128&lt;&gt;"",IF(INDEX(techniques[coverage],MATCH(A128,techniques[name],0))&gt;0,INDEX(techniques[coverage],MATCH(A128,techniques[name],0)),""),"")</f>
        <v/>
      </c>
      <c r="C128" s="45" t="n"/>
      <c r="D128" s="62">
        <f t="array" ref="D128">IF(C128&lt;&gt;"",IF(INDEX(techniques[coverage],MATCH(C128,techniques[name],0))&gt;0,INDEX(techniques[coverage],MATCH(C128,techniques[name],0)),""),"")</f>
        <v/>
      </c>
      <c r="E128" s="45" t="n"/>
      <c r="F128" s="62">
        <f t="array" ref="F128">IF(E128&lt;&gt;"",IF(INDEX(techniques[coverage],MATCH(E128,techniques[name],0))&gt;0,INDEX(techniques[coverage],MATCH(E128,techniques[name],0)),""),"")</f>
        <v/>
      </c>
      <c r="G128" s="45" t="n"/>
      <c r="H128" s="62">
        <f t="array" ref="H128">IF(G128&lt;&gt;"",IF(INDEX(techniques[coverage],MATCH(G128,techniques[name],0))&gt;0,INDEX(techniques[coverage],MATCH(G128,techniques[name],0)),""),"")</f>
        <v/>
      </c>
      <c r="I128" s="45" t="n"/>
      <c r="J128" s="62">
        <f t="array" ref="J128">IF(I128&lt;&gt;"",IF(INDEX(techniques[coverage],MATCH(I128,techniques[name],0))&gt;0,INDEX(techniques[coverage],MATCH(I128,techniques[name],0)),""),"")</f>
        <v/>
      </c>
      <c r="K128" s="45" t="n"/>
      <c r="L128" s="62">
        <f t="array" ref="L128">IF(K128&lt;&gt;"",IF(INDEX(techniques[coverage],MATCH(K128,techniques[name],0))&gt;0,INDEX(techniques[coverage],MATCH(K128,techniques[name],0)),""),"")</f>
        <v/>
      </c>
      <c r="M128" s="45" t="n"/>
      <c r="N128" s="62">
        <f t="array" ref="N128">IF(M128&lt;&gt;"",IF(INDEX(techniques[coverage],MATCH(M128,techniques[name],0))&gt;0,INDEX(techniques[coverage],MATCH(M128,techniques[name],0)),""),"")</f>
        <v/>
      </c>
      <c r="O128" s="45" t="n"/>
      <c r="P128" s="62">
        <f t="array" ref="P128">IF(O128&lt;&gt;"",IF(INDEX(techniques[coverage],MATCH(O128,techniques[name],0))&gt;0,INDEX(techniques[coverage],MATCH(O128,techniques[name],0)),""),"")</f>
        <v/>
      </c>
      <c r="Q128" s="45" t="n"/>
      <c r="R128" s="62">
        <f t="array" ref="R128">IF(Q128&lt;&gt;"",IF(INDEX(techniques[coverage],MATCH(Q128,techniques[name],0))&gt;0,INDEX(techniques[coverage],MATCH(Q128,techniques[name],0)),""),"")</f>
        <v/>
      </c>
      <c r="S128" s="45" t="n"/>
      <c r="T128" s="62">
        <f t="array" ref="T128">IF(S128&lt;&gt;"",IF(INDEX(techniques[coverage],MATCH(S128,techniques[name],0))&gt;0,INDEX(techniques[coverage],MATCH(S128,techniques[name],0)),""),"")</f>
        <v/>
      </c>
      <c r="U128" s="45" t="n"/>
      <c r="V128" s="62">
        <f t="array" ref="V128">IF(U128&lt;&gt;"",IF(INDEX(techniques[coverage],MATCH(U128,techniques[name],0))&gt;0,INDEX(techniques[coverage],MATCH(U128,techniques[name],0)),""),"")</f>
        <v/>
      </c>
      <c r="W128" s="45" t="n"/>
      <c r="X128" s="62">
        <f t="array" ref="X128">IF(W128&lt;&gt;"",IF(INDEX(techniques[coverage],MATCH(W128,techniques[name],0))&gt;0,INDEX(techniques[coverage],MATCH(W128,techniques[name],0)),""),"")</f>
        <v/>
      </c>
      <c r="Y128" s="45" t="n"/>
      <c r="Z128" s="62">
        <f t="array" ref="Z128">IF(Y128&lt;&gt;"",IF(INDEX(techniques[coverage],MATCH(Y128,techniques[name],0))&gt;0,INDEX(techniques[coverage],MATCH(Y128,techniques[name],0)),""),"")</f>
        <v/>
      </c>
      <c r="AA128" s="45" t="n"/>
      <c r="AB128" s="62">
        <f t="array" ref="AB128">IF(AA128&lt;&gt;"",IF(INDEX(techniques[coverage],MATCH(AA128,techniques[name],0))&gt;0,INDEX(techniques[coverage],MATCH(AA128,techniques[name],0)),""),"")</f>
        <v/>
      </c>
      <c r="AC128" s="45" t="n"/>
      <c r="AD128" s="62">
        <f t="array" ref="AD128">IF(AC128&lt;&gt;"",IF(INDEX(techniques[coverage],MATCH(AC128,techniques[name],0))&gt;0,INDEX(techniques[coverage],MATCH(AC128,techniques[name],0)),""),"")</f>
        <v/>
      </c>
    </row>
    <row r="129">
      <c r="A129" s="45" t="n"/>
      <c r="B129" s="62">
        <f t="array" ref="B129">IF(A129&lt;&gt;"",IF(INDEX(techniques[coverage],MATCH(A129,techniques[name],0))&gt;0,INDEX(techniques[coverage],MATCH(A129,techniques[name],0)),""),"")</f>
        <v/>
      </c>
      <c r="C129" s="45" t="n"/>
      <c r="D129" s="62">
        <f t="array" ref="D129">IF(C129&lt;&gt;"",IF(INDEX(techniques[coverage],MATCH(C129,techniques[name],0))&gt;0,INDEX(techniques[coverage],MATCH(C129,techniques[name],0)),""),"")</f>
        <v/>
      </c>
      <c r="E129" s="45" t="n"/>
      <c r="F129" s="62">
        <f t="array" ref="F129">IF(E129&lt;&gt;"",IF(INDEX(techniques[coverage],MATCH(E129,techniques[name],0))&gt;0,INDEX(techniques[coverage],MATCH(E129,techniques[name],0)),""),"")</f>
        <v/>
      </c>
      <c r="G129" s="45" t="n"/>
      <c r="H129" s="62">
        <f t="array" ref="H129">IF(G129&lt;&gt;"",IF(INDEX(techniques[coverage],MATCH(G129,techniques[name],0))&gt;0,INDEX(techniques[coverage],MATCH(G129,techniques[name],0)),""),"")</f>
        <v/>
      </c>
      <c r="I129" s="45" t="n"/>
      <c r="J129" s="62">
        <f t="array" ref="J129">IF(I129&lt;&gt;"",IF(INDEX(techniques[coverage],MATCH(I129,techniques[name],0))&gt;0,INDEX(techniques[coverage],MATCH(I129,techniques[name],0)),""),"")</f>
        <v/>
      </c>
      <c r="K129" s="45" t="n"/>
      <c r="L129" s="62">
        <f t="array" ref="L129">IF(K129&lt;&gt;"",IF(INDEX(techniques[coverage],MATCH(K129,techniques[name],0))&gt;0,INDEX(techniques[coverage],MATCH(K129,techniques[name],0)),""),"")</f>
        <v/>
      </c>
      <c r="M129" s="45" t="n"/>
      <c r="N129" s="62">
        <f t="array" ref="N129">IF(M129&lt;&gt;"",IF(INDEX(techniques[coverage],MATCH(M129,techniques[name],0))&gt;0,INDEX(techniques[coverage],MATCH(M129,techniques[name],0)),""),"")</f>
        <v/>
      </c>
      <c r="O129" s="45" t="n"/>
      <c r="P129" s="62">
        <f t="array" ref="P129">IF(O129&lt;&gt;"",IF(INDEX(techniques[coverage],MATCH(O129,techniques[name],0))&gt;0,INDEX(techniques[coverage],MATCH(O129,techniques[name],0)),""),"")</f>
        <v/>
      </c>
      <c r="Q129" s="45" t="n"/>
      <c r="R129" s="62">
        <f t="array" ref="R129">IF(Q129&lt;&gt;"",IF(INDEX(techniques[coverage],MATCH(Q129,techniques[name],0))&gt;0,INDEX(techniques[coverage],MATCH(Q129,techniques[name],0)),""),"")</f>
        <v/>
      </c>
      <c r="S129" s="45" t="n"/>
      <c r="T129" s="62">
        <f t="array" ref="T129">IF(S129&lt;&gt;"",IF(INDEX(techniques[coverage],MATCH(S129,techniques[name],0))&gt;0,INDEX(techniques[coverage],MATCH(S129,techniques[name],0)),""),"")</f>
        <v/>
      </c>
      <c r="U129" s="45" t="n"/>
      <c r="V129" s="62">
        <f t="array" ref="V129">IF(U129&lt;&gt;"",IF(INDEX(techniques[coverage],MATCH(U129,techniques[name],0))&gt;0,INDEX(techniques[coverage],MATCH(U129,techniques[name],0)),""),"")</f>
        <v/>
      </c>
      <c r="W129" s="45" t="n"/>
      <c r="X129" s="62">
        <f t="array" ref="X129">IF(W129&lt;&gt;"",IF(INDEX(techniques[coverage],MATCH(W129,techniques[name],0))&gt;0,INDEX(techniques[coverage],MATCH(W129,techniques[name],0)),""),"")</f>
        <v/>
      </c>
      <c r="Y129" s="45" t="n"/>
      <c r="Z129" s="62">
        <f t="array" ref="Z129">IF(Y129&lt;&gt;"",IF(INDEX(techniques[coverage],MATCH(Y129,techniques[name],0))&gt;0,INDEX(techniques[coverage],MATCH(Y129,techniques[name],0)),""),"")</f>
        <v/>
      </c>
      <c r="AA129" s="45" t="n"/>
      <c r="AB129" s="62">
        <f t="array" ref="AB129">IF(AA129&lt;&gt;"",IF(INDEX(techniques[coverage],MATCH(AA129,techniques[name],0))&gt;0,INDEX(techniques[coverage],MATCH(AA129,techniques[name],0)),""),"")</f>
        <v/>
      </c>
      <c r="AC129" s="45" t="n"/>
      <c r="AD129" s="62">
        <f t="array" ref="AD129">IF(AC129&lt;&gt;"",IF(INDEX(techniques[coverage],MATCH(AC129,techniques[name],0))&gt;0,INDEX(techniques[coverage],MATCH(AC129,techniques[name],0)),""),"")</f>
        <v/>
      </c>
    </row>
    <row r="130">
      <c r="A130" s="45" t="n"/>
      <c r="B130" s="62">
        <f t="array" ref="B130">IF(A130&lt;&gt;"",IF(INDEX(techniques[coverage],MATCH(A130,techniques[name],0))&gt;0,INDEX(techniques[coverage],MATCH(A130,techniques[name],0)),""),"")</f>
        <v/>
      </c>
      <c r="C130" s="45" t="n"/>
      <c r="D130" s="62">
        <f t="array" ref="D130">IF(C130&lt;&gt;"",IF(INDEX(techniques[coverage],MATCH(C130,techniques[name],0))&gt;0,INDEX(techniques[coverage],MATCH(C130,techniques[name],0)),""),"")</f>
        <v/>
      </c>
      <c r="E130" s="45" t="n"/>
      <c r="F130" s="62">
        <f t="array" ref="F130">IF(E130&lt;&gt;"",IF(INDEX(techniques[coverage],MATCH(E130,techniques[name],0))&gt;0,INDEX(techniques[coverage],MATCH(E130,techniques[name],0)),""),"")</f>
        <v/>
      </c>
      <c r="G130" s="45" t="n"/>
      <c r="H130" s="62">
        <f t="array" ref="H130">IF(G130&lt;&gt;"",IF(INDEX(techniques[coverage],MATCH(G130,techniques[name],0))&gt;0,INDEX(techniques[coverage],MATCH(G130,techniques[name],0)),""),"")</f>
        <v/>
      </c>
      <c r="I130" s="45" t="n"/>
      <c r="J130" s="62">
        <f t="array" ref="J130">IF(I130&lt;&gt;"",IF(INDEX(techniques[coverage],MATCH(I130,techniques[name],0))&gt;0,INDEX(techniques[coverage],MATCH(I130,techniques[name],0)),""),"")</f>
        <v/>
      </c>
      <c r="K130" s="45" t="n"/>
      <c r="L130" s="62">
        <f t="array" ref="L130">IF(K130&lt;&gt;"",IF(INDEX(techniques[coverage],MATCH(K130,techniques[name],0))&gt;0,INDEX(techniques[coverage],MATCH(K130,techniques[name],0)),""),"")</f>
        <v/>
      </c>
      <c r="M130" s="45" t="n"/>
      <c r="N130" s="62">
        <f t="array" ref="N130">IF(M130&lt;&gt;"",IF(INDEX(techniques[coverage],MATCH(M130,techniques[name],0))&gt;0,INDEX(techniques[coverage],MATCH(M130,techniques[name],0)),""),"")</f>
        <v/>
      </c>
      <c r="O130" s="45" t="n"/>
      <c r="P130" s="62">
        <f t="array" ref="P130">IF(O130&lt;&gt;"",IF(INDEX(techniques[coverage],MATCH(O130,techniques[name],0))&gt;0,INDEX(techniques[coverage],MATCH(O130,techniques[name],0)),""),"")</f>
        <v/>
      </c>
      <c r="Q130" s="45" t="n"/>
      <c r="R130" s="62">
        <f t="array" ref="R130">IF(Q130&lt;&gt;"",IF(INDEX(techniques[coverage],MATCH(Q130,techniques[name],0))&gt;0,INDEX(techniques[coverage],MATCH(Q130,techniques[name],0)),""),"")</f>
        <v/>
      </c>
      <c r="S130" s="45" t="n"/>
      <c r="T130" s="62">
        <f t="array" ref="T130">IF(S130&lt;&gt;"",IF(INDEX(techniques[coverage],MATCH(S130,techniques[name],0))&gt;0,INDEX(techniques[coverage],MATCH(S130,techniques[name],0)),""),"")</f>
        <v/>
      </c>
      <c r="U130" s="45" t="n"/>
      <c r="V130" s="62">
        <f t="array" ref="V130">IF(U130&lt;&gt;"",IF(INDEX(techniques[coverage],MATCH(U130,techniques[name],0))&gt;0,INDEX(techniques[coverage],MATCH(U130,techniques[name],0)),""),"")</f>
        <v/>
      </c>
      <c r="W130" s="45" t="n"/>
      <c r="X130" s="62">
        <f t="array" ref="X130">IF(W130&lt;&gt;"",IF(INDEX(techniques[coverage],MATCH(W130,techniques[name],0))&gt;0,INDEX(techniques[coverage],MATCH(W130,techniques[name],0)),""),"")</f>
        <v/>
      </c>
      <c r="Y130" s="45" t="n"/>
      <c r="Z130" s="62">
        <f t="array" ref="Z130">IF(Y130&lt;&gt;"",IF(INDEX(techniques[coverage],MATCH(Y130,techniques[name],0))&gt;0,INDEX(techniques[coverage],MATCH(Y130,techniques[name],0)),""),"")</f>
        <v/>
      </c>
      <c r="AA130" s="45" t="n"/>
      <c r="AB130" s="62">
        <f t="array" ref="AB130">IF(AA130&lt;&gt;"",IF(INDEX(techniques[coverage],MATCH(AA130,techniques[name],0))&gt;0,INDEX(techniques[coverage],MATCH(AA130,techniques[name],0)),""),"")</f>
        <v/>
      </c>
      <c r="AC130" s="45" t="n"/>
      <c r="AD130" s="62">
        <f t="array" ref="AD130">IF(AC130&lt;&gt;"",IF(INDEX(techniques[coverage],MATCH(AC130,techniques[name],0))&gt;0,INDEX(techniques[coverage],MATCH(AC130,techniques[name],0)),""),"")</f>
        <v/>
      </c>
    </row>
    <row r="131">
      <c r="A131" s="45" t="n"/>
      <c r="B131" s="62">
        <f t="array" ref="B131">IF(A131&lt;&gt;"",IF(INDEX(techniques[coverage],MATCH(A131,techniques[name],0))&gt;0,INDEX(techniques[coverage],MATCH(A131,techniques[name],0)),""),"")</f>
        <v/>
      </c>
      <c r="C131" s="45" t="n"/>
      <c r="D131" s="62">
        <f t="array" ref="D131">IF(C131&lt;&gt;"",IF(INDEX(techniques[coverage],MATCH(C131,techniques[name],0))&gt;0,INDEX(techniques[coverage],MATCH(C131,techniques[name],0)),""),"")</f>
        <v/>
      </c>
      <c r="E131" s="45" t="n"/>
      <c r="F131" s="62">
        <f t="array" ref="F131">IF(E131&lt;&gt;"",IF(INDEX(techniques[coverage],MATCH(E131,techniques[name],0))&gt;0,INDEX(techniques[coverage],MATCH(E131,techniques[name],0)),""),"")</f>
        <v/>
      </c>
      <c r="G131" s="45" t="n"/>
      <c r="H131" s="62">
        <f t="array" ref="H131">IF(G131&lt;&gt;"",IF(INDEX(techniques[coverage],MATCH(G131,techniques[name],0))&gt;0,INDEX(techniques[coverage],MATCH(G131,techniques[name],0)),""),"")</f>
        <v/>
      </c>
      <c r="I131" s="45" t="n"/>
      <c r="J131" s="62">
        <f t="array" ref="J131">IF(I131&lt;&gt;"",IF(INDEX(techniques[coverage],MATCH(I131,techniques[name],0))&gt;0,INDEX(techniques[coverage],MATCH(I131,techniques[name],0)),""),"")</f>
        <v/>
      </c>
      <c r="K131" s="45" t="n"/>
      <c r="L131" s="62">
        <f t="array" ref="L131">IF(K131&lt;&gt;"",IF(INDEX(techniques[coverage],MATCH(K131,techniques[name],0))&gt;0,INDEX(techniques[coverage],MATCH(K131,techniques[name],0)),""),"")</f>
        <v/>
      </c>
      <c r="M131" s="45" t="n"/>
      <c r="N131" s="62">
        <f t="array" ref="N131">IF(M131&lt;&gt;"",IF(INDEX(techniques[coverage],MATCH(M131,techniques[name],0))&gt;0,INDEX(techniques[coverage],MATCH(M131,techniques[name],0)),""),"")</f>
        <v/>
      </c>
      <c r="O131" s="45" t="n"/>
      <c r="P131" s="62">
        <f t="array" ref="P131">IF(O131&lt;&gt;"",IF(INDEX(techniques[coverage],MATCH(O131,techniques[name],0))&gt;0,INDEX(techniques[coverage],MATCH(O131,techniques[name],0)),""),"")</f>
        <v/>
      </c>
      <c r="Q131" s="45" t="n"/>
      <c r="R131" s="62">
        <f t="array" ref="R131">IF(Q131&lt;&gt;"",IF(INDEX(techniques[coverage],MATCH(Q131,techniques[name],0))&gt;0,INDEX(techniques[coverage],MATCH(Q131,techniques[name],0)),""),"")</f>
        <v/>
      </c>
      <c r="S131" s="45" t="n"/>
      <c r="T131" s="62">
        <f t="array" ref="T131">IF(S131&lt;&gt;"",IF(INDEX(techniques[coverage],MATCH(S131,techniques[name],0))&gt;0,INDEX(techniques[coverage],MATCH(S131,techniques[name],0)),""),"")</f>
        <v/>
      </c>
      <c r="U131" s="45" t="n"/>
      <c r="V131" s="62">
        <f t="array" ref="V131">IF(U131&lt;&gt;"",IF(INDEX(techniques[coverage],MATCH(U131,techniques[name],0))&gt;0,INDEX(techniques[coverage],MATCH(U131,techniques[name],0)),""),"")</f>
        <v/>
      </c>
      <c r="W131" s="45" t="n"/>
      <c r="X131" s="62">
        <f t="array" ref="X131">IF(W131&lt;&gt;"",IF(INDEX(techniques[coverage],MATCH(W131,techniques[name],0))&gt;0,INDEX(techniques[coverage],MATCH(W131,techniques[name],0)),""),"")</f>
        <v/>
      </c>
      <c r="Y131" s="45" t="n"/>
      <c r="Z131" s="62">
        <f t="array" ref="Z131">IF(Y131&lt;&gt;"",IF(INDEX(techniques[coverage],MATCH(Y131,techniques[name],0))&gt;0,INDEX(techniques[coverage],MATCH(Y131,techniques[name],0)),""),"")</f>
        <v/>
      </c>
      <c r="AA131" s="45" t="n"/>
      <c r="AB131" s="62">
        <f t="array" ref="AB131">IF(AA131&lt;&gt;"",IF(INDEX(techniques[coverage],MATCH(AA131,techniques[name],0))&gt;0,INDEX(techniques[coverage],MATCH(AA131,techniques[name],0)),""),"")</f>
        <v/>
      </c>
      <c r="AC131" s="45" t="n"/>
      <c r="AD131" s="62">
        <f t="array" ref="AD131">IF(AC131&lt;&gt;"",IF(INDEX(techniques[coverage],MATCH(AC131,techniques[name],0))&gt;0,INDEX(techniques[coverage],MATCH(AC131,techniques[name],0)),""),"")</f>
        <v/>
      </c>
    </row>
    <row r="132">
      <c r="A132" s="45" t="n"/>
      <c r="B132" s="62">
        <f t="array" ref="B132">IF(A132&lt;&gt;"",IF(INDEX(techniques[coverage],MATCH(A132,techniques[name],0))&gt;0,INDEX(techniques[coverage],MATCH(A132,techniques[name],0)),""),"")</f>
        <v/>
      </c>
      <c r="C132" s="45" t="n"/>
      <c r="D132" s="62">
        <f t="array" ref="D132">IF(C132&lt;&gt;"",IF(INDEX(techniques[coverage],MATCH(C132,techniques[name],0))&gt;0,INDEX(techniques[coverage],MATCH(C132,techniques[name],0)),""),"")</f>
        <v/>
      </c>
      <c r="E132" s="45" t="n"/>
      <c r="F132" s="62">
        <f t="array" ref="F132">IF(E132&lt;&gt;"",IF(INDEX(techniques[coverage],MATCH(E132,techniques[name],0))&gt;0,INDEX(techniques[coverage],MATCH(E132,techniques[name],0)),""),"")</f>
        <v/>
      </c>
      <c r="G132" s="45" t="n"/>
      <c r="H132" s="62">
        <f t="array" ref="H132">IF(G132&lt;&gt;"",IF(INDEX(techniques[coverage],MATCH(G132,techniques[name],0))&gt;0,INDEX(techniques[coverage],MATCH(G132,techniques[name],0)),""),"")</f>
        <v/>
      </c>
      <c r="I132" s="45" t="n"/>
      <c r="J132" s="62">
        <f t="array" ref="J132">IF(I132&lt;&gt;"",IF(INDEX(techniques[coverage],MATCH(I132,techniques[name],0))&gt;0,INDEX(techniques[coverage],MATCH(I132,techniques[name],0)),""),"")</f>
        <v/>
      </c>
      <c r="K132" s="45" t="n"/>
      <c r="L132" s="62">
        <f t="array" ref="L132">IF(K132&lt;&gt;"",IF(INDEX(techniques[coverage],MATCH(K132,techniques[name],0))&gt;0,INDEX(techniques[coverage],MATCH(K132,techniques[name],0)),""),"")</f>
        <v/>
      </c>
      <c r="M132" s="45" t="n"/>
      <c r="N132" s="62">
        <f t="array" ref="N132">IF(M132&lt;&gt;"",IF(INDEX(techniques[coverage],MATCH(M132,techniques[name],0))&gt;0,INDEX(techniques[coverage],MATCH(M132,techniques[name],0)),""),"")</f>
        <v/>
      </c>
      <c r="O132" s="45" t="n"/>
      <c r="P132" s="62">
        <f t="array" ref="P132">IF(O132&lt;&gt;"",IF(INDEX(techniques[coverage],MATCH(O132,techniques[name],0))&gt;0,INDEX(techniques[coverage],MATCH(O132,techniques[name],0)),""),"")</f>
        <v/>
      </c>
      <c r="Q132" s="45" t="n"/>
      <c r="R132" s="62">
        <f t="array" ref="R132">IF(Q132&lt;&gt;"",IF(INDEX(techniques[coverage],MATCH(Q132,techniques[name],0))&gt;0,INDEX(techniques[coverage],MATCH(Q132,techniques[name],0)),""),"")</f>
        <v/>
      </c>
      <c r="S132" s="45" t="n"/>
      <c r="T132" s="62">
        <f t="array" ref="T132">IF(S132&lt;&gt;"",IF(INDEX(techniques[coverage],MATCH(S132,techniques[name],0))&gt;0,INDEX(techniques[coverage],MATCH(S132,techniques[name],0)),""),"")</f>
        <v/>
      </c>
      <c r="U132" s="45" t="n"/>
      <c r="V132" s="62">
        <f t="array" ref="V132">IF(U132&lt;&gt;"",IF(INDEX(techniques[coverage],MATCH(U132,techniques[name],0))&gt;0,INDEX(techniques[coverage],MATCH(U132,techniques[name],0)),""),"")</f>
        <v/>
      </c>
      <c r="W132" s="45" t="n"/>
      <c r="X132" s="62">
        <f t="array" ref="X132">IF(W132&lt;&gt;"",IF(INDEX(techniques[coverage],MATCH(W132,techniques[name],0))&gt;0,INDEX(techniques[coverage],MATCH(W132,techniques[name],0)),""),"")</f>
        <v/>
      </c>
      <c r="Y132" s="45" t="n"/>
      <c r="Z132" s="62">
        <f t="array" ref="Z132">IF(Y132&lt;&gt;"",IF(INDEX(techniques[coverage],MATCH(Y132,techniques[name],0))&gt;0,INDEX(techniques[coverage],MATCH(Y132,techniques[name],0)),""),"")</f>
        <v/>
      </c>
      <c r="AA132" s="45" t="n"/>
      <c r="AB132" s="62">
        <f t="array" ref="AB132">IF(AA132&lt;&gt;"",IF(INDEX(techniques[coverage],MATCH(AA132,techniques[name],0))&gt;0,INDEX(techniques[coverage],MATCH(AA132,techniques[name],0)),""),"")</f>
        <v/>
      </c>
      <c r="AC132" s="45" t="n"/>
      <c r="AD132" s="62">
        <f t="array" ref="AD132">IF(AC132&lt;&gt;"",IF(INDEX(techniques[coverage],MATCH(AC132,techniques[name],0))&gt;0,INDEX(techniques[coverage],MATCH(AC132,techniques[name],0)),""),"")</f>
        <v/>
      </c>
    </row>
    <row r="133">
      <c r="A133" s="45" t="n"/>
      <c r="B133" s="62">
        <f t="array" ref="B133">IF(A133&lt;&gt;"",IF(INDEX(techniques[coverage],MATCH(A133,techniques[name],0))&gt;0,INDEX(techniques[coverage],MATCH(A133,techniques[name],0)),""),"")</f>
        <v/>
      </c>
      <c r="C133" s="45" t="n"/>
      <c r="D133" s="62">
        <f t="array" ref="D133">IF(C133&lt;&gt;"",IF(INDEX(techniques[coverage],MATCH(C133,techniques[name],0))&gt;0,INDEX(techniques[coverage],MATCH(C133,techniques[name],0)),""),"")</f>
        <v/>
      </c>
      <c r="E133" s="45" t="n"/>
      <c r="F133" s="62">
        <f t="array" ref="F133">IF(E133&lt;&gt;"",IF(INDEX(techniques[coverage],MATCH(E133,techniques[name],0))&gt;0,INDEX(techniques[coverage],MATCH(E133,techniques[name],0)),""),"")</f>
        <v/>
      </c>
      <c r="G133" s="45" t="n"/>
      <c r="H133" s="62">
        <f t="array" ref="H133">IF(G133&lt;&gt;"",IF(INDEX(techniques[coverage],MATCH(G133,techniques[name],0))&gt;0,INDEX(techniques[coverage],MATCH(G133,techniques[name],0)),""),"")</f>
        <v/>
      </c>
      <c r="I133" s="45" t="n"/>
      <c r="J133" s="62">
        <f t="array" ref="J133">IF(I133&lt;&gt;"",IF(INDEX(techniques[coverage],MATCH(I133,techniques[name],0))&gt;0,INDEX(techniques[coverage],MATCH(I133,techniques[name],0)),""),"")</f>
        <v/>
      </c>
      <c r="K133" s="45" t="n"/>
      <c r="L133" s="62">
        <f t="array" ref="L133">IF(K133&lt;&gt;"",IF(INDEX(techniques[coverage],MATCH(K133,techniques[name],0))&gt;0,INDEX(techniques[coverage],MATCH(K133,techniques[name],0)),""),"")</f>
        <v/>
      </c>
      <c r="M133" s="45" t="n"/>
      <c r="N133" s="62">
        <f t="array" ref="N133">IF(M133&lt;&gt;"",IF(INDEX(techniques[coverage],MATCH(M133,techniques[name],0))&gt;0,INDEX(techniques[coverage],MATCH(M133,techniques[name],0)),""),"")</f>
        <v/>
      </c>
      <c r="O133" s="45" t="n"/>
      <c r="P133" s="62">
        <f t="array" ref="P133">IF(O133&lt;&gt;"",IF(INDEX(techniques[coverage],MATCH(O133,techniques[name],0))&gt;0,INDEX(techniques[coverage],MATCH(O133,techniques[name],0)),""),"")</f>
        <v/>
      </c>
      <c r="Q133" s="45" t="n"/>
      <c r="R133" s="62">
        <f t="array" ref="R133">IF(Q133&lt;&gt;"",IF(INDEX(techniques[coverage],MATCH(Q133,techniques[name],0))&gt;0,INDEX(techniques[coverage],MATCH(Q133,techniques[name],0)),""),"")</f>
        <v/>
      </c>
      <c r="S133" s="45" t="n"/>
      <c r="T133" s="62">
        <f t="array" ref="T133">IF(S133&lt;&gt;"",IF(INDEX(techniques[coverage],MATCH(S133,techniques[name],0))&gt;0,INDEX(techniques[coverage],MATCH(S133,techniques[name],0)),""),"")</f>
        <v/>
      </c>
      <c r="U133" s="45" t="n"/>
      <c r="V133" s="62">
        <f t="array" ref="V133">IF(U133&lt;&gt;"",IF(INDEX(techniques[coverage],MATCH(U133,techniques[name],0))&gt;0,INDEX(techniques[coverage],MATCH(U133,techniques[name],0)),""),"")</f>
        <v/>
      </c>
      <c r="W133" s="45" t="n"/>
      <c r="X133" s="62">
        <f t="array" ref="X133">IF(W133&lt;&gt;"",IF(INDEX(techniques[coverage],MATCH(W133,techniques[name],0))&gt;0,INDEX(techniques[coverage],MATCH(W133,techniques[name],0)),""),"")</f>
        <v/>
      </c>
      <c r="Y133" s="45" t="n"/>
      <c r="Z133" s="62">
        <f t="array" ref="Z133">IF(Y133&lt;&gt;"",IF(INDEX(techniques[coverage],MATCH(Y133,techniques[name],0))&gt;0,INDEX(techniques[coverage],MATCH(Y133,techniques[name],0)),""),"")</f>
        <v/>
      </c>
      <c r="AA133" s="45" t="n"/>
      <c r="AB133" s="62">
        <f t="array" ref="AB133">IF(AA133&lt;&gt;"",IF(INDEX(techniques[coverage],MATCH(AA133,techniques[name],0))&gt;0,INDEX(techniques[coverage],MATCH(AA133,techniques[name],0)),""),"")</f>
        <v/>
      </c>
      <c r="AC133" s="45" t="n"/>
      <c r="AD133" s="62">
        <f t="array" ref="AD133">IF(AC133&lt;&gt;"",IF(INDEX(techniques[coverage],MATCH(AC133,techniques[name],0))&gt;0,INDEX(techniques[coverage],MATCH(AC133,techniques[name],0)),""),"")</f>
        <v/>
      </c>
    </row>
    <row r="134">
      <c r="A134" s="45" t="n"/>
      <c r="B134" s="62">
        <f t="array" ref="B134">IF(A134&lt;&gt;"",IF(INDEX(techniques[coverage],MATCH(A134,techniques[name],0))&gt;0,INDEX(techniques[coverage],MATCH(A134,techniques[name],0)),""),"")</f>
        <v/>
      </c>
      <c r="C134" s="45" t="n"/>
      <c r="D134" s="62">
        <f t="array" ref="D134">IF(C134&lt;&gt;"",IF(INDEX(techniques[coverage],MATCH(C134,techniques[name],0))&gt;0,INDEX(techniques[coverage],MATCH(C134,techniques[name],0)),""),"")</f>
        <v/>
      </c>
      <c r="E134" s="45" t="n"/>
      <c r="F134" s="62">
        <f t="array" ref="F134">IF(E134&lt;&gt;"",IF(INDEX(techniques[coverage],MATCH(E134,techniques[name],0))&gt;0,INDEX(techniques[coverage],MATCH(E134,techniques[name],0)),""),"")</f>
        <v/>
      </c>
      <c r="G134" s="45" t="n"/>
      <c r="H134" s="62">
        <f t="array" ref="H134">IF(G134&lt;&gt;"",IF(INDEX(techniques[coverage],MATCH(G134,techniques[name],0))&gt;0,INDEX(techniques[coverage],MATCH(G134,techniques[name],0)),""),"")</f>
        <v/>
      </c>
      <c r="I134" s="45" t="n"/>
      <c r="J134" s="62">
        <f t="array" ref="J134">IF(I134&lt;&gt;"",IF(INDEX(techniques[coverage],MATCH(I134,techniques[name],0))&gt;0,INDEX(techniques[coverage],MATCH(I134,techniques[name],0)),""),"")</f>
        <v/>
      </c>
      <c r="K134" s="45" t="n"/>
      <c r="L134" s="62">
        <f t="array" ref="L134">IF(K134&lt;&gt;"",IF(INDEX(techniques[coverage],MATCH(K134,techniques[name],0))&gt;0,INDEX(techniques[coverage],MATCH(K134,techniques[name],0)),""),"")</f>
        <v/>
      </c>
      <c r="M134" s="45" t="n"/>
      <c r="N134" s="62">
        <f t="array" ref="N134">IF(M134&lt;&gt;"",IF(INDEX(techniques[coverage],MATCH(M134,techniques[name],0))&gt;0,INDEX(techniques[coverage],MATCH(M134,techniques[name],0)),""),"")</f>
        <v/>
      </c>
      <c r="O134" s="45" t="n"/>
      <c r="P134" s="62">
        <f t="array" ref="P134">IF(O134&lt;&gt;"",IF(INDEX(techniques[coverage],MATCH(O134,techniques[name],0))&gt;0,INDEX(techniques[coverage],MATCH(O134,techniques[name],0)),""),"")</f>
        <v/>
      </c>
      <c r="Q134" s="45" t="n"/>
      <c r="R134" s="62">
        <f t="array" ref="R134">IF(Q134&lt;&gt;"",IF(INDEX(techniques[coverage],MATCH(Q134,techniques[name],0))&gt;0,INDEX(techniques[coverage],MATCH(Q134,techniques[name],0)),""),"")</f>
        <v/>
      </c>
      <c r="S134" s="45" t="n"/>
      <c r="T134" s="62">
        <f t="array" ref="T134">IF(S134&lt;&gt;"",IF(INDEX(techniques[coverage],MATCH(S134,techniques[name],0))&gt;0,INDEX(techniques[coverage],MATCH(S134,techniques[name],0)),""),"")</f>
        <v/>
      </c>
      <c r="U134" s="45" t="n"/>
      <c r="V134" s="62">
        <f t="array" ref="V134">IF(U134&lt;&gt;"",IF(INDEX(techniques[coverage],MATCH(U134,techniques[name],0))&gt;0,INDEX(techniques[coverage],MATCH(U134,techniques[name],0)),""),"")</f>
        <v/>
      </c>
      <c r="W134" s="45" t="n"/>
      <c r="X134" s="62">
        <f t="array" ref="X134">IF(W134&lt;&gt;"",IF(INDEX(techniques[coverage],MATCH(W134,techniques[name],0))&gt;0,INDEX(techniques[coverage],MATCH(W134,techniques[name],0)),""),"")</f>
        <v/>
      </c>
      <c r="Y134" s="45" t="n"/>
      <c r="Z134" s="62">
        <f t="array" ref="Z134">IF(Y134&lt;&gt;"",IF(INDEX(techniques[coverage],MATCH(Y134,techniques[name],0))&gt;0,INDEX(techniques[coverage],MATCH(Y134,techniques[name],0)),""),"")</f>
        <v/>
      </c>
      <c r="AA134" s="45" t="n"/>
      <c r="AB134" s="62">
        <f t="array" ref="AB134">IF(AA134&lt;&gt;"",IF(INDEX(techniques[coverage],MATCH(AA134,techniques[name],0))&gt;0,INDEX(techniques[coverage],MATCH(AA134,techniques[name],0)),""),"")</f>
        <v/>
      </c>
      <c r="AC134" s="45" t="n"/>
      <c r="AD134" s="62">
        <f t="array" ref="AD134">IF(AC134&lt;&gt;"",IF(INDEX(techniques[coverage],MATCH(AC134,techniques[name],0))&gt;0,INDEX(techniques[coverage],MATCH(AC134,techniques[name],0)),""),"")</f>
        <v/>
      </c>
    </row>
    <row r="135">
      <c r="A135" s="45" t="n"/>
      <c r="B135" s="62">
        <f t="array" ref="B135">IF(A135&lt;&gt;"",IF(INDEX(techniques[coverage],MATCH(A135,techniques[name],0))&gt;0,INDEX(techniques[coverage],MATCH(A135,techniques[name],0)),""),"")</f>
        <v/>
      </c>
      <c r="C135" s="45" t="n"/>
      <c r="D135" s="62">
        <f t="array" ref="D135">IF(C135&lt;&gt;"",IF(INDEX(techniques[coverage],MATCH(C135,techniques[name],0))&gt;0,INDEX(techniques[coverage],MATCH(C135,techniques[name],0)),""),"")</f>
        <v/>
      </c>
      <c r="E135" s="45" t="n"/>
      <c r="F135" s="62">
        <f t="array" ref="F135">IF(E135&lt;&gt;"",IF(INDEX(techniques[coverage],MATCH(E135,techniques[name],0))&gt;0,INDEX(techniques[coverage],MATCH(E135,techniques[name],0)),""),"")</f>
        <v/>
      </c>
      <c r="G135" s="45" t="n"/>
      <c r="H135" s="62">
        <f t="array" ref="H135">IF(G135&lt;&gt;"",IF(INDEX(techniques[coverage],MATCH(G135,techniques[name],0))&gt;0,INDEX(techniques[coverage],MATCH(G135,techniques[name],0)),""),"")</f>
        <v/>
      </c>
      <c r="I135" s="45" t="n"/>
      <c r="J135" s="62">
        <f t="array" ref="J135">IF(I135&lt;&gt;"",IF(INDEX(techniques[coverage],MATCH(I135,techniques[name],0))&gt;0,INDEX(techniques[coverage],MATCH(I135,techniques[name],0)),""),"")</f>
        <v/>
      </c>
      <c r="K135" s="45" t="n"/>
      <c r="L135" s="62">
        <f t="array" ref="L135">IF(K135&lt;&gt;"",IF(INDEX(techniques[coverage],MATCH(K135,techniques[name],0))&gt;0,INDEX(techniques[coverage],MATCH(K135,techniques[name],0)),""),"")</f>
        <v/>
      </c>
      <c r="M135" s="45" t="n"/>
      <c r="N135" s="62">
        <f t="array" ref="N135">IF(M135&lt;&gt;"",IF(INDEX(techniques[coverage],MATCH(M135,techniques[name],0))&gt;0,INDEX(techniques[coverage],MATCH(M135,techniques[name],0)),""),"")</f>
        <v/>
      </c>
      <c r="O135" s="45" t="n"/>
      <c r="P135" s="62">
        <f t="array" ref="P135">IF(O135&lt;&gt;"",IF(INDEX(techniques[coverage],MATCH(O135,techniques[name],0))&gt;0,INDEX(techniques[coverage],MATCH(O135,techniques[name],0)),""),"")</f>
        <v/>
      </c>
      <c r="Q135" s="45" t="n"/>
      <c r="R135" s="62">
        <f t="array" ref="R135">IF(Q135&lt;&gt;"",IF(INDEX(techniques[coverage],MATCH(Q135,techniques[name],0))&gt;0,INDEX(techniques[coverage],MATCH(Q135,techniques[name],0)),""),"")</f>
        <v/>
      </c>
      <c r="S135" s="45" t="n"/>
      <c r="T135" s="62">
        <f t="array" ref="T135">IF(S135&lt;&gt;"",IF(INDEX(techniques[coverage],MATCH(S135,techniques[name],0))&gt;0,INDEX(techniques[coverage],MATCH(S135,techniques[name],0)),""),"")</f>
        <v/>
      </c>
      <c r="U135" s="45" t="n"/>
      <c r="V135" s="62">
        <f t="array" ref="V135">IF(U135&lt;&gt;"",IF(INDEX(techniques[coverage],MATCH(U135,techniques[name],0))&gt;0,INDEX(techniques[coverage],MATCH(U135,techniques[name],0)),""),"")</f>
        <v/>
      </c>
      <c r="W135" s="45" t="n"/>
      <c r="X135" s="62">
        <f t="array" ref="X135">IF(W135&lt;&gt;"",IF(INDEX(techniques[coverage],MATCH(W135,techniques[name],0))&gt;0,INDEX(techniques[coverage],MATCH(W135,techniques[name],0)),""),"")</f>
        <v/>
      </c>
      <c r="Y135" s="45" t="n"/>
      <c r="Z135" s="62">
        <f t="array" ref="Z135">IF(Y135&lt;&gt;"",IF(INDEX(techniques[coverage],MATCH(Y135,techniques[name],0))&gt;0,INDEX(techniques[coverage],MATCH(Y135,techniques[name],0)),""),"")</f>
        <v/>
      </c>
      <c r="AA135" s="45" t="n"/>
      <c r="AB135" s="62">
        <f t="array" ref="AB135">IF(AA135&lt;&gt;"",IF(INDEX(techniques[coverage],MATCH(AA135,techniques[name],0))&gt;0,INDEX(techniques[coverage],MATCH(AA135,techniques[name],0)),""),"")</f>
        <v/>
      </c>
      <c r="AC135" s="45" t="n"/>
      <c r="AD135" s="62">
        <f t="array" ref="AD135">IF(AC135&lt;&gt;"",IF(INDEX(techniques[coverage],MATCH(AC135,techniques[name],0))&gt;0,INDEX(techniques[coverage],MATCH(AC135,techniques[name],0)),""),"")</f>
        <v/>
      </c>
    </row>
    <row r="136">
      <c r="A136" s="45" t="n"/>
      <c r="B136" s="62">
        <f t="array" ref="B136">IF(A136&lt;&gt;"",IF(INDEX(techniques[coverage],MATCH(A136,techniques[name],0))&gt;0,INDEX(techniques[coverage],MATCH(A136,techniques[name],0)),""),"")</f>
        <v/>
      </c>
      <c r="C136" s="45" t="n"/>
      <c r="D136" s="62">
        <f t="array" ref="D136">IF(C136&lt;&gt;"",IF(INDEX(techniques[coverage],MATCH(C136,techniques[name],0))&gt;0,INDEX(techniques[coverage],MATCH(C136,techniques[name],0)),""),"")</f>
        <v/>
      </c>
      <c r="E136" s="45" t="n"/>
      <c r="F136" s="62">
        <f t="array" ref="F136">IF(E136&lt;&gt;"",IF(INDEX(techniques[coverage],MATCH(E136,techniques[name],0))&gt;0,INDEX(techniques[coverage],MATCH(E136,techniques[name],0)),""),"")</f>
        <v/>
      </c>
      <c r="G136" s="45" t="n"/>
      <c r="H136" s="62">
        <f t="array" ref="H136">IF(G136&lt;&gt;"",IF(INDEX(techniques[coverage],MATCH(G136,techniques[name],0))&gt;0,INDEX(techniques[coverage],MATCH(G136,techniques[name],0)),""),"")</f>
        <v/>
      </c>
      <c r="I136" s="45" t="n"/>
      <c r="J136" s="62">
        <f t="array" ref="J136">IF(I136&lt;&gt;"",IF(INDEX(techniques[coverage],MATCH(I136,techniques[name],0))&gt;0,INDEX(techniques[coverage],MATCH(I136,techniques[name],0)),""),"")</f>
        <v/>
      </c>
      <c r="K136" s="45" t="n"/>
      <c r="L136" s="62">
        <f t="array" ref="L136">IF(K136&lt;&gt;"",IF(INDEX(techniques[coverage],MATCH(K136,techniques[name],0))&gt;0,INDEX(techniques[coverage],MATCH(K136,techniques[name],0)),""),"")</f>
        <v/>
      </c>
      <c r="M136" s="45" t="n"/>
      <c r="N136" s="62">
        <f t="array" ref="N136">IF(M136&lt;&gt;"",IF(INDEX(techniques[coverage],MATCH(M136,techniques[name],0))&gt;0,INDEX(techniques[coverage],MATCH(M136,techniques[name],0)),""),"")</f>
        <v/>
      </c>
      <c r="O136" s="45" t="n"/>
      <c r="P136" s="62">
        <f t="array" ref="P136">IF(O136&lt;&gt;"",IF(INDEX(techniques[coverage],MATCH(O136,techniques[name],0))&gt;0,INDEX(techniques[coverage],MATCH(O136,techniques[name],0)),""),"")</f>
        <v/>
      </c>
      <c r="Q136" s="45" t="n"/>
      <c r="R136" s="62">
        <f t="array" ref="R136">IF(Q136&lt;&gt;"",IF(INDEX(techniques[coverage],MATCH(Q136,techniques[name],0))&gt;0,INDEX(techniques[coverage],MATCH(Q136,techniques[name],0)),""),"")</f>
        <v/>
      </c>
      <c r="S136" s="45" t="n"/>
      <c r="T136" s="62">
        <f t="array" ref="T136">IF(S136&lt;&gt;"",IF(INDEX(techniques[coverage],MATCH(S136,techniques[name],0))&gt;0,INDEX(techniques[coverage],MATCH(S136,techniques[name],0)),""),"")</f>
        <v/>
      </c>
      <c r="U136" s="45" t="n"/>
      <c r="V136" s="62">
        <f t="array" ref="V136">IF(U136&lt;&gt;"",IF(INDEX(techniques[coverage],MATCH(U136,techniques[name],0))&gt;0,INDEX(techniques[coverage],MATCH(U136,techniques[name],0)),""),"")</f>
        <v/>
      </c>
      <c r="W136" s="45" t="n"/>
      <c r="X136" s="62">
        <f t="array" ref="X136">IF(W136&lt;&gt;"",IF(INDEX(techniques[coverage],MATCH(W136,techniques[name],0))&gt;0,INDEX(techniques[coverage],MATCH(W136,techniques[name],0)),""),"")</f>
        <v/>
      </c>
      <c r="Y136" s="45" t="n"/>
      <c r="Z136" s="62">
        <f t="array" ref="Z136">IF(Y136&lt;&gt;"",IF(INDEX(techniques[coverage],MATCH(Y136,techniques[name],0))&gt;0,INDEX(techniques[coverage],MATCH(Y136,techniques[name],0)),""),"")</f>
        <v/>
      </c>
      <c r="AA136" s="45" t="n"/>
      <c r="AB136" s="62">
        <f t="array" ref="AB136">IF(AA136&lt;&gt;"",IF(INDEX(techniques[coverage],MATCH(AA136,techniques[name],0))&gt;0,INDEX(techniques[coverage],MATCH(AA136,techniques[name],0)),""),"")</f>
        <v/>
      </c>
      <c r="AC136" s="45" t="n"/>
      <c r="AD136" s="62">
        <f t="array" ref="AD136">IF(AC136&lt;&gt;"",IF(INDEX(techniques[coverage],MATCH(AC136,techniques[name],0))&gt;0,INDEX(techniques[coverage],MATCH(AC136,techniques[name],0)),""),"")</f>
        <v/>
      </c>
    </row>
    <row r="137">
      <c r="A137" s="45" t="n"/>
      <c r="B137" s="62">
        <f t="array" ref="B137">IF(A137&lt;&gt;"",IF(INDEX(techniques[coverage],MATCH(A137,techniques[name],0))&gt;0,INDEX(techniques[coverage],MATCH(A137,techniques[name],0)),""),"")</f>
        <v/>
      </c>
      <c r="C137" s="45" t="n"/>
      <c r="D137" s="62">
        <f t="array" ref="D137">IF(C137&lt;&gt;"",IF(INDEX(techniques[coverage],MATCH(C137,techniques[name],0))&gt;0,INDEX(techniques[coverage],MATCH(C137,techniques[name],0)),""),"")</f>
        <v/>
      </c>
      <c r="E137" s="45" t="n"/>
      <c r="F137" s="62">
        <f t="array" ref="F137">IF(E137&lt;&gt;"",IF(INDEX(techniques[coverage],MATCH(E137,techniques[name],0))&gt;0,INDEX(techniques[coverage],MATCH(E137,techniques[name],0)),""),"")</f>
        <v/>
      </c>
      <c r="G137" s="45" t="n"/>
      <c r="H137" s="62">
        <f t="array" ref="H137">IF(G137&lt;&gt;"",IF(INDEX(techniques[coverage],MATCH(G137,techniques[name],0))&gt;0,INDEX(techniques[coverage],MATCH(G137,techniques[name],0)),""),"")</f>
        <v/>
      </c>
      <c r="I137" s="45" t="n"/>
      <c r="J137" s="62">
        <f t="array" ref="J137">IF(I137&lt;&gt;"",IF(INDEX(techniques[coverage],MATCH(I137,techniques[name],0))&gt;0,INDEX(techniques[coverage],MATCH(I137,techniques[name],0)),""),"")</f>
        <v/>
      </c>
      <c r="K137" s="45" t="n"/>
      <c r="L137" s="62">
        <f t="array" ref="L137">IF(K137&lt;&gt;"",IF(INDEX(techniques[coverage],MATCH(K137,techniques[name],0))&gt;0,INDEX(techniques[coverage],MATCH(K137,techniques[name],0)),""),"")</f>
        <v/>
      </c>
      <c r="M137" s="45" t="n"/>
      <c r="N137" s="62">
        <f t="array" ref="N137">IF(M137&lt;&gt;"",IF(INDEX(techniques[coverage],MATCH(M137,techniques[name],0))&gt;0,INDEX(techniques[coverage],MATCH(M137,techniques[name],0)),""),"")</f>
        <v/>
      </c>
      <c r="O137" s="45" t="n"/>
      <c r="P137" s="62">
        <f t="array" ref="P137">IF(O137&lt;&gt;"",IF(INDEX(techniques[coverage],MATCH(O137,techniques[name],0))&gt;0,INDEX(techniques[coverage],MATCH(O137,techniques[name],0)),""),"")</f>
        <v/>
      </c>
      <c r="Q137" s="45" t="n"/>
      <c r="R137" s="62">
        <f t="array" ref="R137">IF(Q137&lt;&gt;"",IF(INDEX(techniques[coverage],MATCH(Q137,techniques[name],0))&gt;0,INDEX(techniques[coverage],MATCH(Q137,techniques[name],0)),""),"")</f>
        <v/>
      </c>
      <c r="S137" s="45" t="n"/>
      <c r="T137" s="62">
        <f t="array" ref="T137">IF(S137&lt;&gt;"",IF(INDEX(techniques[coverage],MATCH(S137,techniques[name],0))&gt;0,INDEX(techniques[coverage],MATCH(S137,techniques[name],0)),""),"")</f>
        <v/>
      </c>
      <c r="U137" s="45" t="n"/>
      <c r="V137" s="62">
        <f t="array" ref="V137">IF(U137&lt;&gt;"",IF(INDEX(techniques[coverage],MATCH(U137,techniques[name],0))&gt;0,INDEX(techniques[coverage],MATCH(U137,techniques[name],0)),""),"")</f>
        <v/>
      </c>
      <c r="W137" s="45" t="n"/>
      <c r="X137" s="62">
        <f t="array" ref="X137">IF(W137&lt;&gt;"",IF(INDEX(techniques[coverage],MATCH(W137,techniques[name],0))&gt;0,INDEX(techniques[coverage],MATCH(W137,techniques[name],0)),""),"")</f>
        <v/>
      </c>
      <c r="Y137" s="45" t="n"/>
      <c r="Z137" s="62">
        <f t="array" ref="Z137">IF(Y137&lt;&gt;"",IF(INDEX(techniques[coverage],MATCH(Y137,techniques[name],0))&gt;0,INDEX(techniques[coverage],MATCH(Y137,techniques[name],0)),""),"")</f>
        <v/>
      </c>
      <c r="AA137" s="45" t="n"/>
      <c r="AB137" s="62">
        <f t="array" ref="AB137">IF(AA137&lt;&gt;"",IF(INDEX(techniques[coverage],MATCH(AA137,techniques[name],0))&gt;0,INDEX(techniques[coverage],MATCH(AA137,techniques[name],0)),""),"")</f>
        <v/>
      </c>
      <c r="AC137" s="45" t="n"/>
      <c r="AD137" s="62">
        <f t="array" ref="AD137">IF(AC137&lt;&gt;"",IF(INDEX(techniques[coverage],MATCH(AC137,techniques[name],0))&gt;0,INDEX(techniques[coverage],MATCH(AC137,techniques[name],0)),""),"")</f>
        <v/>
      </c>
    </row>
    <row r="138">
      <c r="A138" s="45" t="n"/>
      <c r="B138" s="62">
        <f t="array" ref="B138">IF(A138&lt;&gt;"",IF(INDEX(techniques[coverage],MATCH(A138,techniques[name],0))&gt;0,INDEX(techniques[coverage],MATCH(A138,techniques[name],0)),""),"")</f>
        <v/>
      </c>
      <c r="C138" s="45" t="n"/>
      <c r="D138" s="62">
        <f t="array" ref="D138">IF(C138&lt;&gt;"",IF(INDEX(techniques[coverage],MATCH(C138,techniques[name],0))&gt;0,INDEX(techniques[coverage],MATCH(C138,techniques[name],0)),""),"")</f>
        <v/>
      </c>
      <c r="E138" s="45" t="n"/>
      <c r="F138" s="62">
        <f t="array" ref="F138">IF(E138&lt;&gt;"",IF(INDEX(techniques[coverage],MATCH(E138,techniques[name],0))&gt;0,INDEX(techniques[coverage],MATCH(E138,techniques[name],0)),""),"")</f>
        <v/>
      </c>
      <c r="G138" s="45" t="n"/>
      <c r="H138" s="62">
        <f t="array" ref="H138">IF(G138&lt;&gt;"",IF(INDEX(techniques[coverage],MATCH(G138,techniques[name],0))&gt;0,INDEX(techniques[coverage],MATCH(G138,techniques[name],0)),""),"")</f>
        <v/>
      </c>
      <c r="I138" s="45" t="n"/>
      <c r="J138" s="62">
        <f t="array" ref="J138">IF(I138&lt;&gt;"",IF(INDEX(techniques[coverage],MATCH(I138,techniques[name],0))&gt;0,INDEX(techniques[coverage],MATCH(I138,techniques[name],0)),""),"")</f>
        <v/>
      </c>
      <c r="K138" s="45" t="n"/>
      <c r="L138" s="62">
        <f t="array" ref="L138">IF(K138&lt;&gt;"",IF(INDEX(techniques[coverage],MATCH(K138,techniques[name],0))&gt;0,INDEX(techniques[coverage],MATCH(K138,techniques[name],0)),""),"")</f>
        <v/>
      </c>
      <c r="M138" s="45" t="n"/>
      <c r="N138" s="62">
        <f t="array" ref="N138">IF(M138&lt;&gt;"",IF(INDEX(techniques[coverage],MATCH(M138,techniques[name],0))&gt;0,INDEX(techniques[coverage],MATCH(M138,techniques[name],0)),""),"")</f>
        <v/>
      </c>
      <c r="O138" s="45" t="n"/>
      <c r="P138" s="62">
        <f t="array" ref="P138">IF(O138&lt;&gt;"",IF(INDEX(techniques[coverage],MATCH(O138,techniques[name],0))&gt;0,INDEX(techniques[coverage],MATCH(O138,techniques[name],0)),""),"")</f>
        <v/>
      </c>
      <c r="Q138" s="45" t="n"/>
      <c r="R138" s="62">
        <f t="array" ref="R138">IF(Q138&lt;&gt;"",IF(INDEX(techniques[coverage],MATCH(Q138,techniques[name],0))&gt;0,INDEX(techniques[coverage],MATCH(Q138,techniques[name],0)),""),"")</f>
        <v/>
      </c>
      <c r="S138" s="45" t="n"/>
      <c r="T138" s="62">
        <f t="array" ref="T138">IF(S138&lt;&gt;"",IF(INDEX(techniques[coverage],MATCH(S138,techniques[name],0))&gt;0,INDEX(techniques[coverage],MATCH(S138,techniques[name],0)),""),"")</f>
        <v/>
      </c>
      <c r="U138" s="45" t="n"/>
      <c r="V138" s="62">
        <f t="array" ref="V138">IF(U138&lt;&gt;"",IF(INDEX(techniques[coverage],MATCH(U138,techniques[name],0))&gt;0,INDEX(techniques[coverage],MATCH(U138,techniques[name],0)),""),"")</f>
        <v/>
      </c>
      <c r="W138" s="45" t="n"/>
      <c r="X138" s="62">
        <f t="array" ref="X138">IF(W138&lt;&gt;"",IF(INDEX(techniques[coverage],MATCH(W138,techniques[name],0))&gt;0,INDEX(techniques[coverage],MATCH(W138,techniques[name],0)),""),"")</f>
        <v/>
      </c>
      <c r="Y138" s="45" t="n"/>
      <c r="Z138" s="62">
        <f t="array" ref="Z138">IF(Y138&lt;&gt;"",IF(INDEX(techniques[coverage],MATCH(Y138,techniques[name],0))&gt;0,INDEX(techniques[coverage],MATCH(Y138,techniques[name],0)),""),"")</f>
        <v/>
      </c>
      <c r="AA138" s="45" t="n"/>
      <c r="AB138" s="62">
        <f t="array" ref="AB138">IF(AA138&lt;&gt;"",IF(INDEX(techniques[coverage],MATCH(AA138,techniques[name],0))&gt;0,INDEX(techniques[coverage],MATCH(AA138,techniques[name],0)),""),"")</f>
        <v/>
      </c>
      <c r="AC138" s="45" t="n"/>
      <c r="AD138" s="62">
        <f t="array" ref="AD138">IF(AC138&lt;&gt;"",IF(INDEX(techniques[coverage],MATCH(AC138,techniques[name],0))&gt;0,INDEX(techniques[coverage],MATCH(AC138,techniques[name],0)),""),"")</f>
        <v/>
      </c>
    </row>
    <row r="139">
      <c r="A139" s="45" t="n"/>
      <c r="B139" s="62">
        <f t="array" ref="B139">IF(A139&lt;&gt;"",IF(INDEX(techniques[coverage],MATCH(A139,techniques[name],0))&gt;0,INDEX(techniques[coverage],MATCH(A139,techniques[name],0)),""),"")</f>
        <v/>
      </c>
      <c r="C139" s="45" t="n"/>
      <c r="D139" s="62">
        <f t="array" ref="D139">IF(C139&lt;&gt;"",IF(INDEX(techniques[coverage],MATCH(C139,techniques[name],0))&gt;0,INDEX(techniques[coverage],MATCH(C139,techniques[name],0)),""),"")</f>
        <v/>
      </c>
      <c r="E139" s="45" t="n"/>
      <c r="F139" s="62">
        <f t="array" ref="F139">IF(E139&lt;&gt;"",IF(INDEX(techniques[coverage],MATCH(E139,techniques[name],0))&gt;0,INDEX(techniques[coverage],MATCH(E139,techniques[name],0)),""),"")</f>
        <v/>
      </c>
      <c r="G139" s="45" t="n"/>
      <c r="H139" s="62">
        <f t="array" ref="H139">IF(G139&lt;&gt;"",IF(INDEX(techniques[coverage],MATCH(G139,techniques[name],0))&gt;0,INDEX(techniques[coverage],MATCH(G139,techniques[name],0)),""),"")</f>
        <v/>
      </c>
      <c r="I139" s="45" t="n"/>
      <c r="J139" s="62">
        <f t="array" ref="J139">IF(I139&lt;&gt;"",IF(INDEX(techniques[coverage],MATCH(I139,techniques[name],0))&gt;0,INDEX(techniques[coverage],MATCH(I139,techniques[name],0)),""),"")</f>
        <v/>
      </c>
      <c r="K139" s="45" t="n"/>
      <c r="L139" s="62">
        <f t="array" ref="L139">IF(K139&lt;&gt;"",IF(INDEX(techniques[coverage],MATCH(K139,techniques[name],0))&gt;0,INDEX(techniques[coverage],MATCH(K139,techniques[name],0)),""),"")</f>
        <v/>
      </c>
      <c r="M139" s="45" t="n"/>
      <c r="N139" s="62">
        <f t="array" ref="N139">IF(M139&lt;&gt;"",IF(INDEX(techniques[coverage],MATCH(M139,techniques[name],0))&gt;0,INDEX(techniques[coverage],MATCH(M139,techniques[name],0)),""),"")</f>
        <v/>
      </c>
      <c r="O139" s="45" t="n"/>
      <c r="P139" s="62">
        <f t="array" ref="P139">IF(O139&lt;&gt;"",IF(INDEX(techniques[coverage],MATCH(O139,techniques[name],0))&gt;0,INDEX(techniques[coverage],MATCH(O139,techniques[name],0)),""),"")</f>
        <v/>
      </c>
      <c r="Q139" s="45" t="n"/>
      <c r="R139" s="62">
        <f t="array" ref="R139">IF(Q139&lt;&gt;"",IF(INDEX(techniques[coverage],MATCH(Q139,techniques[name],0))&gt;0,INDEX(techniques[coverage],MATCH(Q139,techniques[name],0)),""),"")</f>
        <v/>
      </c>
      <c r="S139" s="45" t="n"/>
      <c r="T139" s="62">
        <f t="array" ref="T139">IF(S139&lt;&gt;"",IF(INDEX(techniques[coverage],MATCH(S139,techniques[name],0))&gt;0,INDEX(techniques[coverage],MATCH(S139,techniques[name],0)),""),"")</f>
        <v/>
      </c>
      <c r="U139" s="45" t="n"/>
      <c r="V139" s="62">
        <f t="array" ref="V139">IF(U139&lt;&gt;"",IF(INDEX(techniques[coverage],MATCH(U139,techniques[name],0))&gt;0,INDEX(techniques[coverage],MATCH(U139,techniques[name],0)),""),"")</f>
        <v/>
      </c>
      <c r="W139" s="45" t="n"/>
      <c r="X139" s="62">
        <f t="array" ref="X139">IF(W139&lt;&gt;"",IF(INDEX(techniques[coverage],MATCH(W139,techniques[name],0))&gt;0,INDEX(techniques[coverage],MATCH(W139,techniques[name],0)),""),"")</f>
        <v/>
      </c>
      <c r="Y139" s="45" t="n"/>
      <c r="Z139" s="62">
        <f t="array" ref="Z139">IF(Y139&lt;&gt;"",IF(INDEX(techniques[coverage],MATCH(Y139,techniques[name],0))&gt;0,INDEX(techniques[coverage],MATCH(Y139,techniques[name],0)),""),"")</f>
        <v/>
      </c>
      <c r="AA139" s="45" t="n"/>
      <c r="AB139" s="62">
        <f t="array" ref="AB139">IF(AA139&lt;&gt;"",IF(INDEX(techniques[coverage],MATCH(AA139,techniques[name],0))&gt;0,INDEX(techniques[coverage],MATCH(AA139,techniques[name],0)),""),"")</f>
        <v/>
      </c>
      <c r="AC139" s="45" t="n"/>
      <c r="AD139" s="62">
        <f t="array" ref="AD139">IF(AC139&lt;&gt;"",IF(INDEX(techniques[coverage],MATCH(AC139,techniques[name],0))&gt;0,INDEX(techniques[coverage],MATCH(AC139,techniques[name],0)),""),"")</f>
        <v/>
      </c>
    </row>
    <row r="140">
      <c r="A140" s="45" t="n"/>
      <c r="B140" s="62">
        <f t="array" ref="B140">IF(A140&lt;&gt;"",IF(INDEX(techniques[coverage],MATCH(A140,techniques[name],0))&gt;0,INDEX(techniques[coverage],MATCH(A140,techniques[name],0)),""),"")</f>
        <v/>
      </c>
      <c r="C140" s="45" t="n"/>
      <c r="D140" s="62">
        <f t="array" ref="D140">IF(C140&lt;&gt;"",IF(INDEX(techniques[coverage],MATCH(C140,techniques[name],0))&gt;0,INDEX(techniques[coverage],MATCH(C140,techniques[name],0)),""),"")</f>
        <v/>
      </c>
      <c r="E140" s="45" t="n"/>
      <c r="F140" s="62">
        <f t="array" ref="F140">IF(E140&lt;&gt;"",IF(INDEX(techniques[coverage],MATCH(E140,techniques[name],0))&gt;0,INDEX(techniques[coverage],MATCH(E140,techniques[name],0)),""),"")</f>
        <v/>
      </c>
      <c r="G140" s="45" t="n"/>
      <c r="H140" s="62">
        <f t="array" ref="H140">IF(G140&lt;&gt;"",IF(INDEX(techniques[coverage],MATCH(G140,techniques[name],0))&gt;0,INDEX(techniques[coverage],MATCH(G140,techniques[name],0)),""),"")</f>
        <v/>
      </c>
      <c r="I140" s="45" t="n"/>
      <c r="J140" s="62">
        <f t="array" ref="J140">IF(I140&lt;&gt;"",IF(INDEX(techniques[coverage],MATCH(I140,techniques[name],0))&gt;0,INDEX(techniques[coverage],MATCH(I140,techniques[name],0)),""),"")</f>
        <v/>
      </c>
      <c r="K140" s="45" t="n"/>
      <c r="L140" s="62">
        <f t="array" ref="L140">IF(K140&lt;&gt;"",IF(INDEX(techniques[coverage],MATCH(K140,techniques[name],0))&gt;0,INDEX(techniques[coverage],MATCH(K140,techniques[name],0)),""),"")</f>
        <v/>
      </c>
      <c r="M140" s="45" t="n"/>
      <c r="N140" s="62">
        <f t="array" ref="N140">IF(M140&lt;&gt;"",IF(INDEX(techniques[coverage],MATCH(M140,techniques[name],0))&gt;0,INDEX(techniques[coverage],MATCH(M140,techniques[name],0)),""),"")</f>
        <v/>
      </c>
      <c r="O140" s="45" t="n"/>
      <c r="P140" s="62">
        <f t="array" ref="P140">IF(O140&lt;&gt;"",IF(INDEX(techniques[coverage],MATCH(O140,techniques[name],0))&gt;0,INDEX(techniques[coverage],MATCH(O140,techniques[name],0)),""),"")</f>
        <v/>
      </c>
      <c r="Q140" s="45" t="n"/>
      <c r="R140" s="62">
        <f t="array" ref="R140">IF(Q140&lt;&gt;"",IF(INDEX(techniques[coverage],MATCH(Q140,techniques[name],0))&gt;0,INDEX(techniques[coverage],MATCH(Q140,techniques[name],0)),""),"")</f>
        <v/>
      </c>
      <c r="S140" s="45" t="n"/>
      <c r="T140" s="62">
        <f t="array" ref="T140">IF(S140&lt;&gt;"",IF(INDEX(techniques[coverage],MATCH(S140,techniques[name],0))&gt;0,INDEX(techniques[coverage],MATCH(S140,techniques[name],0)),""),"")</f>
        <v/>
      </c>
      <c r="U140" s="45" t="n"/>
      <c r="V140" s="62">
        <f t="array" ref="V140">IF(U140&lt;&gt;"",IF(INDEX(techniques[coverage],MATCH(U140,techniques[name],0))&gt;0,INDEX(techniques[coverage],MATCH(U140,techniques[name],0)),""),"")</f>
        <v/>
      </c>
      <c r="W140" s="45" t="n"/>
      <c r="X140" s="62">
        <f t="array" ref="X140">IF(W140&lt;&gt;"",IF(INDEX(techniques[coverage],MATCH(W140,techniques[name],0))&gt;0,INDEX(techniques[coverage],MATCH(W140,techniques[name],0)),""),"")</f>
        <v/>
      </c>
      <c r="Y140" s="45" t="n"/>
      <c r="Z140" s="62">
        <f t="array" ref="Z140">IF(Y140&lt;&gt;"",IF(INDEX(techniques[coverage],MATCH(Y140,techniques[name],0))&gt;0,INDEX(techniques[coverage],MATCH(Y140,techniques[name],0)),""),"")</f>
        <v/>
      </c>
      <c r="AA140" s="45" t="n"/>
      <c r="AB140" s="62">
        <f t="array" ref="AB140">IF(AA140&lt;&gt;"",IF(INDEX(techniques[coverage],MATCH(AA140,techniques[name],0))&gt;0,INDEX(techniques[coverage],MATCH(AA140,techniques[name],0)),""),"")</f>
        <v/>
      </c>
      <c r="AC140" s="45" t="n"/>
      <c r="AD140" s="62">
        <f t="array" ref="AD140">IF(AC140&lt;&gt;"",IF(INDEX(techniques[coverage],MATCH(AC140,techniques[name],0))&gt;0,INDEX(techniques[coverage],MATCH(AC140,techniques[name],0)),""),"")</f>
        <v/>
      </c>
    </row>
    <row r="141">
      <c r="A141" s="45" t="n"/>
      <c r="B141" s="62">
        <f t="array" ref="B141">IF(A141&lt;&gt;"",IF(INDEX(techniques[coverage],MATCH(A141,techniques[name],0))&gt;0,INDEX(techniques[coverage],MATCH(A141,techniques[name],0)),""),"")</f>
        <v/>
      </c>
      <c r="C141" s="45" t="n"/>
      <c r="D141" s="62">
        <f t="array" ref="D141">IF(C141&lt;&gt;"",IF(INDEX(techniques[coverage],MATCH(C141,techniques[name],0))&gt;0,INDEX(techniques[coverage],MATCH(C141,techniques[name],0)),""),"")</f>
        <v/>
      </c>
      <c r="E141" s="45" t="n"/>
      <c r="F141" s="62">
        <f t="array" ref="F141">IF(E141&lt;&gt;"",IF(INDEX(techniques[coverage],MATCH(E141,techniques[name],0))&gt;0,INDEX(techniques[coverage],MATCH(E141,techniques[name],0)),""),"")</f>
        <v/>
      </c>
      <c r="G141" s="45" t="n"/>
      <c r="H141" s="62">
        <f t="array" ref="H141">IF(G141&lt;&gt;"",IF(INDEX(techniques[coverage],MATCH(G141,techniques[name],0))&gt;0,INDEX(techniques[coverage],MATCH(G141,techniques[name],0)),""),"")</f>
        <v/>
      </c>
      <c r="I141" s="45" t="n"/>
      <c r="J141" s="62">
        <f t="array" ref="J141">IF(I141&lt;&gt;"",IF(INDEX(techniques[coverage],MATCH(I141,techniques[name],0))&gt;0,INDEX(techniques[coverage],MATCH(I141,techniques[name],0)),""),"")</f>
        <v/>
      </c>
      <c r="K141" s="45" t="n"/>
      <c r="L141" s="62">
        <f t="array" ref="L141">IF(K141&lt;&gt;"",IF(INDEX(techniques[coverage],MATCH(K141,techniques[name],0))&gt;0,INDEX(techniques[coverage],MATCH(K141,techniques[name],0)),""),"")</f>
        <v/>
      </c>
      <c r="M141" s="45" t="n"/>
      <c r="N141" s="62">
        <f t="array" ref="N141">IF(M141&lt;&gt;"",IF(INDEX(techniques[coverage],MATCH(M141,techniques[name],0))&gt;0,INDEX(techniques[coverage],MATCH(M141,techniques[name],0)),""),"")</f>
        <v/>
      </c>
      <c r="O141" s="45" t="n"/>
      <c r="P141" s="62">
        <f t="array" ref="P141">IF(O141&lt;&gt;"",IF(INDEX(techniques[coverage],MATCH(O141,techniques[name],0))&gt;0,INDEX(techniques[coverage],MATCH(O141,techniques[name],0)),""),"")</f>
        <v/>
      </c>
      <c r="Q141" s="45" t="n"/>
      <c r="R141" s="62">
        <f t="array" ref="R141">IF(Q141&lt;&gt;"",IF(INDEX(techniques[coverage],MATCH(Q141,techniques[name],0))&gt;0,INDEX(techniques[coverage],MATCH(Q141,techniques[name],0)),""),"")</f>
        <v/>
      </c>
      <c r="S141" s="45" t="n"/>
      <c r="T141" s="62">
        <f t="array" ref="T141">IF(S141&lt;&gt;"",IF(INDEX(techniques[coverage],MATCH(S141,techniques[name],0))&gt;0,INDEX(techniques[coverage],MATCH(S141,techniques[name],0)),""),"")</f>
        <v/>
      </c>
      <c r="U141" s="45" t="n"/>
      <c r="V141" s="62">
        <f t="array" ref="V141">IF(U141&lt;&gt;"",IF(INDEX(techniques[coverage],MATCH(U141,techniques[name],0))&gt;0,INDEX(techniques[coverage],MATCH(U141,techniques[name],0)),""),"")</f>
        <v/>
      </c>
      <c r="W141" s="45" t="n"/>
      <c r="X141" s="62">
        <f t="array" ref="X141">IF(W141&lt;&gt;"",IF(INDEX(techniques[coverage],MATCH(W141,techniques[name],0))&gt;0,INDEX(techniques[coverage],MATCH(W141,techniques[name],0)),""),"")</f>
        <v/>
      </c>
      <c r="Y141" s="45" t="n"/>
      <c r="Z141" s="62">
        <f t="array" ref="Z141">IF(Y141&lt;&gt;"",IF(INDEX(techniques[coverage],MATCH(Y141,techniques[name],0))&gt;0,INDEX(techniques[coverage],MATCH(Y141,techniques[name],0)),""),"")</f>
        <v/>
      </c>
      <c r="AA141" s="45" t="n"/>
      <c r="AB141" s="62">
        <f t="array" ref="AB141">IF(AA141&lt;&gt;"",IF(INDEX(techniques[coverage],MATCH(AA141,techniques[name],0))&gt;0,INDEX(techniques[coverage],MATCH(AA141,techniques[name],0)),""),"")</f>
        <v/>
      </c>
      <c r="AC141" s="45" t="n"/>
      <c r="AD141" s="62">
        <f t="array" ref="AD141">IF(AC141&lt;&gt;"",IF(INDEX(techniques[coverage],MATCH(AC141,techniques[name],0))&gt;0,INDEX(techniques[coverage],MATCH(AC141,techniques[name],0)),""),"")</f>
        <v/>
      </c>
    </row>
    <row r="142">
      <c r="A142" s="45" t="n"/>
      <c r="B142" s="62">
        <f t="array" ref="B142">IF(A142&lt;&gt;"",IF(INDEX(techniques[coverage],MATCH(A142,techniques[name],0))&gt;0,INDEX(techniques[coverage],MATCH(A142,techniques[name],0)),""),"")</f>
        <v/>
      </c>
      <c r="C142" s="45" t="n"/>
      <c r="D142" s="62">
        <f t="array" ref="D142">IF(C142&lt;&gt;"",IF(INDEX(techniques[coverage],MATCH(C142,techniques[name],0))&gt;0,INDEX(techniques[coverage],MATCH(C142,techniques[name],0)),""),"")</f>
        <v/>
      </c>
      <c r="E142" s="45" t="n"/>
      <c r="F142" s="62">
        <f t="array" ref="F142">IF(E142&lt;&gt;"",IF(INDEX(techniques[coverage],MATCH(E142,techniques[name],0))&gt;0,INDEX(techniques[coverage],MATCH(E142,techniques[name],0)),""),"")</f>
        <v/>
      </c>
      <c r="G142" s="45" t="n"/>
      <c r="H142" s="62">
        <f t="array" ref="H142">IF(G142&lt;&gt;"",IF(INDEX(techniques[coverage],MATCH(G142,techniques[name],0))&gt;0,INDEX(techniques[coverage],MATCH(G142,techniques[name],0)),""),"")</f>
        <v/>
      </c>
      <c r="I142" s="45" t="n"/>
      <c r="J142" s="62">
        <f t="array" ref="J142">IF(I142&lt;&gt;"",IF(INDEX(techniques[coverage],MATCH(I142,techniques[name],0))&gt;0,INDEX(techniques[coverage],MATCH(I142,techniques[name],0)),""),"")</f>
        <v/>
      </c>
      <c r="K142" s="45" t="n"/>
      <c r="L142" s="62">
        <f t="array" ref="L142">IF(K142&lt;&gt;"",IF(INDEX(techniques[coverage],MATCH(K142,techniques[name],0))&gt;0,INDEX(techniques[coverage],MATCH(K142,techniques[name],0)),""),"")</f>
        <v/>
      </c>
      <c r="M142" s="45" t="n"/>
      <c r="N142" s="62">
        <f t="array" ref="N142">IF(M142&lt;&gt;"",IF(INDEX(techniques[coverage],MATCH(M142,techniques[name],0))&gt;0,INDEX(techniques[coverage],MATCH(M142,techniques[name],0)),""),"")</f>
        <v/>
      </c>
      <c r="O142" s="45" t="n"/>
      <c r="P142" s="62">
        <f t="array" ref="P142">IF(O142&lt;&gt;"",IF(INDEX(techniques[coverage],MATCH(O142,techniques[name],0))&gt;0,INDEX(techniques[coverage],MATCH(O142,techniques[name],0)),""),"")</f>
        <v/>
      </c>
      <c r="Q142" s="45" t="n"/>
      <c r="R142" s="62">
        <f t="array" ref="R142">IF(Q142&lt;&gt;"",IF(INDEX(techniques[coverage],MATCH(Q142,techniques[name],0))&gt;0,INDEX(techniques[coverage],MATCH(Q142,techniques[name],0)),""),"")</f>
        <v/>
      </c>
      <c r="S142" s="45" t="n"/>
      <c r="T142" s="62">
        <f t="array" ref="T142">IF(S142&lt;&gt;"",IF(INDEX(techniques[coverage],MATCH(S142,techniques[name],0))&gt;0,INDEX(techniques[coverage],MATCH(S142,techniques[name],0)),""),"")</f>
        <v/>
      </c>
      <c r="U142" s="45" t="n"/>
      <c r="V142" s="62">
        <f t="array" ref="V142">IF(U142&lt;&gt;"",IF(INDEX(techniques[coverage],MATCH(U142,techniques[name],0))&gt;0,INDEX(techniques[coverage],MATCH(U142,techniques[name],0)),""),"")</f>
        <v/>
      </c>
      <c r="W142" s="45" t="n"/>
      <c r="X142" s="62">
        <f t="array" ref="X142">IF(W142&lt;&gt;"",IF(INDEX(techniques[coverage],MATCH(W142,techniques[name],0))&gt;0,INDEX(techniques[coverage],MATCH(W142,techniques[name],0)),""),"")</f>
        <v/>
      </c>
      <c r="Y142" s="45" t="n"/>
      <c r="Z142" s="62">
        <f t="array" ref="Z142">IF(Y142&lt;&gt;"",IF(INDEX(techniques[coverage],MATCH(Y142,techniques[name],0))&gt;0,INDEX(techniques[coverage],MATCH(Y142,techniques[name],0)),""),"")</f>
        <v/>
      </c>
      <c r="AA142" s="45" t="n"/>
      <c r="AB142" s="62">
        <f t="array" ref="AB142">IF(AA142&lt;&gt;"",IF(INDEX(techniques[coverage],MATCH(AA142,techniques[name],0))&gt;0,INDEX(techniques[coverage],MATCH(AA142,techniques[name],0)),""),"")</f>
        <v/>
      </c>
      <c r="AC142" s="45" t="n"/>
      <c r="AD142" s="62">
        <f t="array" ref="AD142">IF(AC142&lt;&gt;"",IF(INDEX(techniques[coverage],MATCH(AC142,techniques[name],0))&gt;0,INDEX(techniques[coverage],MATCH(AC142,techniques[name],0)),""),"")</f>
        <v/>
      </c>
    </row>
    <row r="143">
      <c r="A143" s="45" t="n"/>
      <c r="B143" s="62">
        <f t="array" ref="B143">IF(A143&lt;&gt;"",IF(INDEX(techniques[coverage],MATCH(A143,techniques[name],0))&gt;0,INDEX(techniques[coverage],MATCH(A143,techniques[name],0)),""),"")</f>
        <v/>
      </c>
      <c r="C143" s="45" t="n"/>
      <c r="D143" s="62">
        <f t="array" ref="D143">IF(C143&lt;&gt;"",IF(INDEX(techniques[coverage],MATCH(C143,techniques[name],0))&gt;0,INDEX(techniques[coverage],MATCH(C143,techniques[name],0)),""),"")</f>
        <v/>
      </c>
      <c r="E143" s="45" t="n"/>
      <c r="F143" s="62">
        <f t="array" ref="F143">IF(E143&lt;&gt;"",IF(INDEX(techniques[coverage],MATCH(E143,techniques[name],0))&gt;0,INDEX(techniques[coverage],MATCH(E143,techniques[name],0)),""),"")</f>
        <v/>
      </c>
      <c r="G143" s="45" t="n"/>
      <c r="H143" s="62">
        <f t="array" ref="H143">IF(G143&lt;&gt;"",IF(INDEX(techniques[coverage],MATCH(G143,techniques[name],0))&gt;0,INDEX(techniques[coverage],MATCH(G143,techniques[name],0)),""),"")</f>
        <v/>
      </c>
      <c r="I143" s="45" t="n"/>
      <c r="J143" s="62">
        <f t="array" ref="J143">IF(I143&lt;&gt;"",IF(INDEX(techniques[coverage],MATCH(I143,techniques[name],0))&gt;0,INDEX(techniques[coverage],MATCH(I143,techniques[name],0)),""),"")</f>
        <v/>
      </c>
      <c r="K143" s="45" t="n"/>
      <c r="L143" s="62">
        <f t="array" ref="L143">IF(K143&lt;&gt;"",IF(INDEX(techniques[coverage],MATCH(K143,techniques[name],0))&gt;0,INDEX(techniques[coverage],MATCH(K143,techniques[name],0)),""),"")</f>
        <v/>
      </c>
      <c r="M143" s="45" t="n"/>
      <c r="N143" s="62">
        <f t="array" ref="N143">IF(M143&lt;&gt;"",IF(INDEX(techniques[coverage],MATCH(M143,techniques[name],0))&gt;0,INDEX(techniques[coverage],MATCH(M143,techniques[name],0)),""),"")</f>
        <v/>
      </c>
      <c r="O143" s="45" t="n"/>
      <c r="P143" s="62">
        <f t="array" ref="P143">IF(O143&lt;&gt;"",IF(INDEX(techniques[coverage],MATCH(O143,techniques[name],0))&gt;0,INDEX(techniques[coverage],MATCH(O143,techniques[name],0)),""),"")</f>
        <v/>
      </c>
      <c r="Q143" s="45" t="n"/>
      <c r="R143" s="62">
        <f t="array" ref="R143">IF(Q143&lt;&gt;"",IF(INDEX(techniques[coverage],MATCH(Q143,techniques[name],0))&gt;0,INDEX(techniques[coverage],MATCH(Q143,techniques[name],0)),""),"")</f>
        <v/>
      </c>
      <c r="S143" s="45" t="n"/>
      <c r="T143" s="62">
        <f t="array" ref="T143">IF(S143&lt;&gt;"",IF(INDEX(techniques[coverage],MATCH(S143,techniques[name],0))&gt;0,INDEX(techniques[coverage],MATCH(S143,techniques[name],0)),""),"")</f>
        <v/>
      </c>
      <c r="U143" s="45" t="n"/>
      <c r="V143" s="62">
        <f t="array" ref="V143">IF(U143&lt;&gt;"",IF(INDEX(techniques[coverage],MATCH(U143,techniques[name],0))&gt;0,INDEX(techniques[coverage],MATCH(U143,techniques[name],0)),""),"")</f>
        <v/>
      </c>
      <c r="W143" s="45" t="n"/>
      <c r="X143" s="62">
        <f t="array" ref="X143">IF(W143&lt;&gt;"",IF(INDEX(techniques[coverage],MATCH(W143,techniques[name],0))&gt;0,INDEX(techniques[coverage],MATCH(W143,techniques[name],0)),""),"")</f>
        <v/>
      </c>
      <c r="Y143" s="45" t="n"/>
      <c r="Z143" s="62">
        <f t="array" ref="Z143">IF(Y143&lt;&gt;"",IF(INDEX(techniques[coverage],MATCH(Y143,techniques[name],0))&gt;0,INDEX(techniques[coverage],MATCH(Y143,techniques[name],0)),""),"")</f>
        <v/>
      </c>
      <c r="AA143" s="45" t="n"/>
      <c r="AB143" s="62">
        <f t="array" ref="AB143">IF(AA143&lt;&gt;"",IF(INDEX(techniques[coverage],MATCH(AA143,techniques[name],0))&gt;0,INDEX(techniques[coverage],MATCH(AA143,techniques[name],0)),""),"")</f>
        <v/>
      </c>
      <c r="AC143" s="45" t="n"/>
      <c r="AD143" s="62">
        <f t="array" ref="AD143">IF(AC143&lt;&gt;"",IF(INDEX(techniques[coverage],MATCH(AC143,techniques[name],0))&gt;0,INDEX(techniques[coverage],MATCH(AC143,techniques[name],0)),""),"")</f>
        <v/>
      </c>
    </row>
    <row r="144">
      <c r="A144" s="45" t="n"/>
      <c r="B144" s="62">
        <f t="array" ref="B144">IF(A144&lt;&gt;"",IF(INDEX(techniques[coverage],MATCH(A144,techniques[name],0))&gt;0,INDEX(techniques[coverage],MATCH(A144,techniques[name],0)),""),"")</f>
        <v/>
      </c>
      <c r="C144" s="45" t="n"/>
      <c r="D144" s="62">
        <f t="array" ref="D144">IF(C144&lt;&gt;"",IF(INDEX(techniques[coverage],MATCH(C144,techniques[name],0))&gt;0,INDEX(techniques[coverage],MATCH(C144,techniques[name],0)),""),"")</f>
        <v/>
      </c>
      <c r="E144" s="45" t="n"/>
      <c r="F144" s="62">
        <f t="array" ref="F144">IF(E144&lt;&gt;"",IF(INDEX(techniques[coverage],MATCH(E144,techniques[name],0))&gt;0,INDEX(techniques[coverage],MATCH(E144,techniques[name],0)),""),"")</f>
        <v/>
      </c>
      <c r="G144" s="45" t="n"/>
      <c r="H144" s="62">
        <f t="array" ref="H144">IF(G144&lt;&gt;"",IF(INDEX(techniques[coverage],MATCH(G144,techniques[name],0))&gt;0,INDEX(techniques[coverage],MATCH(G144,techniques[name],0)),""),"")</f>
        <v/>
      </c>
      <c r="I144" s="45" t="n"/>
      <c r="J144" s="62">
        <f t="array" ref="J144">IF(I144&lt;&gt;"",IF(INDEX(techniques[coverage],MATCH(I144,techniques[name],0))&gt;0,INDEX(techniques[coverage],MATCH(I144,techniques[name],0)),""),"")</f>
        <v/>
      </c>
      <c r="K144" s="45" t="n"/>
      <c r="L144" s="62">
        <f t="array" ref="L144">IF(K144&lt;&gt;"",IF(INDEX(techniques[coverage],MATCH(K144,techniques[name],0))&gt;0,INDEX(techniques[coverage],MATCH(K144,techniques[name],0)),""),"")</f>
        <v/>
      </c>
      <c r="M144" s="45" t="n"/>
      <c r="N144" s="62">
        <f t="array" ref="N144">IF(M144&lt;&gt;"",IF(INDEX(techniques[coverage],MATCH(M144,techniques[name],0))&gt;0,INDEX(techniques[coverage],MATCH(M144,techniques[name],0)),""),"")</f>
        <v/>
      </c>
      <c r="O144" s="45" t="n"/>
      <c r="P144" s="62">
        <f t="array" ref="P144">IF(O144&lt;&gt;"",IF(INDEX(techniques[coverage],MATCH(O144,techniques[name],0))&gt;0,INDEX(techniques[coverage],MATCH(O144,techniques[name],0)),""),"")</f>
        <v/>
      </c>
      <c r="Q144" s="45" t="n"/>
      <c r="R144" s="62">
        <f t="array" ref="R144">IF(Q144&lt;&gt;"",IF(INDEX(techniques[coverage],MATCH(Q144,techniques[name],0))&gt;0,INDEX(techniques[coverage],MATCH(Q144,techniques[name],0)),""),"")</f>
        <v/>
      </c>
      <c r="S144" s="45" t="n"/>
      <c r="T144" s="62">
        <f t="array" ref="T144">IF(S144&lt;&gt;"",IF(INDEX(techniques[coverage],MATCH(S144,techniques[name],0))&gt;0,INDEX(techniques[coverage],MATCH(S144,techniques[name],0)),""),"")</f>
        <v/>
      </c>
      <c r="U144" s="45" t="n"/>
      <c r="V144" s="62">
        <f t="array" ref="V144">IF(U144&lt;&gt;"",IF(INDEX(techniques[coverage],MATCH(U144,techniques[name],0))&gt;0,INDEX(techniques[coverage],MATCH(U144,techniques[name],0)),""),"")</f>
        <v/>
      </c>
      <c r="W144" s="45" t="n"/>
      <c r="X144" s="62">
        <f t="array" ref="X144">IF(W144&lt;&gt;"",IF(INDEX(techniques[coverage],MATCH(W144,techniques[name],0))&gt;0,INDEX(techniques[coverage],MATCH(W144,techniques[name],0)),""),"")</f>
        <v/>
      </c>
      <c r="Y144" s="45" t="n"/>
      <c r="Z144" s="62">
        <f t="array" ref="Z144">IF(Y144&lt;&gt;"",IF(INDEX(techniques[coverage],MATCH(Y144,techniques[name],0))&gt;0,INDEX(techniques[coverage],MATCH(Y144,techniques[name],0)),""),"")</f>
        <v/>
      </c>
      <c r="AA144" s="45" t="n"/>
      <c r="AB144" s="62">
        <f t="array" ref="AB144">IF(AA144&lt;&gt;"",IF(INDEX(techniques[coverage],MATCH(AA144,techniques[name],0))&gt;0,INDEX(techniques[coverage],MATCH(AA144,techniques[name],0)),""),"")</f>
        <v/>
      </c>
      <c r="AC144" s="45" t="n"/>
      <c r="AD144" s="62">
        <f t="array" ref="AD144">IF(AC144&lt;&gt;"",IF(INDEX(techniques[coverage],MATCH(AC144,techniques[name],0))&gt;0,INDEX(techniques[coverage],MATCH(AC144,techniques[name],0)),""),"")</f>
        <v/>
      </c>
    </row>
    <row r="145">
      <c r="A145" s="45" t="n"/>
      <c r="B145" s="62">
        <f t="array" ref="B145">IF(A145&lt;&gt;"",IF(INDEX(techniques[coverage],MATCH(A145,techniques[name],0))&gt;0,INDEX(techniques[coverage],MATCH(A145,techniques[name],0)),""),"")</f>
        <v/>
      </c>
      <c r="C145" s="45" t="n"/>
      <c r="D145" s="62">
        <f t="array" ref="D145">IF(C145&lt;&gt;"",IF(INDEX(techniques[coverage],MATCH(C145,techniques[name],0))&gt;0,INDEX(techniques[coverage],MATCH(C145,techniques[name],0)),""),"")</f>
        <v/>
      </c>
      <c r="E145" s="45" t="n"/>
      <c r="F145" s="62">
        <f t="array" ref="F145">IF(E145&lt;&gt;"",IF(INDEX(techniques[coverage],MATCH(E145,techniques[name],0))&gt;0,INDEX(techniques[coverage],MATCH(E145,techniques[name],0)),""),"")</f>
        <v/>
      </c>
      <c r="G145" s="45" t="n"/>
      <c r="H145" s="62">
        <f t="array" ref="H145">IF(G145&lt;&gt;"",IF(INDEX(techniques[coverage],MATCH(G145,techniques[name],0))&gt;0,INDEX(techniques[coverage],MATCH(G145,techniques[name],0)),""),"")</f>
        <v/>
      </c>
      <c r="I145" s="45" t="n"/>
      <c r="J145" s="62">
        <f t="array" ref="J145">IF(I145&lt;&gt;"",IF(INDEX(techniques[coverage],MATCH(I145,techniques[name],0))&gt;0,INDEX(techniques[coverage],MATCH(I145,techniques[name],0)),""),"")</f>
        <v/>
      </c>
      <c r="K145" s="45" t="n"/>
      <c r="L145" s="62">
        <f t="array" ref="L145">IF(K145&lt;&gt;"",IF(INDEX(techniques[coverage],MATCH(K145,techniques[name],0))&gt;0,INDEX(techniques[coverage],MATCH(K145,techniques[name],0)),""),"")</f>
        <v/>
      </c>
      <c r="M145" s="45" t="n"/>
      <c r="N145" s="62">
        <f t="array" ref="N145">IF(M145&lt;&gt;"",IF(INDEX(techniques[coverage],MATCH(M145,techniques[name],0))&gt;0,INDEX(techniques[coverage],MATCH(M145,techniques[name],0)),""),"")</f>
        <v/>
      </c>
      <c r="O145" s="45" t="n"/>
      <c r="P145" s="62">
        <f t="array" ref="P145">IF(O145&lt;&gt;"",IF(INDEX(techniques[coverage],MATCH(O145,techniques[name],0))&gt;0,INDEX(techniques[coverage],MATCH(O145,techniques[name],0)),""),"")</f>
        <v/>
      </c>
      <c r="Q145" s="45" t="n"/>
      <c r="R145" s="62">
        <f t="array" ref="R145">IF(Q145&lt;&gt;"",IF(INDEX(techniques[coverage],MATCH(Q145,techniques[name],0))&gt;0,INDEX(techniques[coverage],MATCH(Q145,techniques[name],0)),""),"")</f>
        <v/>
      </c>
      <c r="S145" s="45" t="n"/>
      <c r="T145" s="62">
        <f t="array" ref="T145">IF(S145&lt;&gt;"",IF(INDEX(techniques[coverage],MATCH(S145,techniques[name],0))&gt;0,INDEX(techniques[coverage],MATCH(S145,techniques[name],0)),""),"")</f>
        <v/>
      </c>
      <c r="U145" s="45" t="n"/>
      <c r="V145" s="62">
        <f t="array" ref="V145">IF(U145&lt;&gt;"",IF(INDEX(techniques[coverage],MATCH(U145,techniques[name],0))&gt;0,INDEX(techniques[coverage],MATCH(U145,techniques[name],0)),""),"")</f>
        <v/>
      </c>
      <c r="W145" s="45" t="n"/>
      <c r="X145" s="62">
        <f t="array" ref="X145">IF(W145&lt;&gt;"",IF(INDEX(techniques[coverage],MATCH(W145,techniques[name],0))&gt;0,INDEX(techniques[coverage],MATCH(W145,techniques[name],0)),""),"")</f>
        <v/>
      </c>
      <c r="Y145" s="45" t="n"/>
      <c r="Z145" s="62">
        <f t="array" ref="Z145">IF(Y145&lt;&gt;"",IF(INDEX(techniques[coverage],MATCH(Y145,techniques[name],0))&gt;0,INDEX(techniques[coverage],MATCH(Y145,techniques[name],0)),""),"")</f>
        <v/>
      </c>
      <c r="AA145" s="45" t="n"/>
      <c r="AB145" s="62">
        <f t="array" ref="AB145">IF(AA145&lt;&gt;"",IF(INDEX(techniques[coverage],MATCH(AA145,techniques[name],0))&gt;0,INDEX(techniques[coverage],MATCH(AA145,techniques[name],0)),""),"")</f>
        <v/>
      </c>
      <c r="AC145" s="45" t="n"/>
      <c r="AD145" s="62">
        <f t="array" ref="AD145">IF(AC145&lt;&gt;"",IF(INDEX(techniques[coverage],MATCH(AC145,techniques[name],0))&gt;0,INDEX(techniques[coverage],MATCH(AC145,techniques[name],0)),""),"")</f>
        <v/>
      </c>
    </row>
    <row r="146">
      <c r="A146" s="45" t="n"/>
      <c r="B146" s="62">
        <f t="array" ref="B146">IF(A146&lt;&gt;"",IF(INDEX(techniques[coverage],MATCH(A146,techniques[name],0))&gt;0,INDEX(techniques[coverage],MATCH(A146,techniques[name],0)),""),"")</f>
        <v/>
      </c>
      <c r="C146" s="45" t="n"/>
      <c r="D146" s="62">
        <f t="array" ref="D146">IF(C146&lt;&gt;"",IF(INDEX(techniques[coverage],MATCH(C146,techniques[name],0))&gt;0,INDEX(techniques[coverage],MATCH(C146,techniques[name],0)),""),"")</f>
        <v/>
      </c>
      <c r="E146" s="45" t="n"/>
      <c r="F146" s="62">
        <f t="array" ref="F146">IF(E146&lt;&gt;"",IF(INDEX(techniques[coverage],MATCH(E146,techniques[name],0))&gt;0,INDEX(techniques[coverage],MATCH(E146,techniques[name],0)),""),"")</f>
        <v/>
      </c>
      <c r="G146" s="45" t="n"/>
      <c r="H146" s="62">
        <f t="array" ref="H146">IF(G146&lt;&gt;"",IF(INDEX(techniques[coverage],MATCH(G146,techniques[name],0))&gt;0,INDEX(techniques[coverage],MATCH(G146,techniques[name],0)),""),"")</f>
        <v/>
      </c>
      <c r="I146" s="45" t="n"/>
      <c r="J146" s="62">
        <f t="array" ref="J146">IF(I146&lt;&gt;"",IF(INDEX(techniques[coverage],MATCH(I146,techniques[name],0))&gt;0,INDEX(techniques[coverage],MATCH(I146,techniques[name],0)),""),"")</f>
        <v/>
      </c>
      <c r="K146" s="45" t="n"/>
      <c r="L146" s="62">
        <f t="array" ref="L146">IF(K146&lt;&gt;"",IF(INDEX(techniques[coverage],MATCH(K146,techniques[name],0))&gt;0,INDEX(techniques[coverage],MATCH(K146,techniques[name],0)),""),"")</f>
        <v/>
      </c>
      <c r="M146" s="45" t="n"/>
      <c r="N146" s="62">
        <f t="array" ref="N146">IF(M146&lt;&gt;"",IF(INDEX(techniques[coverage],MATCH(M146,techniques[name],0))&gt;0,INDEX(techniques[coverage],MATCH(M146,techniques[name],0)),""),"")</f>
        <v/>
      </c>
      <c r="O146" s="45" t="n"/>
      <c r="P146" s="62">
        <f t="array" ref="P146">IF(O146&lt;&gt;"",IF(INDEX(techniques[coverage],MATCH(O146,techniques[name],0))&gt;0,INDEX(techniques[coverage],MATCH(O146,techniques[name],0)),""),"")</f>
        <v/>
      </c>
      <c r="Q146" s="45" t="n"/>
      <c r="R146" s="62">
        <f t="array" ref="R146">IF(Q146&lt;&gt;"",IF(INDEX(techniques[coverage],MATCH(Q146,techniques[name],0))&gt;0,INDEX(techniques[coverage],MATCH(Q146,techniques[name],0)),""),"")</f>
        <v/>
      </c>
      <c r="S146" s="45" t="n"/>
      <c r="T146" s="62">
        <f t="array" ref="T146">IF(S146&lt;&gt;"",IF(INDEX(techniques[coverage],MATCH(S146,techniques[name],0))&gt;0,INDEX(techniques[coverage],MATCH(S146,techniques[name],0)),""),"")</f>
        <v/>
      </c>
      <c r="U146" s="45" t="n"/>
      <c r="V146" s="62">
        <f t="array" ref="V146">IF(U146&lt;&gt;"",IF(INDEX(techniques[coverage],MATCH(U146,techniques[name],0))&gt;0,INDEX(techniques[coverage],MATCH(U146,techniques[name],0)),""),"")</f>
        <v/>
      </c>
      <c r="W146" s="45" t="n"/>
      <c r="X146" s="62">
        <f t="array" ref="X146">IF(W146&lt;&gt;"",IF(INDEX(techniques[coverage],MATCH(W146,techniques[name],0))&gt;0,INDEX(techniques[coverage],MATCH(W146,techniques[name],0)),""),"")</f>
        <v/>
      </c>
      <c r="Y146" s="45" t="n"/>
      <c r="Z146" s="62">
        <f t="array" ref="Z146">IF(Y146&lt;&gt;"",IF(INDEX(techniques[coverage],MATCH(Y146,techniques[name],0))&gt;0,INDEX(techniques[coverage],MATCH(Y146,techniques[name],0)),""),"")</f>
        <v/>
      </c>
      <c r="AA146" s="45" t="n"/>
      <c r="AB146" s="62">
        <f t="array" ref="AB146">IF(AA146&lt;&gt;"",IF(INDEX(techniques[coverage],MATCH(AA146,techniques[name],0))&gt;0,INDEX(techniques[coverage],MATCH(AA146,techniques[name],0)),""),"")</f>
        <v/>
      </c>
      <c r="AC146" s="45" t="n"/>
      <c r="AD146" s="62">
        <f t="array" ref="AD146">IF(AC146&lt;&gt;"",IF(INDEX(techniques[coverage],MATCH(AC146,techniques[name],0))&gt;0,INDEX(techniques[coverage],MATCH(AC146,techniques[name],0)),""),"")</f>
        <v/>
      </c>
    </row>
    <row r="147">
      <c r="A147" s="45" t="n"/>
      <c r="B147" s="62">
        <f t="array" ref="B147">IF(A147&lt;&gt;"",IF(INDEX(techniques[coverage],MATCH(A147,techniques[name],0))&gt;0,INDEX(techniques[coverage],MATCH(A147,techniques[name],0)),""),"")</f>
        <v/>
      </c>
      <c r="C147" s="45" t="n"/>
      <c r="D147" s="62">
        <f t="array" ref="D147">IF(C147&lt;&gt;"",IF(INDEX(techniques[coverage],MATCH(C147,techniques[name],0))&gt;0,INDEX(techniques[coverage],MATCH(C147,techniques[name],0)),""),"")</f>
        <v/>
      </c>
      <c r="E147" s="45" t="n"/>
      <c r="F147" s="62">
        <f t="array" ref="F147">IF(E147&lt;&gt;"",IF(INDEX(techniques[coverage],MATCH(E147,techniques[name],0))&gt;0,INDEX(techniques[coverage],MATCH(E147,techniques[name],0)),""),"")</f>
        <v/>
      </c>
      <c r="G147" s="45" t="n"/>
      <c r="H147" s="62">
        <f t="array" ref="H147">IF(G147&lt;&gt;"",IF(INDEX(techniques[coverage],MATCH(G147,techniques[name],0))&gt;0,INDEX(techniques[coverage],MATCH(G147,techniques[name],0)),""),"")</f>
        <v/>
      </c>
      <c r="I147" s="45" t="n"/>
      <c r="J147" s="62">
        <f t="array" ref="J147">IF(I147&lt;&gt;"",IF(INDEX(techniques[coverage],MATCH(I147,techniques[name],0))&gt;0,INDEX(techniques[coverage],MATCH(I147,techniques[name],0)),""),"")</f>
        <v/>
      </c>
      <c r="K147" s="45" t="n"/>
      <c r="L147" s="62">
        <f t="array" ref="L147">IF(K147&lt;&gt;"",IF(INDEX(techniques[coverage],MATCH(K147,techniques[name],0))&gt;0,INDEX(techniques[coverage],MATCH(K147,techniques[name],0)),""),"")</f>
        <v/>
      </c>
      <c r="M147" s="45" t="n"/>
      <c r="N147" s="62">
        <f t="array" ref="N147">IF(M147&lt;&gt;"",IF(INDEX(techniques[coverage],MATCH(M147,techniques[name],0))&gt;0,INDEX(techniques[coverage],MATCH(M147,techniques[name],0)),""),"")</f>
        <v/>
      </c>
      <c r="O147" s="45" t="n"/>
      <c r="P147" s="62">
        <f t="array" ref="P147">IF(O147&lt;&gt;"",IF(INDEX(techniques[coverage],MATCH(O147,techniques[name],0))&gt;0,INDEX(techniques[coverage],MATCH(O147,techniques[name],0)),""),"")</f>
        <v/>
      </c>
      <c r="Q147" s="45" t="n"/>
      <c r="R147" s="62">
        <f t="array" ref="R147">IF(Q147&lt;&gt;"",IF(INDEX(techniques[coverage],MATCH(Q147,techniques[name],0))&gt;0,INDEX(techniques[coverage],MATCH(Q147,techniques[name],0)),""),"")</f>
        <v/>
      </c>
      <c r="S147" s="45" t="n"/>
      <c r="T147" s="62">
        <f t="array" ref="T147">IF(S147&lt;&gt;"",IF(INDEX(techniques[coverage],MATCH(S147,techniques[name],0))&gt;0,INDEX(techniques[coverage],MATCH(S147,techniques[name],0)),""),"")</f>
        <v/>
      </c>
      <c r="U147" s="45" t="n"/>
      <c r="V147" s="62">
        <f t="array" ref="V147">IF(U147&lt;&gt;"",IF(INDEX(techniques[coverage],MATCH(U147,techniques[name],0))&gt;0,INDEX(techniques[coverage],MATCH(U147,techniques[name],0)),""),"")</f>
        <v/>
      </c>
      <c r="W147" s="45" t="n"/>
      <c r="X147" s="62">
        <f t="array" ref="X147">IF(W147&lt;&gt;"",IF(INDEX(techniques[coverage],MATCH(W147,techniques[name],0))&gt;0,INDEX(techniques[coverage],MATCH(W147,techniques[name],0)),""),"")</f>
        <v/>
      </c>
      <c r="Y147" s="45" t="n"/>
      <c r="Z147" s="62">
        <f t="array" ref="Z147">IF(Y147&lt;&gt;"",IF(INDEX(techniques[coverage],MATCH(Y147,techniques[name],0))&gt;0,INDEX(techniques[coverage],MATCH(Y147,techniques[name],0)),""),"")</f>
        <v/>
      </c>
      <c r="AA147" s="45" t="n"/>
      <c r="AB147" s="62">
        <f t="array" ref="AB147">IF(AA147&lt;&gt;"",IF(INDEX(techniques[coverage],MATCH(AA147,techniques[name],0))&gt;0,INDEX(techniques[coverage],MATCH(AA147,techniques[name],0)),""),"")</f>
        <v/>
      </c>
      <c r="AC147" s="45" t="n"/>
      <c r="AD147" s="62">
        <f t="array" ref="AD147">IF(AC147&lt;&gt;"",IF(INDEX(techniques[coverage],MATCH(AC147,techniques[name],0))&gt;0,INDEX(techniques[coverage],MATCH(AC147,techniques[name],0)),""),"")</f>
        <v/>
      </c>
    </row>
    <row r="148">
      <c r="A148" s="45" t="n"/>
      <c r="B148" s="62">
        <f t="array" ref="B148">IF(A148&lt;&gt;"",IF(INDEX(techniques[coverage],MATCH(A148,techniques[name],0))&gt;0,INDEX(techniques[coverage],MATCH(A148,techniques[name],0)),""),"")</f>
        <v/>
      </c>
      <c r="C148" s="45" t="n"/>
      <c r="D148" s="62">
        <f t="array" ref="D148">IF(C148&lt;&gt;"",IF(INDEX(techniques[coverage],MATCH(C148,techniques[name],0))&gt;0,INDEX(techniques[coverage],MATCH(C148,techniques[name],0)),""),"")</f>
        <v/>
      </c>
      <c r="E148" s="45" t="n"/>
      <c r="F148" s="62">
        <f t="array" ref="F148">IF(E148&lt;&gt;"",IF(INDEX(techniques[coverage],MATCH(E148,techniques[name],0))&gt;0,INDEX(techniques[coverage],MATCH(E148,techniques[name],0)),""),"")</f>
        <v/>
      </c>
      <c r="G148" s="45" t="n"/>
      <c r="H148" s="62">
        <f t="array" ref="H148">IF(G148&lt;&gt;"",IF(INDEX(techniques[coverage],MATCH(G148,techniques[name],0))&gt;0,INDEX(techniques[coverage],MATCH(G148,techniques[name],0)),""),"")</f>
        <v/>
      </c>
      <c r="I148" s="45" t="n"/>
      <c r="J148" s="62">
        <f t="array" ref="J148">IF(I148&lt;&gt;"",IF(INDEX(techniques[coverage],MATCH(I148,techniques[name],0))&gt;0,INDEX(techniques[coverage],MATCH(I148,techniques[name],0)),""),"")</f>
        <v/>
      </c>
      <c r="K148" s="45" t="n"/>
      <c r="L148" s="62">
        <f t="array" ref="L148">IF(K148&lt;&gt;"",IF(INDEX(techniques[coverage],MATCH(K148,techniques[name],0))&gt;0,INDEX(techniques[coverage],MATCH(K148,techniques[name],0)),""),"")</f>
        <v/>
      </c>
      <c r="M148" s="45" t="n"/>
      <c r="N148" s="62">
        <f t="array" ref="N148">IF(M148&lt;&gt;"",IF(INDEX(techniques[coverage],MATCH(M148,techniques[name],0))&gt;0,INDEX(techniques[coverage],MATCH(M148,techniques[name],0)),""),"")</f>
        <v/>
      </c>
      <c r="O148" s="45" t="n"/>
      <c r="P148" s="62">
        <f t="array" ref="P148">IF(O148&lt;&gt;"",IF(INDEX(techniques[coverage],MATCH(O148,techniques[name],0))&gt;0,INDEX(techniques[coverage],MATCH(O148,techniques[name],0)),""),"")</f>
        <v/>
      </c>
      <c r="Q148" s="45" t="n"/>
      <c r="R148" s="62">
        <f t="array" ref="R148">IF(Q148&lt;&gt;"",IF(INDEX(techniques[coverage],MATCH(Q148,techniques[name],0))&gt;0,INDEX(techniques[coverage],MATCH(Q148,techniques[name],0)),""),"")</f>
        <v/>
      </c>
      <c r="S148" s="45" t="n"/>
      <c r="T148" s="62">
        <f t="array" ref="T148">IF(S148&lt;&gt;"",IF(INDEX(techniques[coverage],MATCH(S148,techniques[name],0))&gt;0,INDEX(techniques[coverage],MATCH(S148,techniques[name],0)),""),"")</f>
        <v/>
      </c>
      <c r="U148" s="45" t="n"/>
      <c r="V148" s="62">
        <f t="array" ref="V148">IF(U148&lt;&gt;"",IF(INDEX(techniques[coverage],MATCH(U148,techniques[name],0))&gt;0,INDEX(techniques[coverage],MATCH(U148,techniques[name],0)),""),"")</f>
        <v/>
      </c>
      <c r="W148" s="45" t="n"/>
      <c r="X148" s="62">
        <f t="array" ref="X148">IF(W148&lt;&gt;"",IF(INDEX(techniques[coverage],MATCH(W148,techniques[name],0))&gt;0,INDEX(techniques[coverage],MATCH(W148,techniques[name],0)),""),"")</f>
        <v/>
      </c>
      <c r="Y148" s="45" t="n"/>
      <c r="Z148" s="62">
        <f t="array" ref="Z148">IF(Y148&lt;&gt;"",IF(INDEX(techniques[coverage],MATCH(Y148,techniques[name],0))&gt;0,INDEX(techniques[coverage],MATCH(Y148,techniques[name],0)),""),"")</f>
        <v/>
      </c>
      <c r="AA148" s="45" t="n"/>
      <c r="AB148" s="62">
        <f t="array" ref="AB148">IF(AA148&lt;&gt;"",IF(INDEX(techniques[coverage],MATCH(AA148,techniques[name],0))&gt;0,INDEX(techniques[coverage],MATCH(AA148,techniques[name],0)),""),"")</f>
        <v/>
      </c>
      <c r="AC148" s="45" t="n"/>
      <c r="AD148" s="62">
        <f t="array" ref="AD148">IF(AC148&lt;&gt;"",IF(INDEX(techniques[coverage],MATCH(AC148,techniques[name],0))&gt;0,INDEX(techniques[coverage],MATCH(AC148,techniques[name],0)),""),"")</f>
        <v/>
      </c>
    </row>
    <row r="149">
      <c r="A149" s="45" t="n"/>
      <c r="B149" s="62">
        <f t="array" ref="B149">IF(A149&lt;&gt;"",IF(INDEX(techniques[coverage],MATCH(A149,techniques[name],0))&gt;0,INDEX(techniques[coverage],MATCH(A149,techniques[name],0)),""),"")</f>
        <v/>
      </c>
      <c r="C149" s="45" t="n"/>
      <c r="D149" s="62">
        <f t="array" ref="D149">IF(C149&lt;&gt;"",IF(INDEX(techniques[coverage],MATCH(C149,techniques[name],0))&gt;0,INDEX(techniques[coverage],MATCH(C149,techniques[name],0)),""),"")</f>
        <v/>
      </c>
      <c r="E149" s="45" t="n"/>
      <c r="F149" s="62">
        <f t="array" ref="F149">IF(E149&lt;&gt;"",IF(INDEX(techniques[coverage],MATCH(E149,techniques[name],0))&gt;0,INDEX(techniques[coverage],MATCH(E149,techniques[name],0)),""),"")</f>
        <v/>
      </c>
      <c r="G149" s="45" t="n"/>
      <c r="H149" s="62">
        <f t="array" ref="H149">IF(G149&lt;&gt;"",IF(INDEX(techniques[coverage],MATCH(G149,techniques[name],0))&gt;0,INDEX(techniques[coverage],MATCH(G149,techniques[name],0)),""),"")</f>
        <v/>
      </c>
      <c r="I149" s="45" t="n"/>
      <c r="J149" s="62">
        <f t="array" ref="J149">IF(I149&lt;&gt;"",IF(INDEX(techniques[coverage],MATCH(I149,techniques[name],0))&gt;0,INDEX(techniques[coverage],MATCH(I149,techniques[name],0)),""),"")</f>
        <v/>
      </c>
      <c r="K149" s="45" t="n"/>
      <c r="L149" s="62">
        <f t="array" ref="L149">IF(K149&lt;&gt;"",IF(INDEX(techniques[coverage],MATCH(K149,techniques[name],0))&gt;0,INDEX(techniques[coverage],MATCH(K149,techniques[name],0)),""),"")</f>
        <v/>
      </c>
      <c r="M149" s="45" t="n"/>
      <c r="N149" s="62">
        <f t="array" ref="N149">IF(M149&lt;&gt;"",IF(INDEX(techniques[coverage],MATCH(M149,techniques[name],0))&gt;0,INDEX(techniques[coverage],MATCH(M149,techniques[name],0)),""),"")</f>
        <v/>
      </c>
      <c r="O149" s="45" t="n"/>
      <c r="P149" s="62">
        <f t="array" ref="P149">IF(O149&lt;&gt;"",IF(INDEX(techniques[coverage],MATCH(O149,techniques[name],0))&gt;0,INDEX(techniques[coverage],MATCH(O149,techniques[name],0)),""),"")</f>
        <v/>
      </c>
      <c r="Q149" s="45" t="n"/>
      <c r="R149" s="62">
        <f t="array" ref="R149">IF(Q149&lt;&gt;"",IF(INDEX(techniques[coverage],MATCH(Q149,techniques[name],0))&gt;0,INDEX(techniques[coverage],MATCH(Q149,techniques[name],0)),""),"")</f>
        <v/>
      </c>
      <c r="S149" s="45" t="n"/>
      <c r="T149" s="62">
        <f t="array" ref="T149">IF(S149&lt;&gt;"",IF(INDEX(techniques[coverage],MATCH(S149,techniques[name],0))&gt;0,INDEX(techniques[coverage],MATCH(S149,techniques[name],0)),""),"")</f>
        <v/>
      </c>
      <c r="U149" s="45" t="n"/>
      <c r="V149" s="62">
        <f t="array" ref="V149">IF(U149&lt;&gt;"",IF(INDEX(techniques[coverage],MATCH(U149,techniques[name],0))&gt;0,INDEX(techniques[coverage],MATCH(U149,techniques[name],0)),""),"")</f>
        <v/>
      </c>
      <c r="W149" s="45" t="n"/>
      <c r="X149" s="62">
        <f t="array" ref="X149">IF(W149&lt;&gt;"",IF(INDEX(techniques[coverage],MATCH(W149,techniques[name],0))&gt;0,INDEX(techniques[coverage],MATCH(W149,techniques[name],0)),""),"")</f>
        <v/>
      </c>
      <c r="Y149" s="45" t="n"/>
      <c r="Z149" s="62">
        <f t="array" ref="Z149">IF(Y149&lt;&gt;"",IF(INDEX(techniques[coverage],MATCH(Y149,techniques[name],0))&gt;0,INDEX(techniques[coverage],MATCH(Y149,techniques[name],0)),""),"")</f>
        <v/>
      </c>
      <c r="AA149" s="45" t="n"/>
      <c r="AB149" s="62">
        <f t="array" ref="AB149">IF(AA149&lt;&gt;"",IF(INDEX(techniques[coverage],MATCH(AA149,techniques[name],0))&gt;0,INDEX(techniques[coverage],MATCH(AA149,techniques[name],0)),""),"")</f>
        <v/>
      </c>
      <c r="AC149" s="45" t="n"/>
      <c r="AD149" s="62">
        <f t="array" ref="AD149">IF(AC149&lt;&gt;"",IF(INDEX(techniques[coverage],MATCH(AC149,techniques[name],0))&gt;0,INDEX(techniques[coverage],MATCH(AC149,techniques[name],0)),""),"")</f>
        <v/>
      </c>
    </row>
    <row r="150">
      <c r="A150" s="45" t="n"/>
      <c r="B150" s="62">
        <f t="array" ref="B150">IF(A150&lt;&gt;"",IF(INDEX(techniques[coverage],MATCH(A150,techniques[name],0))&gt;0,INDEX(techniques[coverage],MATCH(A150,techniques[name],0)),""),"")</f>
        <v/>
      </c>
      <c r="C150" s="45" t="n"/>
      <c r="D150" s="62">
        <f t="array" ref="D150">IF(C150&lt;&gt;"",IF(INDEX(techniques[coverage],MATCH(C150,techniques[name],0))&gt;0,INDEX(techniques[coverage],MATCH(C150,techniques[name],0)),""),"")</f>
        <v/>
      </c>
      <c r="E150" s="45" t="n"/>
      <c r="F150" s="62">
        <f t="array" ref="F150">IF(E150&lt;&gt;"",IF(INDEX(techniques[coverage],MATCH(E150,techniques[name],0))&gt;0,INDEX(techniques[coverage],MATCH(E150,techniques[name],0)),""),"")</f>
        <v/>
      </c>
      <c r="G150" s="45" t="n"/>
      <c r="H150" s="62">
        <f t="array" ref="H150">IF(G150&lt;&gt;"",IF(INDEX(techniques[coverage],MATCH(G150,techniques[name],0))&gt;0,INDEX(techniques[coverage],MATCH(G150,techniques[name],0)),""),"")</f>
        <v/>
      </c>
      <c r="I150" s="45" t="n"/>
      <c r="J150" s="62">
        <f t="array" ref="J150">IF(I150&lt;&gt;"",IF(INDEX(techniques[coverage],MATCH(I150,techniques[name],0))&gt;0,INDEX(techniques[coverage],MATCH(I150,techniques[name],0)),""),"")</f>
        <v/>
      </c>
      <c r="K150" s="45" t="n"/>
      <c r="L150" s="62">
        <f t="array" ref="L150">IF(K150&lt;&gt;"",IF(INDEX(techniques[coverage],MATCH(K150,techniques[name],0))&gt;0,INDEX(techniques[coverage],MATCH(K150,techniques[name],0)),""),"")</f>
        <v/>
      </c>
      <c r="M150" s="45" t="n"/>
      <c r="N150" s="62">
        <f t="array" ref="N150">IF(M150&lt;&gt;"",IF(INDEX(techniques[coverage],MATCH(M150,techniques[name],0))&gt;0,INDEX(techniques[coverage],MATCH(M150,techniques[name],0)),""),"")</f>
        <v/>
      </c>
      <c r="O150" s="45" t="n"/>
      <c r="P150" s="62">
        <f t="array" ref="P150">IF(O150&lt;&gt;"",IF(INDEX(techniques[coverage],MATCH(O150,techniques[name],0))&gt;0,INDEX(techniques[coverage],MATCH(O150,techniques[name],0)),""),"")</f>
        <v/>
      </c>
      <c r="Q150" s="45" t="n"/>
      <c r="R150" s="62">
        <f t="array" ref="R150">IF(Q150&lt;&gt;"",IF(INDEX(techniques[coverage],MATCH(Q150,techniques[name],0))&gt;0,INDEX(techniques[coverage],MATCH(Q150,techniques[name],0)),""),"")</f>
        <v/>
      </c>
      <c r="S150" s="45" t="n"/>
      <c r="T150" s="62">
        <f t="array" ref="T150">IF(S150&lt;&gt;"",IF(INDEX(techniques[coverage],MATCH(S150,techniques[name],0))&gt;0,INDEX(techniques[coverage],MATCH(S150,techniques[name],0)),""),"")</f>
        <v/>
      </c>
      <c r="U150" s="45" t="n"/>
      <c r="V150" s="62">
        <f t="array" ref="V150">IF(U150&lt;&gt;"",IF(INDEX(techniques[coverage],MATCH(U150,techniques[name],0))&gt;0,INDEX(techniques[coverage],MATCH(U150,techniques[name],0)),""),"")</f>
        <v/>
      </c>
      <c r="W150" s="45" t="n"/>
      <c r="X150" s="62">
        <f t="array" ref="X150">IF(W150&lt;&gt;"",IF(INDEX(techniques[coverage],MATCH(W150,techniques[name],0))&gt;0,INDEX(techniques[coverage],MATCH(W150,techniques[name],0)),""),"")</f>
        <v/>
      </c>
      <c r="Y150" s="45" t="n"/>
      <c r="Z150" s="62">
        <f t="array" ref="Z150">IF(Y150&lt;&gt;"",IF(INDEX(techniques[coverage],MATCH(Y150,techniques[name],0))&gt;0,INDEX(techniques[coverage],MATCH(Y150,techniques[name],0)),""),"")</f>
        <v/>
      </c>
      <c r="AA150" s="45" t="n"/>
      <c r="AB150" s="62">
        <f t="array" ref="AB150">IF(AA150&lt;&gt;"",IF(INDEX(techniques[coverage],MATCH(AA150,techniques[name],0))&gt;0,INDEX(techniques[coverage],MATCH(AA150,techniques[name],0)),""),"")</f>
        <v/>
      </c>
      <c r="AC150" s="45" t="n"/>
      <c r="AD150" s="62">
        <f t="array" ref="AD150">IF(AC150&lt;&gt;"",IF(INDEX(techniques[coverage],MATCH(AC150,techniques[name],0))&gt;0,INDEX(techniques[coverage],MATCH(AC150,techniques[name],0)),""),"")</f>
        <v/>
      </c>
    </row>
    <row r="151">
      <c r="A151" s="45" t="n"/>
      <c r="B151" s="62">
        <f t="array" ref="B151">IF(A151&lt;&gt;"",IF(INDEX(techniques[coverage],MATCH(A151,techniques[name],0))&gt;0,INDEX(techniques[coverage],MATCH(A151,techniques[name],0)),""),"")</f>
        <v/>
      </c>
      <c r="C151" s="45" t="n"/>
      <c r="D151" s="62">
        <f t="array" ref="D151">IF(C151&lt;&gt;"",IF(INDEX(techniques[coverage],MATCH(C151,techniques[name],0))&gt;0,INDEX(techniques[coverage],MATCH(C151,techniques[name],0)),""),"")</f>
        <v/>
      </c>
      <c r="E151" s="45" t="n"/>
      <c r="F151" s="62">
        <f t="array" ref="F151">IF(E151&lt;&gt;"",IF(INDEX(techniques[coverage],MATCH(E151,techniques[name],0))&gt;0,INDEX(techniques[coverage],MATCH(E151,techniques[name],0)),""),"")</f>
        <v/>
      </c>
      <c r="G151" s="45" t="n"/>
      <c r="H151" s="62">
        <f t="array" ref="H151">IF(G151&lt;&gt;"",IF(INDEX(techniques[coverage],MATCH(G151,techniques[name],0))&gt;0,INDEX(techniques[coverage],MATCH(G151,techniques[name],0)),""),"")</f>
        <v/>
      </c>
      <c r="I151" s="45" t="n"/>
      <c r="J151" s="62">
        <f t="array" ref="J151">IF(I151&lt;&gt;"",IF(INDEX(techniques[coverage],MATCH(I151,techniques[name],0))&gt;0,INDEX(techniques[coverage],MATCH(I151,techniques[name],0)),""),"")</f>
        <v/>
      </c>
      <c r="K151" s="45" t="n"/>
      <c r="L151" s="62">
        <f t="array" ref="L151">IF(K151&lt;&gt;"",IF(INDEX(techniques[coverage],MATCH(K151,techniques[name],0))&gt;0,INDEX(techniques[coverage],MATCH(K151,techniques[name],0)),""),"")</f>
        <v/>
      </c>
      <c r="M151" s="45" t="n"/>
      <c r="N151" s="62">
        <f t="array" ref="N151">IF(M151&lt;&gt;"",IF(INDEX(techniques[coverage],MATCH(M151,techniques[name],0))&gt;0,INDEX(techniques[coverage],MATCH(M151,techniques[name],0)),""),"")</f>
        <v/>
      </c>
      <c r="O151" s="45" t="n"/>
      <c r="P151" s="62">
        <f t="array" ref="P151">IF(O151&lt;&gt;"",IF(INDEX(techniques[coverage],MATCH(O151,techniques[name],0))&gt;0,INDEX(techniques[coverage],MATCH(O151,techniques[name],0)),""),"")</f>
        <v/>
      </c>
      <c r="Q151" s="45" t="n"/>
      <c r="R151" s="62">
        <f t="array" ref="R151">IF(Q151&lt;&gt;"",IF(INDEX(techniques[coverage],MATCH(Q151,techniques[name],0))&gt;0,INDEX(techniques[coverage],MATCH(Q151,techniques[name],0)),""),"")</f>
        <v/>
      </c>
      <c r="S151" s="45" t="n"/>
      <c r="T151" s="62">
        <f t="array" ref="T151">IF(S151&lt;&gt;"",IF(INDEX(techniques[coverage],MATCH(S151,techniques[name],0))&gt;0,INDEX(techniques[coverage],MATCH(S151,techniques[name],0)),""),"")</f>
        <v/>
      </c>
      <c r="U151" s="45" t="n"/>
      <c r="V151" s="62">
        <f t="array" ref="V151">IF(U151&lt;&gt;"",IF(INDEX(techniques[coverage],MATCH(U151,techniques[name],0))&gt;0,INDEX(techniques[coverage],MATCH(U151,techniques[name],0)),""),"")</f>
        <v/>
      </c>
      <c r="W151" s="45" t="n"/>
      <c r="X151" s="62">
        <f t="array" ref="X151">IF(W151&lt;&gt;"",IF(INDEX(techniques[coverage],MATCH(W151,techniques[name],0))&gt;0,INDEX(techniques[coverage],MATCH(W151,techniques[name],0)),""),"")</f>
        <v/>
      </c>
      <c r="Y151" s="45" t="n"/>
      <c r="Z151" s="62">
        <f t="array" ref="Z151">IF(Y151&lt;&gt;"",IF(INDEX(techniques[coverage],MATCH(Y151,techniques[name],0))&gt;0,INDEX(techniques[coverage],MATCH(Y151,techniques[name],0)),""),"")</f>
        <v/>
      </c>
      <c r="AA151" s="45" t="n"/>
      <c r="AB151" s="62">
        <f t="array" ref="AB151">IF(AA151&lt;&gt;"",IF(INDEX(techniques[coverage],MATCH(AA151,techniques[name],0))&gt;0,INDEX(techniques[coverage],MATCH(AA151,techniques[name],0)),""),"")</f>
        <v/>
      </c>
      <c r="AC151" s="45" t="n"/>
      <c r="AD151" s="62">
        <f t="array" ref="AD151">IF(AC151&lt;&gt;"",IF(INDEX(techniques[coverage],MATCH(AC151,techniques[name],0))&gt;0,INDEX(techniques[coverage],MATCH(AC151,techniques[name],0)),""),"")</f>
        <v/>
      </c>
    </row>
    <row r="152">
      <c r="A152" s="45" t="n"/>
      <c r="B152" s="62">
        <f t="array" ref="B152">IF(A152&lt;&gt;"",IF(INDEX(techniques[coverage],MATCH(A152,techniques[name],0))&gt;0,INDEX(techniques[coverage],MATCH(A152,techniques[name],0)),""),"")</f>
        <v/>
      </c>
      <c r="C152" s="45" t="n"/>
      <c r="D152" s="62">
        <f t="array" ref="D152">IF(C152&lt;&gt;"",IF(INDEX(techniques[coverage],MATCH(C152,techniques[name],0))&gt;0,INDEX(techniques[coverage],MATCH(C152,techniques[name],0)),""),"")</f>
        <v/>
      </c>
      <c r="E152" s="45" t="n"/>
      <c r="F152" s="62">
        <f t="array" ref="F152">IF(E152&lt;&gt;"",IF(INDEX(techniques[coverage],MATCH(E152,techniques[name],0))&gt;0,INDEX(techniques[coverage],MATCH(E152,techniques[name],0)),""),"")</f>
        <v/>
      </c>
      <c r="G152" s="45" t="n"/>
      <c r="H152" s="62">
        <f t="array" ref="H152">IF(G152&lt;&gt;"",IF(INDEX(techniques[coverage],MATCH(G152,techniques[name],0))&gt;0,INDEX(techniques[coverage],MATCH(G152,techniques[name],0)),""),"")</f>
        <v/>
      </c>
      <c r="I152" s="45" t="n"/>
      <c r="J152" s="62">
        <f t="array" ref="J152">IF(I152&lt;&gt;"",IF(INDEX(techniques[coverage],MATCH(I152,techniques[name],0))&gt;0,INDEX(techniques[coverage],MATCH(I152,techniques[name],0)),""),"")</f>
        <v/>
      </c>
      <c r="K152" s="45" t="n"/>
      <c r="L152" s="62">
        <f t="array" ref="L152">IF(K152&lt;&gt;"",IF(INDEX(techniques[coverage],MATCH(K152,techniques[name],0))&gt;0,INDEX(techniques[coverage],MATCH(K152,techniques[name],0)),""),"")</f>
        <v/>
      </c>
      <c r="M152" s="45" t="n"/>
      <c r="N152" s="62">
        <f t="array" ref="N152">IF(M152&lt;&gt;"",IF(INDEX(techniques[coverage],MATCH(M152,techniques[name],0))&gt;0,INDEX(techniques[coverage],MATCH(M152,techniques[name],0)),""),"")</f>
        <v/>
      </c>
      <c r="O152" s="45" t="n"/>
      <c r="P152" s="62">
        <f t="array" ref="P152">IF(O152&lt;&gt;"",IF(INDEX(techniques[coverage],MATCH(O152,techniques[name],0))&gt;0,INDEX(techniques[coverage],MATCH(O152,techniques[name],0)),""),"")</f>
        <v/>
      </c>
      <c r="Q152" s="45" t="n"/>
      <c r="R152" s="62">
        <f t="array" ref="R152">IF(Q152&lt;&gt;"",IF(INDEX(techniques[coverage],MATCH(Q152,techniques[name],0))&gt;0,INDEX(techniques[coverage],MATCH(Q152,techniques[name],0)),""),"")</f>
        <v/>
      </c>
      <c r="S152" s="45" t="n"/>
      <c r="T152" s="62">
        <f t="array" ref="T152">IF(S152&lt;&gt;"",IF(INDEX(techniques[coverage],MATCH(S152,techniques[name],0))&gt;0,INDEX(techniques[coverage],MATCH(S152,techniques[name],0)),""),"")</f>
        <v/>
      </c>
      <c r="U152" s="45" t="n"/>
      <c r="V152" s="62">
        <f t="array" ref="V152">IF(U152&lt;&gt;"",IF(INDEX(techniques[coverage],MATCH(U152,techniques[name],0))&gt;0,INDEX(techniques[coverage],MATCH(U152,techniques[name],0)),""),"")</f>
        <v/>
      </c>
      <c r="W152" s="45" t="n"/>
      <c r="X152" s="62">
        <f t="array" ref="X152">IF(W152&lt;&gt;"",IF(INDEX(techniques[coverage],MATCH(W152,techniques[name],0))&gt;0,INDEX(techniques[coverage],MATCH(W152,techniques[name],0)),""),"")</f>
        <v/>
      </c>
      <c r="Y152" s="45" t="n"/>
      <c r="Z152" s="62">
        <f t="array" ref="Z152">IF(Y152&lt;&gt;"",IF(INDEX(techniques[coverage],MATCH(Y152,techniques[name],0))&gt;0,INDEX(techniques[coverage],MATCH(Y152,techniques[name],0)),""),"")</f>
        <v/>
      </c>
      <c r="AA152" s="45" t="n"/>
      <c r="AB152" s="62">
        <f t="array" ref="AB152">IF(AA152&lt;&gt;"",IF(INDEX(techniques[coverage],MATCH(AA152,techniques[name],0))&gt;0,INDEX(techniques[coverage],MATCH(AA152,techniques[name],0)),""),"")</f>
        <v/>
      </c>
      <c r="AC152" s="45" t="n"/>
      <c r="AD152" s="62">
        <f t="array" ref="AD152">IF(AC152&lt;&gt;"",IF(INDEX(techniques[coverage],MATCH(AC152,techniques[name],0))&gt;0,INDEX(techniques[coverage],MATCH(AC152,techniques[name],0)),""),"")</f>
        <v/>
      </c>
    </row>
    <row r="153">
      <c r="A153" s="45" t="n"/>
      <c r="B153" s="62">
        <f t="array" ref="B153">IF(A153&lt;&gt;"",IF(INDEX(techniques[coverage],MATCH(A153,techniques[name],0))&gt;0,INDEX(techniques[coverage],MATCH(A153,techniques[name],0)),""),"")</f>
        <v/>
      </c>
      <c r="C153" s="45" t="n"/>
      <c r="D153" s="62">
        <f t="array" ref="D153">IF(C153&lt;&gt;"",IF(INDEX(techniques[coverage],MATCH(C153,techniques[name],0))&gt;0,INDEX(techniques[coverage],MATCH(C153,techniques[name],0)),""),"")</f>
        <v/>
      </c>
      <c r="E153" s="45" t="n"/>
      <c r="F153" s="62">
        <f t="array" ref="F153">IF(E153&lt;&gt;"",IF(INDEX(techniques[coverage],MATCH(E153,techniques[name],0))&gt;0,INDEX(techniques[coverage],MATCH(E153,techniques[name],0)),""),"")</f>
        <v/>
      </c>
      <c r="G153" s="45" t="n"/>
      <c r="H153" s="62">
        <f t="array" ref="H153">IF(G153&lt;&gt;"",IF(INDEX(techniques[coverage],MATCH(G153,techniques[name],0))&gt;0,INDEX(techniques[coverage],MATCH(G153,techniques[name],0)),""),"")</f>
        <v/>
      </c>
      <c r="I153" s="45" t="n"/>
      <c r="J153" s="62">
        <f t="array" ref="J153">IF(I153&lt;&gt;"",IF(INDEX(techniques[coverage],MATCH(I153,techniques[name],0))&gt;0,INDEX(techniques[coverage],MATCH(I153,techniques[name],0)),""),"")</f>
        <v/>
      </c>
      <c r="K153" s="45" t="n"/>
      <c r="L153" s="62">
        <f t="array" ref="L153">IF(K153&lt;&gt;"",IF(INDEX(techniques[coverage],MATCH(K153,techniques[name],0))&gt;0,INDEX(techniques[coverage],MATCH(K153,techniques[name],0)),""),"")</f>
        <v/>
      </c>
      <c r="M153" s="45" t="n"/>
      <c r="N153" s="62">
        <f t="array" ref="N153">IF(M153&lt;&gt;"",IF(INDEX(techniques[coverage],MATCH(M153,techniques[name],0))&gt;0,INDEX(techniques[coverage],MATCH(M153,techniques[name],0)),""),"")</f>
        <v/>
      </c>
      <c r="O153" s="45" t="n"/>
      <c r="P153" s="62">
        <f t="array" ref="P153">IF(O153&lt;&gt;"",IF(INDEX(techniques[coverage],MATCH(O153,techniques[name],0))&gt;0,INDEX(techniques[coverage],MATCH(O153,techniques[name],0)),""),"")</f>
        <v/>
      </c>
      <c r="Q153" s="45" t="n"/>
      <c r="R153" s="62">
        <f t="array" ref="R153">IF(Q153&lt;&gt;"",IF(INDEX(techniques[coverage],MATCH(Q153,techniques[name],0))&gt;0,INDEX(techniques[coverage],MATCH(Q153,techniques[name],0)),""),"")</f>
        <v/>
      </c>
      <c r="S153" s="45" t="n"/>
      <c r="T153" s="62">
        <f t="array" ref="T153">IF(S153&lt;&gt;"",IF(INDEX(techniques[coverage],MATCH(S153,techniques[name],0))&gt;0,INDEX(techniques[coverage],MATCH(S153,techniques[name],0)),""),"")</f>
        <v/>
      </c>
      <c r="U153" s="45" t="n"/>
      <c r="V153" s="62">
        <f t="array" ref="V153">IF(U153&lt;&gt;"",IF(INDEX(techniques[coverage],MATCH(U153,techniques[name],0))&gt;0,INDEX(techniques[coverage],MATCH(U153,techniques[name],0)),""),"")</f>
        <v/>
      </c>
      <c r="W153" s="45" t="n"/>
      <c r="X153" s="62">
        <f t="array" ref="X153">IF(W153&lt;&gt;"",IF(INDEX(techniques[coverage],MATCH(W153,techniques[name],0))&gt;0,INDEX(techniques[coverage],MATCH(W153,techniques[name],0)),""),"")</f>
        <v/>
      </c>
      <c r="Y153" s="45" t="n"/>
      <c r="Z153" s="62">
        <f t="array" ref="Z153">IF(Y153&lt;&gt;"",IF(INDEX(techniques[coverage],MATCH(Y153,techniques[name],0))&gt;0,INDEX(techniques[coverage],MATCH(Y153,techniques[name],0)),""),"")</f>
        <v/>
      </c>
      <c r="AA153" s="45" t="n"/>
      <c r="AB153" s="62">
        <f t="array" ref="AB153">IF(AA153&lt;&gt;"",IF(INDEX(techniques[coverage],MATCH(AA153,techniques[name],0))&gt;0,INDEX(techniques[coverage],MATCH(AA153,techniques[name],0)),""),"")</f>
        <v/>
      </c>
      <c r="AC153" s="45" t="n"/>
      <c r="AD153" s="62">
        <f t="array" ref="AD153">IF(AC153&lt;&gt;"",IF(INDEX(techniques[coverage],MATCH(AC153,techniques[name],0))&gt;0,INDEX(techniques[coverage],MATCH(AC153,techniques[name],0)),""),"")</f>
        <v/>
      </c>
    </row>
    <row r="154">
      <c r="A154" s="45" t="n"/>
      <c r="B154" s="62">
        <f t="array" ref="B154">IF(A154&lt;&gt;"",IF(INDEX(techniques[coverage],MATCH(A154,techniques[name],0))&gt;0,INDEX(techniques[coverage],MATCH(A154,techniques[name],0)),""),"")</f>
        <v/>
      </c>
      <c r="C154" s="45" t="n"/>
      <c r="D154" s="62">
        <f t="array" ref="D154">IF(C154&lt;&gt;"",IF(INDEX(techniques[coverage],MATCH(C154,techniques[name],0))&gt;0,INDEX(techniques[coverage],MATCH(C154,techniques[name],0)),""),"")</f>
        <v/>
      </c>
      <c r="E154" s="45" t="n"/>
      <c r="F154" s="62">
        <f t="array" ref="F154">IF(E154&lt;&gt;"",IF(INDEX(techniques[coverage],MATCH(E154,techniques[name],0))&gt;0,INDEX(techniques[coverage],MATCH(E154,techniques[name],0)),""),"")</f>
        <v/>
      </c>
      <c r="G154" s="45" t="n"/>
      <c r="H154" s="62">
        <f t="array" ref="H154">IF(G154&lt;&gt;"",IF(INDEX(techniques[coverage],MATCH(G154,techniques[name],0))&gt;0,INDEX(techniques[coverage],MATCH(G154,techniques[name],0)),""),"")</f>
        <v/>
      </c>
      <c r="I154" s="45" t="n"/>
      <c r="J154" s="62">
        <f t="array" ref="J154">IF(I154&lt;&gt;"",IF(INDEX(techniques[coverage],MATCH(I154,techniques[name],0))&gt;0,INDEX(techniques[coverage],MATCH(I154,techniques[name],0)),""),"")</f>
        <v/>
      </c>
      <c r="K154" s="45" t="n"/>
      <c r="L154" s="62">
        <f t="array" ref="L154">IF(K154&lt;&gt;"",IF(INDEX(techniques[coverage],MATCH(K154,techniques[name],0))&gt;0,INDEX(techniques[coverage],MATCH(K154,techniques[name],0)),""),"")</f>
        <v/>
      </c>
      <c r="M154" s="45" t="n"/>
      <c r="N154" s="62">
        <f t="array" ref="N154">IF(M154&lt;&gt;"",IF(INDEX(techniques[coverage],MATCH(M154,techniques[name],0))&gt;0,INDEX(techniques[coverage],MATCH(M154,techniques[name],0)),""),"")</f>
        <v/>
      </c>
      <c r="O154" s="45" t="n"/>
      <c r="P154" s="62">
        <f t="array" ref="P154">IF(O154&lt;&gt;"",IF(INDEX(techniques[coverage],MATCH(O154,techniques[name],0))&gt;0,INDEX(techniques[coverage],MATCH(O154,techniques[name],0)),""),"")</f>
        <v/>
      </c>
      <c r="Q154" s="45" t="n"/>
      <c r="R154" s="62">
        <f t="array" ref="R154">IF(Q154&lt;&gt;"",IF(INDEX(techniques[coverage],MATCH(Q154,techniques[name],0))&gt;0,INDEX(techniques[coverage],MATCH(Q154,techniques[name],0)),""),"")</f>
        <v/>
      </c>
      <c r="S154" s="45" t="n"/>
      <c r="T154" s="62">
        <f t="array" ref="T154">IF(S154&lt;&gt;"",IF(INDEX(techniques[coverage],MATCH(S154,techniques[name],0))&gt;0,INDEX(techniques[coverage],MATCH(S154,techniques[name],0)),""),"")</f>
        <v/>
      </c>
      <c r="U154" s="45" t="n"/>
      <c r="V154" s="62">
        <f t="array" ref="V154">IF(U154&lt;&gt;"",IF(INDEX(techniques[coverage],MATCH(U154,techniques[name],0))&gt;0,INDEX(techniques[coverage],MATCH(U154,techniques[name],0)),""),"")</f>
        <v/>
      </c>
      <c r="W154" s="45" t="n"/>
      <c r="X154" s="62">
        <f t="array" ref="X154">IF(W154&lt;&gt;"",IF(INDEX(techniques[coverage],MATCH(W154,techniques[name],0))&gt;0,INDEX(techniques[coverage],MATCH(W154,techniques[name],0)),""),"")</f>
        <v/>
      </c>
      <c r="Y154" s="45" t="n"/>
      <c r="Z154" s="62">
        <f t="array" ref="Z154">IF(Y154&lt;&gt;"",IF(INDEX(techniques[coverage],MATCH(Y154,techniques[name],0))&gt;0,INDEX(techniques[coverage],MATCH(Y154,techniques[name],0)),""),"")</f>
        <v/>
      </c>
      <c r="AA154" s="45" t="n"/>
      <c r="AB154" s="62">
        <f t="array" ref="AB154">IF(AA154&lt;&gt;"",IF(INDEX(techniques[coverage],MATCH(AA154,techniques[name],0))&gt;0,INDEX(techniques[coverage],MATCH(AA154,techniques[name],0)),""),"")</f>
        <v/>
      </c>
      <c r="AC154" s="45" t="n"/>
      <c r="AD154" s="62">
        <f t="array" ref="AD154">IF(AC154&lt;&gt;"",IF(INDEX(techniques[coverage],MATCH(AC154,techniques[name],0))&gt;0,INDEX(techniques[coverage],MATCH(AC154,techniques[name],0)),""),"")</f>
        <v/>
      </c>
    </row>
    <row r="155">
      <c r="A155" s="45" t="n"/>
      <c r="B155" s="62">
        <f t="array" ref="B155">IF(A155&lt;&gt;"",IF(INDEX(techniques[coverage],MATCH(A155,techniques[name],0))&gt;0,INDEX(techniques[coverage],MATCH(A155,techniques[name],0)),""),"")</f>
        <v/>
      </c>
      <c r="C155" s="45" t="n"/>
      <c r="D155" s="62">
        <f t="array" ref="D155">IF(C155&lt;&gt;"",IF(INDEX(techniques[coverage],MATCH(C155,techniques[name],0))&gt;0,INDEX(techniques[coverage],MATCH(C155,techniques[name],0)),""),"")</f>
        <v/>
      </c>
      <c r="E155" s="45" t="n"/>
      <c r="F155" s="62">
        <f t="array" ref="F155">IF(E155&lt;&gt;"",IF(INDEX(techniques[coverage],MATCH(E155,techniques[name],0))&gt;0,INDEX(techniques[coverage],MATCH(E155,techniques[name],0)),""),"")</f>
        <v/>
      </c>
      <c r="G155" s="45" t="n"/>
      <c r="H155" s="62">
        <f t="array" ref="H155">IF(G155&lt;&gt;"",IF(INDEX(techniques[coverage],MATCH(G155,techniques[name],0))&gt;0,INDEX(techniques[coverage],MATCH(G155,techniques[name],0)),""),"")</f>
        <v/>
      </c>
      <c r="I155" s="45" t="n"/>
      <c r="J155" s="62">
        <f t="array" ref="J155">IF(I155&lt;&gt;"",IF(INDEX(techniques[coverage],MATCH(I155,techniques[name],0))&gt;0,INDEX(techniques[coverage],MATCH(I155,techniques[name],0)),""),"")</f>
        <v/>
      </c>
      <c r="K155" s="45" t="n"/>
      <c r="L155" s="62">
        <f t="array" ref="L155">IF(K155&lt;&gt;"",IF(INDEX(techniques[coverage],MATCH(K155,techniques[name],0))&gt;0,INDEX(techniques[coverage],MATCH(K155,techniques[name],0)),""),"")</f>
        <v/>
      </c>
      <c r="M155" s="45" t="n"/>
      <c r="N155" s="62">
        <f t="array" ref="N155">IF(M155&lt;&gt;"",IF(INDEX(techniques[coverage],MATCH(M155,techniques[name],0))&gt;0,INDEX(techniques[coverage],MATCH(M155,techniques[name],0)),""),"")</f>
        <v/>
      </c>
      <c r="O155" s="45" t="n"/>
      <c r="P155" s="62">
        <f t="array" ref="P155">IF(O155&lt;&gt;"",IF(INDEX(techniques[coverage],MATCH(O155,techniques[name],0))&gt;0,INDEX(techniques[coverage],MATCH(O155,techniques[name],0)),""),"")</f>
        <v/>
      </c>
      <c r="Q155" s="45" t="n"/>
      <c r="R155" s="62">
        <f t="array" ref="R155">IF(Q155&lt;&gt;"",IF(INDEX(techniques[coverage],MATCH(Q155,techniques[name],0))&gt;0,INDEX(techniques[coverage],MATCH(Q155,techniques[name],0)),""),"")</f>
        <v/>
      </c>
      <c r="S155" s="45" t="n"/>
      <c r="T155" s="62">
        <f t="array" ref="T155">IF(S155&lt;&gt;"",IF(INDEX(techniques[coverage],MATCH(S155,techniques[name],0))&gt;0,INDEX(techniques[coverage],MATCH(S155,techniques[name],0)),""),"")</f>
        <v/>
      </c>
      <c r="U155" s="45" t="n"/>
      <c r="V155" s="62">
        <f t="array" ref="V155">IF(U155&lt;&gt;"",IF(INDEX(techniques[coverage],MATCH(U155,techniques[name],0))&gt;0,INDEX(techniques[coverage],MATCH(U155,techniques[name],0)),""),"")</f>
        <v/>
      </c>
      <c r="W155" s="45" t="n"/>
      <c r="X155" s="62">
        <f t="array" ref="X155">IF(W155&lt;&gt;"",IF(INDEX(techniques[coverage],MATCH(W155,techniques[name],0))&gt;0,INDEX(techniques[coverage],MATCH(W155,techniques[name],0)),""),"")</f>
        <v/>
      </c>
      <c r="Y155" s="45" t="n"/>
      <c r="Z155" s="62">
        <f t="array" ref="Z155">IF(Y155&lt;&gt;"",IF(INDEX(techniques[coverage],MATCH(Y155,techniques[name],0))&gt;0,INDEX(techniques[coverage],MATCH(Y155,techniques[name],0)),""),"")</f>
        <v/>
      </c>
      <c r="AA155" s="45" t="n"/>
      <c r="AB155" s="62">
        <f t="array" ref="AB155">IF(AA155&lt;&gt;"",IF(INDEX(techniques[coverage],MATCH(AA155,techniques[name],0))&gt;0,INDEX(techniques[coverage],MATCH(AA155,techniques[name],0)),""),"")</f>
        <v/>
      </c>
      <c r="AC155" s="45" t="n"/>
      <c r="AD155" s="62">
        <f t="array" ref="AD155">IF(AC155&lt;&gt;"",IF(INDEX(techniques[coverage],MATCH(AC155,techniques[name],0))&gt;0,INDEX(techniques[coverage],MATCH(AC155,techniques[name],0)),""),"")</f>
        <v/>
      </c>
    </row>
    <row r="156">
      <c r="A156" s="45" t="n"/>
      <c r="B156" s="62">
        <f t="array" ref="B156">IF(A156&lt;&gt;"",IF(INDEX(techniques[coverage],MATCH(A156,techniques[name],0))&gt;0,INDEX(techniques[coverage],MATCH(A156,techniques[name],0)),""),"")</f>
        <v/>
      </c>
      <c r="C156" s="45" t="n"/>
      <c r="D156" s="62">
        <f t="array" ref="D156">IF(C156&lt;&gt;"",IF(INDEX(techniques[coverage],MATCH(C156,techniques[name],0))&gt;0,INDEX(techniques[coverage],MATCH(C156,techniques[name],0)),""),"")</f>
        <v/>
      </c>
      <c r="E156" s="45" t="n"/>
      <c r="F156" s="62">
        <f t="array" ref="F156">IF(E156&lt;&gt;"",IF(INDEX(techniques[coverage],MATCH(E156,techniques[name],0))&gt;0,INDEX(techniques[coverage],MATCH(E156,techniques[name],0)),""),"")</f>
        <v/>
      </c>
      <c r="G156" s="45" t="n"/>
      <c r="H156" s="62">
        <f t="array" ref="H156">IF(G156&lt;&gt;"",IF(INDEX(techniques[coverage],MATCH(G156,techniques[name],0))&gt;0,INDEX(techniques[coverage],MATCH(G156,techniques[name],0)),""),"")</f>
        <v/>
      </c>
      <c r="I156" s="45" t="n"/>
      <c r="J156" s="62">
        <f t="array" ref="J156">IF(I156&lt;&gt;"",IF(INDEX(techniques[coverage],MATCH(I156,techniques[name],0))&gt;0,INDEX(techniques[coverage],MATCH(I156,techniques[name],0)),""),"")</f>
        <v/>
      </c>
      <c r="K156" s="45" t="n"/>
      <c r="L156" s="62">
        <f t="array" ref="L156">IF(K156&lt;&gt;"",IF(INDEX(techniques[coverage],MATCH(K156,techniques[name],0))&gt;0,INDEX(techniques[coverage],MATCH(K156,techniques[name],0)),""),"")</f>
        <v/>
      </c>
      <c r="M156" s="45" t="n"/>
      <c r="N156" s="62">
        <f t="array" ref="N156">IF(M156&lt;&gt;"",IF(INDEX(techniques[coverage],MATCH(M156,techniques[name],0))&gt;0,INDEX(techniques[coverage],MATCH(M156,techniques[name],0)),""),"")</f>
        <v/>
      </c>
      <c r="O156" s="45" t="n"/>
      <c r="P156" s="62">
        <f t="array" ref="P156">IF(O156&lt;&gt;"",IF(INDEX(techniques[coverage],MATCH(O156,techniques[name],0))&gt;0,INDEX(techniques[coverage],MATCH(O156,techniques[name],0)),""),"")</f>
        <v/>
      </c>
      <c r="Q156" s="45" t="n"/>
      <c r="R156" s="62">
        <f t="array" ref="R156">IF(Q156&lt;&gt;"",IF(INDEX(techniques[coverage],MATCH(Q156,techniques[name],0))&gt;0,INDEX(techniques[coverage],MATCH(Q156,techniques[name],0)),""),"")</f>
        <v/>
      </c>
      <c r="S156" s="45" t="n"/>
      <c r="T156" s="62">
        <f t="array" ref="T156">IF(S156&lt;&gt;"",IF(INDEX(techniques[coverage],MATCH(S156,techniques[name],0))&gt;0,INDEX(techniques[coverage],MATCH(S156,techniques[name],0)),""),"")</f>
        <v/>
      </c>
      <c r="U156" s="45" t="n"/>
      <c r="V156" s="62">
        <f t="array" ref="V156">IF(U156&lt;&gt;"",IF(INDEX(techniques[coverage],MATCH(U156,techniques[name],0))&gt;0,INDEX(techniques[coverage],MATCH(U156,techniques[name],0)),""),"")</f>
        <v/>
      </c>
      <c r="W156" s="45" t="n"/>
      <c r="X156" s="62">
        <f t="array" ref="X156">IF(W156&lt;&gt;"",IF(INDEX(techniques[coverage],MATCH(W156,techniques[name],0))&gt;0,INDEX(techniques[coverage],MATCH(W156,techniques[name],0)),""),"")</f>
        <v/>
      </c>
      <c r="Y156" s="45" t="n"/>
      <c r="Z156" s="62">
        <f t="array" ref="Z156">IF(Y156&lt;&gt;"",IF(INDEX(techniques[coverage],MATCH(Y156,techniques[name],0))&gt;0,INDEX(techniques[coverage],MATCH(Y156,techniques[name],0)),""),"")</f>
        <v/>
      </c>
      <c r="AA156" s="45" t="n"/>
      <c r="AB156" s="62">
        <f t="array" ref="AB156">IF(AA156&lt;&gt;"",IF(INDEX(techniques[coverage],MATCH(AA156,techniques[name],0))&gt;0,INDEX(techniques[coverage],MATCH(AA156,techniques[name],0)),""),"")</f>
        <v/>
      </c>
      <c r="AC156" s="45" t="n"/>
      <c r="AD156" s="62">
        <f t="array" ref="AD156">IF(AC156&lt;&gt;"",IF(INDEX(techniques[coverage],MATCH(AC156,techniques[name],0))&gt;0,INDEX(techniques[coverage],MATCH(AC156,techniques[name],0)),""),"")</f>
        <v/>
      </c>
    </row>
    <row r="157">
      <c r="A157" s="45" t="n"/>
      <c r="B157" s="62">
        <f t="array" ref="B157">IF(A157&lt;&gt;"",IF(INDEX(techniques[coverage],MATCH(A157,techniques[name],0))&gt;0,INDEX(techniques[coverage],MATCH(A157,techniques[name],0)),""),"")</f>
        <v/>
      </c>
      <c r="C157" s="45" t="n"/>
      <c r="D157" s="62">
        <f t="array" ref="D157">IF(C157&lt;&gt;"",IF(INDEX(techniques[coverage],MATCH(C157,techniques[name],0))&gt;0,INDEX(techniques[coverage],MATCH(C157,techniques[name],0)),""),"")</f>
        <v/>
      </c>
      <c r="E157" s="45" t="n"/>
      <c r="F157" s="62">
        <f t="array" ref="F157">IF(E157&lt;&gt;"",IF(INDEX(techniques[coverage],MATCH(E157,techniques[name],0))&gt;0,INDEX(techniques[coverage],MATCH(E157,techniques[name],0)),""),"")</f>
        <v/>
      </c>
      <c r="G157" s="45" t="n"/>
      <c r="H157" s="62">
        <f t="array" ref="H157">IF(G157&lt;&gt;"",IF(INDEX(techniques[coverage],MATCH(G157,techniques[name],0))&gt;0,INDEX(techniques[coverage],MATCH(G157,techniques[name],0)),""),"")</f>
        <v/>
      </c>
      <c r="I157" s="45" t="n"/>
      <c r="J157" s="62">
        <f t="array" ref="J157">IF(I157&lt;&gt;"",IF(INDEX(techniques[coverage],MATCH(I157,techniques[name],0))&gt;0,INDEX(techniques[coverage],MATCH(I157,techniques[name],0)),""),"")</f>
        <v/>
      </c>
      <c r="K157" s="45" t="n"/>
      <c r="L157" s="62">
        <f t="array" ref="L157">IF(K157&lt;&gt;"",IF(INDEX(techniques[coverage],MATCH(K157,techniques[name],0))&gt;0,INDEX(techniques[coverage],MATCH(K157,techniques[name],0)),""),"")</f>
        <v/>
      </c>
      <c r="M157" s="45" t="n"/>
      <c r="N157" s="62">
        <f t="array" ref="N157">IF(M157&lt;&gt;"",IF(INDEX(techniques[coverage],MATCH(M157,techniques[name],0))&gt;0,INDEX(techniques[coverage],MATCH(M157,techniques[name],0)),""),"")</f>
        <v/>
      </c>
      <c r="O157" s="45" t="n"/>
      <c r="P157" s="62">
        <f t="array" ref="P157">IF(O157&lt;&gt;"",IF(INDEX(techniques[coverage],MATCH(O157,techniques[name],0))&gt;0,INDEX(techniques[coverage],MATCH(O157,techniques[name],0)),""),"")</f>
        <v/>
      </c>
      <c r="Q157" s="45" t="n"/>
      <c r="R157" s="62">
        <f t="array" ref="R157">IF(Q157&lt;&gt;"",IF(INDEX(techniques[coverage],MATCH(Q157,techniques[name],0))&gt;0,INDEX(techniques[coverage],MATCH(Q157,techniques[name],0)),""),"")</f>
        <v/>
      </c>
      <c r="S157" s="45" t="n"/>
      <c r="T157" s="62">
        <f t="array" ref="T157">IF(S157&lt;&gt;"",IF(INDEX(techniques[coverage],MATCH(S157,techniques[name],0))&gt;0,INDEX(techniques[coverage],MATCH(S157,techniques[name],0)),""),"")</f>
        <v/>
      </c>
      <c r="U157" s="45" t="n"/>
      <c r="V157" s="62">
        <f t="array" ref="V157">IF(U157&lt;&gt;"",IF(INDEX(techniques[coverage],MATCH(U157,techniques[name],0))&gt;0,INDEX(techniques[coverage],MATCH(U157,techniques[name],0)),""),"")</f>
        <v/>
      </c>
      <c r="W157" s="45" t="n"/>
      <c r="X157" s="62">
        <f t="array" ref="X157">IF(W157&lt;&gt;"",IF(INDEX(techniques[coverage],MATCH(W157,techniques[name],0))&gt;0,INDEX(techniques[coverage],MATCH(W157,techniques[name],0)),""),"")</f>
        <v/>
      </c>
      <c r="Y157" s="45" t="n"/>
      <c r="Z157" s="62">
        <f t="array" ref="Z157">IF(Y157&lt;&gt;"",IF(INDEX(techniques[coverage],MATCH(Y157,techniques[name],0))&gt;0,INDEX(techniques[coverage],MATCH(Y157,techniques[name],0)),""),"")</f>
        <v/>
      </c>
      <c r="AA157" s="45" t="n"/>
      <c r="AB157" s="62">
        <f t="array" ref="AB157">IF(AA157&lt;&gt;"",IF(INDEX(techniques[coverage],MATCH(AA157,techniques[name],0))&gt;0,INDEX(techniques[coverage],MATCH(AA157,techniques[name],0)),""),"")</f>
        <v/>
      </c>
      <c r="AC157" s="45" t="n"/>
      <c r="AD157" s="62">
        <f t="array" ref="AD157">IF(AC157&lt;&gt;"",IF(INDEX(techniques[coverage],MATCH(AC157,techniques[name],0))&gt;0,INDEX(techniques[coverage],MATCH(AC157,techniques[name],0)),""),"")</f>
        <v/>
      </c>
    </row>
    <row r="158">
      <c r="A158" s="45" t="n"/>
      <c r="B158" s="62">
        <f t="array" ref="B158">IF(A158&lt;&gt;"",IF(INDEX(techniques[coverage],MATCH(A158,techniques[name],0))&gt;0,INDEX(techniques[coverage],MATCH(A158,techniques[name],0)),""),"")</f>
        <v/>
      </c>
      <c r="C158" s="45" t="n"/>
      <c r="D158" s="62">
        <f t="array" ref="D158">IF(C158&lt;&gt;"",IF(INDEX(techniques[coverage],MATCH(C158,techniques[name],0))&gt;0,INDEX(techniques[coverage],MATCH(C158,techniques[name],0)),""),"")</f>
        <v/>
      </c>
      <c r="E158" s="45" t="n"/>
      <c r="F158" s="62">
        <f t="array" ref="F158">IF(E158&lt;&gt;"",IF(INDEX(techniques[coverage],MATCH(E158,techniques[name],0))&gt;0,INDEX(techniques[coverage],MATCH(E158,techniques[name],0)),""),"")</f>
        <v/>
      </c>
      <c r="G158" s="45" t="n"/>
      <c r="H158" s="62">
        <f t="array" ref="H158">IF(G158&lt;&gt;"",IF(INDEX(techniques[coverage],MATCH(G158,techniques[name],0))&gt;0,INDEX(techniques[coverage],MATCH(G158,techniques[name],0)),""),"")</f>
        <v/>
      </c>
      <c r="I158" s="45" t="n"/>
      <c r="J158" s="62">
        <f t="array" ref="J158">IF(I158&lt;&gt;"",IF(INDEX(techniques[coverage],MATCH(I158,techniques[name],0))&gt;0,INDEX(techniques[coverage],MATCH(I158,techniques[name],0)),""),"")</f>
        <v/>
      </c>
      <c r="K158" s="45" t="n"/>
      <c r="L158" s="62">
        <f t="array" ref="L158">IF(K158&lt;&gt;"",IF(INDEX(techniques[coverage],MATCH(K158,techniques[name],0))&gt;0,INDEX(techniques[coverage],MATCH(K158,techniques[name],0)),""),"")</f>
        <v/>
      </c>
      <c r="M158" s="45" t="n"/>
      <c r="N158" s="62">
        <f t="array" ref="N158">IF(M158&lt;&gt;"",IF(INDEX(techniques[coverage],MATCH(M158,techniques[name],0))&gt;0,INDEX(techniques[coverage],MATCH(M158,techniques[name],0)),""),"")</f>
        <v/>
      </c>
      <c r="O158" s="45" t="n"/>
      <c r="P158" s="62">
        <f t="array" ref="P158">IF(O158&lt;&gt;"",IF(INDEX(techniques[coverage],MATCH(O158,techniques[name],0))&gt;0,INDEX(techniques[coverage],MATCH(O158,techniques[name],0)),""),"")</f>
        <v/>
      </c>
      <c r="Q158" s="45" t="n"/>
      <c r="R158" s="62">
        <f t="array" ref="R158">IF(Q158&lt;&gt;"",IF(INDEX(techniques[coverage],MATCH(Q158,techniques[name],0))&gt;0,INDEX(techniques[coverage],MATCH(Q158,techniques[name],0)),""),"")</f>
        <v/>
      </c>
      <c r="S158" s="45" t="n"/>
      <c r="T158" s="62">
        <f t="array" ref="T158">IF(S158&lt;&gt;"",IF(INDEX(techniques[coverage],MATCH(S158,techniques[name],0))&gt;0,INDEX(techniques[coverage],MATCH(S158,techniques[name],0)),""),"")</f>
        <v/>
      </c>
      <c r="U158" s="45" t="n"/>
      <c r="V158" s="62">
        <f t="array" ref="V158">IF(U158&lt;&gt;"",IF(INDEX(techniques[coverage],MATCH(U158,techniques[name],0))&gt;0,INDEX(techniques[coverage],MATCH(U158,techniques[name],0)),""),"")</f>
        <v/>
      </c>
      <c r="W158" s="45" t="n"/>
      <c r="X158" s="62">
        <f t="array" ref="X158">IF(W158&lt;&gt;"",IF(INDEX(techniques[coverage],MATCH(W158,techniques[name],0))&gt;0,INDEX(techniques[coverage],MATCH(W158,techniques[name],0)),""),"")</f>
        <v/>
      </c>
      <c r="Y158" s="45" t="n"/>
      <c r="Z158" s="62">
        <f t="array" ref="Z158">IF(Y158&lt;&gt;"",IF(INDEX(techniques[coverage],MATCH(Y158,techniques[name],0))&gt;0,INDEX(techniques[coverage],MATCH(Y158,techniques[name],0)),""),"")</f>
        <v/>
      </c>
      <c r="AA158" s="45" t="n"/>
      <c r="AB158" s="62">
        <f t="array" ref="AB158">IF(AA158&lt;&gt;"",IF(INDEX(techniques[coverage],MATCH(AA158,techniques[name],0))&gt;0,INDEX(techniques[coverage],MATCH(AA158,techniques[name],0)),""),"")</f>
        <v/>
      </c>
      <c r="AC158" s="45" t="n"/>
      <c r="AD158" s="62">
        <f t="array" ref="AD158">IF(AC158&lt;&gt;"",IF(INDEX(techniques[coverage],MATCH(AC158,techniques[name],0))&gt;0,INDEX(techniques[coverage],MATCH(AC158,techniques[name],0)),""),"")</f>
        <v/>
      </c>
    </row>
    <row r="159">
      <c r="A159" s="45" t="n"/>
      <c r="B159" s="62">
        <f t="array" ref="B159">IF(A159&lt;&gt;"",IF(INDEX(techniques[coverage],MATCH(A159,techniques[name],0))&gt;0,INDEX(techniques[coverage],MATCH(A159,techniques[name],0)),""),"")</f>
        <v/>
      </c>
      <c r="C159" s="45" t="n"/>
      <c r="D159" s="62">
        <f t="array" ref="D159">IF(C159&lt;&gt;"",IF(INDEX(techniques[coverage],MATCH(C159,techniques[name],0))&gt;0,INDEX(techniques[coverage],MATCH(C159,techniques[name],0)),""),"")</f>
        <v/>
      </c>
      <c r="E159" s="45" t="n"/>
      <c r="F159" s="62">
        <f t="array" ref="F159">IF(E159&lt;&gt;"",IF(INDEX(techniques[coverage],MATCH(E159,techniques[name],0))&gt;0,INDEX(techniques[coverage],MATCH(E159,techniques[name],0)),""),"")</f>
        <v/>
      </c>
      <c r="G159" s="45" t="n"/>
      <c r="H159" s="62">
        <f t="array" ref="H159">IF(G159&lt;&gt;"",IF(INDEX(techniques[coverage],MATCH(G159,techniques[name],0))&gt;0,INDEX(techniques[coverage],MATCH(G159,techniques[name],0)),""),"")</f>
        <v/>
      </c>
      <c r="I159" s="45" t="n"/>
      <c r="J159" s="62">
        <f t="array" ref="J159">IF(I159&lt;&gt;"",IF(INDEX(techniques[coverage],MATCH(I159,techniques[name],0))&gt;0,INDEX(techniques[coverage],MATCH(I159,techniques[name],0)),""),"")</f>
        <v/>
      </c>
      <c r="K159" s="45" t="n"/>
      <c r="L159" s="62">
        <f t="array" ref="L159">IF(K159&lt;&gt;"",IF(INDEX(techniques[coverage],MATCH(K159,techniques[name],0))&gt;0,INDEX(techniques[coverage],MATCH(K159,techniques[name],0)),""),"")</f>
        <v/>
      </c>
      <c r="M159" s="45" t="n"/>
      <c r="N159" s="62">
        <f t="array" ref="N159">IF(M159&lt;&gt;"",IF(INDEX(techniques[coverage],MATCH(M159,techniques[name],0))&gt;0,INDEX(techniques[coverage],MATCH(M159,techniques[name],0)),""),"")</f>
        <v/>
      </c>
      <c r="O159" s="45" t="n"/>
      <c r="P159" s="62">
        <f t="array" ref="P159">IF(O159&lt;&gt;"",IF(INDEX(techniques[coverage],MATCH(O159,techniques[name],0))&gt;0,INDEX(techniques[coverage],MATCH(O159,techniques[name],0)),""),"")</f>
        <v/>
      </c>
      <c r="Q159" s="45" t="n"/>
      <c r="R159" s="62">
        <f t="array" ref="R159">IF(Q159&lt;&gt;"",IF(INDEX(techniques[coverage],MATCH(Q159,techniques[name],0))&gt;0,INDEX(techniques[coverage],MATCH(Q159,techniques[name],0)),""),"")</f>
        <v/>
      </c>
      <c r="S159" s="45" t="n"/>
      <c r="T159" s="62">
        <f t="array" ref="T159">IF(S159&lt;&gt;"",IF(INDEX(techniques[coverage],MATCH(S159,techniques[name],0))&gt;0,INDEX(techniques[coverage],MATCH(S159,techniques[name],0)),""),"")</f>
        <v/>
      </c>
      <c r="U159" s="45" t="n"/>
      <c r="V159" s="62">
        <f t="array" ref="V159">IF(U159&lt;&gt;"",IF(INDEX(techniques[coverage],MATCH(U159,techniques[name],0))&gt;0,INDEX(techniques[coverage],MATCH(U159,techniques[name],0)),""),"")</f>
        <v/>
      </c>
      <c r="W159" s="45" t="n"/>
      <c r="X159" s="62">
        <f t="array" ref="X159">IF(W159&lt;&gt;"",IF(INDEX(techniques[coverage],MATCH(W159,techniques[name],0))&gt;0,INDEX(techniques[coverage],MATCH(W159,techniques[name],0)),""),"")</f>
        <v/>
      </c>
      <c r="Y159" s="45" t="n"/>
      <c r="Z159" s="62">
        <f t="array" ref="Z159">IF(Y159&lt;&gt;"",IF(INDEX(techniques[coverage],MATCH(Y159,techniques[name],0))&gt;0,INDEX(techniques[coverage],MATCH(Y159,techniques[name],0)),""),"")</f>
        <v/>
      </c>
      <c r="AA159" s="45" t="n"/>
      <c r="AB159" s="62">
        <f t="array" ref="AB159">IF(AA159&lt;&gt;"",IF(INDEX(techniques[coverage],MATCH(AA159,techniques[name],0))&gt;0,INDEX(techniques[coverage],MATCH(AA159,techniques[name],0)),""),"")</f>
        <v/>
      </c>
      <c r="AC159" s="45" t="n"/>
      <c r="AD159" s="62">
        <f t="array" ref="AD159">IF(AC159&lt;&gt;"",IF(INDEX(techniques[coverage],MATCH(AC159,techniques[name],0))&gt;0,INDEX(techniques[coverage],MATCH(AC159,techniques[name],0)),""),"")</f>
        <v/>
      </c>
    </row>
    <row r="160">
      <c r="A160" s="45" t="n"/>
      <c r="B160" s="62">
        <f t="array" ref="B160">IF(A160&lt;&gt;"",IF(INDEX(techniques[coverage],MATCH(A160,techniques[name],0))&gt;0,INDEX(techniques[coverage],MATCH(A160,techniques[name],0)),""),"")</f>
        <v/>
      </c>
      <c r="C160" s="45" t="n"/>
      <c r="D160" s="62">
        <f t="array" ref="D160">IF(C160&lt;&gt;"",IF(INDEX(techniques[coverage],MATCH(C160,techniques[name],0))&gt;0,INDEX(techniques[coverage],MATCH(C160,techniques[name],0)),""),"")</f>
        <v/>
      </c>
      <c r="E160" s="45" t="n"/>
      <c r="F160" s="62">
        <f t="array" ref="F160">IF(E160&lt;&gt;"",IF(INDEX(techniques[coverage],MATCH(E160,techniques[name],0))&gt;0,INDEX(techniques[coverage],MATCH(E160,techniques[name],0)),""),"")</f>
        <v/>
      </c>
      <c r="G160" s="45" t="n"/>
      <c r="H160" s="62">
        <f t="array" ref="H160">IF(G160&lt;&gt;"",IF(INDEX(techniques[coverage],MATCH(G160,techniques[name],0))&gt;0,INDEX(techniques[coverage],MATCH(G160,techniques[name],0)),""),"")</f>
        <v/>
      </c>
      <c r="I160" s="45" t="n"/>
      <c r="J160" s="62">
        <f t="array" ref="J160">IF(I160&lt;&gt;"",IF(INDEX(techniques[coverage],MATCH(I160,techniques[name],0))&gt;0,INDEX(techniques[coverage],MATCH(I160,techniques[name],0)),""),"")</f>
        <v/>
      </c>
      <c r="K160" s="45" t="n"/>
      <c r="L160" s="62">
        <f t="array" ref="L160">IF(K160&lt;&gt;"",IF(INDEX(techniques[coverage],MATCH(K160,techniques[name],0))&gt;0,INDEX(techniques[coverage],MATCH(K160,techniques[name],0)),""),"")</f>
        <v/>
      </c>
      <c r="M160" s="45" t="n"/>
      <c r="N160" s="62">
        <f t="array" ref="N160">IF(M160&lt;&gt;"",IF(INDEX(techniques[coverage],MATCH(M160,techniques[name],0))&gt;0,INDEX(techniques[coverage],MATCH(M160,techniques[name],0)),""),"")</f>
        <v/>
      </c>
      <c r="O160" s="45" t="n"/>
      <c r="P160" s="62">
        <f t="array" ref="P160">IF(O160&lt;&gt;"",IF(INDEX(techniques[coverage],MATCH(O160,techniques[name],0))&gt;0,INDEX(techniques[coverage],MATCH(O160,techniques[name],0)),""),"")</f>
        <v/>
      </c>
      <c r="Q160" s="45" t="n"/>
      <c r="R160" s="62">
        <f t="array" ref="R160">IF(Q160&lt;&gt;"",IF(INDEX(techniques[coverage],MATCH(Q160,techniques[name],0))&gt;0,INDEX(techniques[coverage],MATCH(Q160,techniques[name],0)),""),"")</f>
        <v/>
      </c>
      <c r="S160" s="45" t="n"/>
      <c r="T160" s="62">
        <f t="array" ref="T160">IF(S160&lt;&gt;"",IF(INDEX(techniques[coverage],MATCH(S160,techniques[name],0))&gt;0,INDEX(techniques[coverage],MATCH(S160,techniques[name],0)),""),"")</f>
        <v/>
      </c>
      <c r="U160" s="45" t="n"/>
      <c r="V160" s="62">
        <f t="array" ref="V160">IF(U160&lt;&gt;"",IF(INDEX(techniques[coverage],MATCH(U160,techniques[name],0))&gt;0,INDEX(techniques[coverage],MATCH(U160,techniques[name],0)),""),"")</f>
        <v/>
      </c>
      <c r="W160" s="45" t="n"/>
      <c r="X160" s="62">
        <f t="array" ref="X160">IF(W160&lt;&gt;"",IF(INDEX(techniques[coverage],MATCH(W160,techniques[name],0))&gt;0,INDEX(techniques[coverage],MATCH(W160,techniques[name],0)),""),"")</f>
        <v/>
      </c>
      <c r="Y160" s="45" t="n"/>
      <c r="Z160" s="62">
        <f t="array" ref="Z160">IF(Y160&lt;&gt;"",IF(INDEX(techniques[coverage],MATCH(Y160,techniques[name],0))&gt;0,INDEX(techniques[coverage],MATCH(Y160,techniques[name],0)),""),"")</f>
        <v/>
      </c>
      <c r="AA160" s="45" t="n"/>
      <c r="AB160" s="62">
        <f t="array" ref="AB160">IF(AA160&lt;&gt;"",IF(INDEX(techniques[coverage],MATCH(AA160,techniques[name],0))&gt;0,INDEX(techniques[coverage],MATCH(AA160,techniques[name],0)),""),"")</f>
        <v/>
      </c>
      <c r="AC160" s="45" t="n"/>
      <c r="AD160" s="62">
        <f t="array" ref="AD160">IF(AC160&lt;&gt;"",IF(INDEX(techniques[coverage],MATCH(AC160,techniques[name],0))&gt;0,INDEX(techniques[coverage],MATCH(AC160,techniques[name],0)),""),"")</f>
        <v/>
      </c>
    </row>
    <row r="161">
      <c r="A161" s="45" t="n"/>
      <c r="B161" s="62">
        <f t="array" ref="B161">IF(A161&lt;&gt;"",IF(INDEX(techniques[coverage],MATCH(A161,techniques[name],0))&gt;0,INDEX(techniques[coverage],MATCH(A161,techniques[name],0)),""),"")</f>
        <v/>
      </c>
      <c r="C161" s="45" t="n"/>
      <c r="D161" s="62">
        <f t="array" ref="D161">IF(C161&lt;&gt;"",IF(INDEX(techniques[coverage],MATCH(C161,techniques[name],0))&gt;0,INDEX(techniques[coverage],MATCH(C161,techniques[name],0)),""),"")</f>
        <v/>
      </c>
      <c r="E161" s="45" t="n"/>
      <c r="F161" s="62">
        <f t="array" ref="F161">IF(E161&lt;&gt;"",IF(INDEX(techniques[coverage],MATCH(E161,techniques[name],0))&gt;0,INDEX(techniques[coverage],MATCH(E161,techniques[name],0)),""),"")</f>
        <v/>
      </c>
      <c r="G161" s="45" t="n"/>
      <c r="H161" s="62">
        <f t="array" ref="H161">IF(G161&lt;&gt;"",IF(INDEX(techniques[coverage],MATCH(G161,techniques[name],0))&gt;0,INDEX(techniques[coverage],MATCH(G161,techniques[name],0)),""),"")</f>
        <v/>
      </c>
      <c r="I161" s="45" t="n"/>
      <c r="J161" s="62">
        <f t="array" ref="J161">IF(I161&lt;&gt;"",IF(INDEX(techniques[coverage],MATCH(I161,techniques[name],0))&gt;0,INDEX(techniques[coverage],MATCH(I161,techniques[name],0)),""),"")</f>
        <v/>
      </c>
      <c r="K161" s="45" t="n"/>
      <c r="L161" s="62">
        <f t="array" ref="L161">IF(K161&lt;&gt;"",IF(INDEX(techniques[coverage],MATCH(K161,techniques[name],0))&gt;0,INDEX(techniques[coverage],MATCH(K161,techniques[name],0)),""),"")</f>
        <v/>
      </c>
      <c r="M161" s="45" t="n"/>
      <c r="N161" s="62">
        <f t="array" ref="N161">IF(M161&lt;&gt;"",IF(INDEX(techniques[coverage],MATCH(M161,techniques[name],0))&gt;0,INDEX(techniques[coverage],MATCH(M161,techniques[name],0)),""),"")</f>
        <v/>
      </c>
      <c r="O161" s="45" t="n"/>
      <c r="P161" s="62">
        <f t="array" ref="P161">IF(O161&lt;&gt;"",IF(INDEX(techniques[coverage],MATCH(O161,techniques[name],0))&gt;0,INDEX(techniques[coverage],MATCH(O161,techniques[name],0)),""),"")</f>
        <v/>
      </c>
      <c r="Q161" s="45" t="n"/>
      <c r="R161" s="62">
        <f t="array" ref="R161">IF(Q161&lt;&gt;"",IF(INDEX(techniques[coverage],MATCH(Q161,techniques[name],0))&gt;0,INDEX(techniques[coverage],MATCH(Q161,techniques[name],0)),""),"")</f>
        <v/>
      </c>
      <c r="S161" s="45" t="n"/>
      <c r="T161" s="62">
        <f t="array" ref="T161">IF(S161&lt;&gt;"",IF(INDEX(techniques[coverage],MATCH(S161,techniques[name],0))&gt;0,INDEX(techniques[coverage],MATCH(S161,techniques[name],0)),""),"")</f>
        <v/>
      </c>
      <c r="U161" s="45" t="n"/>
      <c r="V161" s="62">
        <f t="array" ref="V161">IF(U161&lt;&gt;"",IF(INDEX(techniques[coverage],MATCH(U161,techniques[name],0))&gt;0,INDEX(techniques[coverage],MATCH(U161,techniques[name],0)),""),"")</f>
        <v/>
      </c>
      <c r="W161" s="45" t="n"/>
      <c r="X161" s="62">
        <f t="array" ref="X161">IF(W161&lt;&gt;"",IF(INDEX(techniques[coverage],MATCH(W161,techniques[name],0))&gt;0,INDEX(techniques[coverage],MATCH(W161,techniques[name],0)),""),"")</f>
        <v/>
      </c>
      <c r="Y161" s="45" t="n"/>
      <c r="Z161" s="62">
        <f t="array" ref="Z161">IF(Y161&lt;&gt;"",IF(INDEX(techniques[coverage],MATCH(Y161,techniques[name],0))&gt;0,INDEX(techniques[coverage],MATCH(Y161,techniques[name],0)),""),"")</f>
        <v/>
      </c>
      <c r="AA161" s="45" t="n"/>
      <c r="AB161" s="62">
        <f t="array" ref="AB161">IF(AA161&lt;&gt;"",IF(INDEX(techniques[coverage],MATCH(AA161,techniques[name],0))&gt;0,INDEX(techniques[coverage],MATCH(AA161,techniques[name],0)),""),"")</f>
        <v/>
      </c>
      <c r="AC161" s="45" t="n"/>
      <c r="AD161" s="62">
        <f t="array" ref="AD161">IF(AC161&lt;&gt;"",IF(INDEX(techniques[coverage],MATCH(AC161,techniques[name],0))&gt;0,INDEX(techniques[coverage],MATCH(AC161,techniques[name],0)),""),"")</f>
        <v/>
      </c>
    </row>
    <row r="162">
      <c r="A162" s="45" t="n"/>
      <c r="B162" s="62">
        <f t="array" ref="B162">IF(A162&lt;&gt;"",IF(INDEX(techniques[coverage],MATCH(A162,techniques[name],0))&gt;0,INDEX(techniques[coverage],MATCH(A162,techniques[name],0)),""),"")</f>
        <v/>
      </c>
      <c r="C162" s="45" t="n"/>
      <c r="D162" s="62">
        <f t="array" ref="D162">IF(C162&lt;&gt;"",IF(INDEX(techniques[coverage],MATCH(C162,techniques[name],0))&gt;0,INDEX(techniques[coverage],MATCH(C162,techniques[name],0)),""),"")</f>
        <v/>
      </c>
      <c r="E162" s="45" t="n"/>
      <c r="F162" s="62">
        <f t="array" ref="F162">IF(E162&lt;&gt;"",IF(INDEX(techniques[coverage],MATCH(E162,techniques[name],0))&gt;0,INDEX(techniques[coverage],MATCH(E162,techniques[name],0)),""),"")</f>
        <v/>
      </c>
      <c r="G162" s="45" t="n"/>
      <c r="H162" s="62">
        <f t="array" ref="H162">IF(G162&lt;&gt;"",IF(INDEX(techniques[coverage],MATCH(G162,techniques[name],0))&gt;0,INDEX(techniques[coverage],MATCH(G162,techniques[name],0)),""),"")</f>
        <v/>
      </c>
      <c r="I162" s="45" t="n"/>
      <c r="J162" s="62">
        <f t="array" ref="J162">IF(I162&lt;&gt;"",IF(INDEX(techniques[coverage],MATCH(I162,techniques[name],0))&gt;0,INDEX(techniques[coverage],MATCH(I162,techniques[name],0)),""),"")</f>
        <v/>
      </c>
      <c r="K162" s="45" t="n"/>
      <c r="L162" s="62">
        <f t="array" ref="L162">IF(K162&lt;&gt;"",IF(INDEX(techniques[coverage],MATCH(K162,techniques[name],0))&gt;0,INDEX(techniques[coverage],MATCH(K162,techniques[name],0)),""),"")</f>
        <v/>
      </c>
      <c r="M162" s="45" t="n"/>
      <c r="N162" s="62">
        <f t="array" ref="N162">IF(M162&lt;&gt;"",IF(INDEX(techniques[coverage],MATCH(M162,techniques[name],0))&gt;0,INDEX(techniques[coverage],MATCH(M162,techniques[name],0)),""),"")</f>
        <v/>
      </c>
      <c r="O162" s="45" t="n"/>
      <c r="P162" s="62">
        <f t="array" ref="P162">IF(O162&lt;&gt;"",IF(INDEX(techniques[coverage],MATCH(O162,techniques[name],0))&gt;0,INDEX(techniques[coverage],MATCH(O162,techniques[name],0)),""),"")</f>
        <v/>
      </c>
      <c r="Q162" s="45" t="n"/>
      <c r="R162" s="62">
        <f t="array" ref="R162">IF(Q162&lt;&gt;"",IF(INDEX(techniques[coverage],MATCH(Q162,techniques[name],0))&gt;0,INDEX(techniques[coverage],MATCH(Q162,techniques[name],0)),""),"")</f>
        <v/>
      </c>
      <c r="S162" s="45" t="n"/>
      <c r="T162" s="62">
        <f t="array" ref="T162">IF(S162&lt;&gt;"",IF(INDEX(techniques[coverage],MATCH(S162,techniques[name],0))&gt;0,INDEX(techniques[coverage],MATCH(S162,techniques[name],0)),""),"")</f>
        <v/>
      </c>
      <c r="U162" s="45" t="n"/>
      <c r="V162" s="62">
        <f t="array" ref="V162">IF(U162&lt;&gt;"",IF(INDEX(techniques[coverage],MATCH(U162,techniques[name],0))&gt;0,INDEX(techniques[coverage],MATCH(U162,techniques[name],0)),""),"")</f>
        <v/>
      </c>
      <c r="W162" s="45" t="n"/>
      <c r="X162" s="62">
        <f t="array" ref="X162">IF(W162&lt;&gt;"",IF(INDEX(techniques[coverage],MATCH(W162,techniques[name],0))&gt;0,INDEX(techniques[coverage],MATCH(W162,techniques[name],0)),""),"")</f>
        <v/>
      </c>
      <c r="Y162" s="45" t="n"/>
      <c r="Z162" s="62">
        <f t="array" ref="Z162">IF(Y162&lt;&gt;"",IF(INDEX(techniques[coverage],MATCH(Y162,techniques[name],0))&gt;0,INDEX(techniques[coverage],MATCH(Y162,techniques[name],0)),""),"")</f>
        <v/>
      </c>
      <c r="AA162" s="45" t="n"/>
      <c r="AB162" s="62">
        <f t="array" ref="AB162">IF(AA162&lt;&gt;"",IF(INDEX(techniques[coverage],MATCH(AA162,techniques[name],0))&gt;0,INDEX(techniques[coverage],MATCH(AA162,techniques[name],0)),""),"")</f>
        <v/>
      </c>
      <c r="AC162" s="45" t="n"/>
      <c r="AD162" s="62">
        <f t="array" ref="AD162">IF(AC162&lt;&gt;"",IF(INDEX(techniques[coverage],MATCH(AC162,techniques[name],0))&gt;0,INDEX(techniques[coverage],MATCH(AC162,techniques[name],0)),""),"")</f>
        <v/>
      </c>
    </row>
    <row r="163">
      <c r="A163" s="45" t="n"/>
      <c r="B163" s="62">
        <f t="array" ref="B163">IF(A163&lt;&gt;"",IF(INDEX(techniques[coverage],MATCH(A163,techniques[name],0))&gt;0,INDEX(techniques[coverage],MATCH(A163,techniques[name],0)),""),"")</f>
        <v/>
      </c>
      <c r="C163" s="45" t="n"/>
      <c r="D163" s="62">
        <f t="array" ref="D163">IF(C163&lt;&gt;"",IF(INDEX(techniques[coverage],MATCH(C163,techniques[name],0))&gt;0,INDEX(techniques[coverage],MATCH(C163,techniques[name],0)),""),"")</f>
        <v/>
      </c>
      <c r="E163" s="45" t="n"/>
      <c r="F163" s="62">
        <f t="array" ref="F163">IF(E163&lt;&gt;"",IF(INDEX(techniques[coverage],MATCH(E163,techniques[name],0))&gt;0,INDEX(techniques[coverage],MATCH(E163,techniques[name],0)),""),"")</f>
        <v/>
      </c>
      <c r="G163" s="45" t="n"/>
      <c r="H163" s="62">
        <f t="array" ref="H163">IF(G163&lt;&gt;"",IF(INDEX(techniques[coverage],MATCH(G163,techniques[name],0))&gt;0,INDEX(techniques[coverage],MATCH(G163,techniques[name],0)),""),"")</f>
        <v/>
      </c>
      <c r="I163" s="45" t="n"/>
      <c r="J163" s="62">
        <f t="array" ref="J163">IF(I163&lt;&gt;"",IF(INDEX(techniques[coverage],MATCH(I163,techniques[name],0))&gt;0,INDEX(techniques[coverage],MATCH(I163,techniques[name],0)),""),"")</f>
        <v/>
      </c>
      <c r="K163" s="45" t="n"/>
      <c r="L163" s="62">
        <f t="array" ref="L163">IF(K163&lt;&gt;"",IF(INDEX(techniques[coverage],MATCH(K163,techniques[name],0))&gt;0,INDEX(techniques[coverage],MATCH(K163,techniques[name],0)),""),"")</f>
        <v/>
      </c>
      <c r="M163" s="45" t="n"/>
      <c r="N163" s="62">
        <f t="array" ref="N163">IF(M163&lt;&gt;"",IF(INDEX(techniques[coverage],MATCH(M163,techniques[name],0))&gt;0,INDEX(techniques[coverage],MATCH(M163,techniques[name],0)),""),"")</f>
        <v/>
      </c>
      <c r="O163" s="45" t="n"/>
      <c r="P163" s="62">
        <f t="array" ref="P163">IF(O163&lt;&gt;"",IF(INDEX(techniques[coverage],MATCH(O163,techniques[name],0))&gt;0,INDEX(techniques[coverage],MATCH(O163,techniques[name],0)),""),"")</f>
        <v/>
      </c>
      <c r="Q163" s="45" t="n"/>
      <c r="R163" s="62">
        <f t="array" ref="R163">IF(Q163&lt;&gt;"",IF(INDEX(techniques[coverage],MATCH(Q163,techniques[name],0))&gt;0,INDEX(techniques[coverage],MATCH(Q163,techniques[name],0)),""),"")</f>
        <v/>
      </c>
      <c r="S163" s="45" t="n"/>
      <c r="T163" s="62">
        <f t="array" ref="T163">IF(S163&lt;&gt;"",IF(INDEX(techniques[coverage],MATCH(S163,techniques[name],0))&gt;0,INDEX(techniques[coverage],MATCH(S163,techniques[name],0)),""),"")</f>
        <v/>
      </c>
      <c r="U163" s="45" t="n"/>
      <c r="V163" s="62">
        <f t="array" ref="V163">IF(U163&lt;&gt;"",IF(INDEX(techniques[coverage],MATCH(U163,techniques[name],0))&gt;0,INDEX(techniques[coverage],MATCH(U163,techniques[name],0)),""),"")</f>
        <v/>
      </c>
      <c r="W163" s="45" t="n"/>
      <c r="X163" s="62">
        <f t="array" ref="X163">IF(W163&lt;&gt;"",IF(INDEX(techniques[coverage],MATCH(W163,techniques[name],0))&gt;0,INDEX(techniques[coverage],MATCH(W163,techniques[name],0)),""),"")</f>
        <v/>
      </c>
      <c r="Y163" s="45" t="n"/>
      <c r="Z163" s="62">
        <f t="array" ref="Z163">IF(Y163&lt;&gt;"",IF(INDEX(techniques[coverage],MATCH(Y163,techniques[name],0))&gt;0,INDEX(techniques[coverage],MATCH(Y163,techniques[name],0)),""),"")</f>
        <v/>
      </c>
      <c r="AA163" s="45" t="n"/>
      <c r="AB163" s="62">
        <f t="array" ref="AB163">IF(AA163&lt;&gt;"",IF(INDEX(techniques[coverage],MATCH(AA163,techniques[name],0))&gt;0,INDEX(techniques[coverage],MATCH(AA163,techniques[name],0)),""),"")</f>
        <v/>
      </c>
      <c r="AC163" s="45" t="n"/>
      <c r="AD163" s="62">
        <f t="array" ref="AD163">IF(AC163&lt;&gt;"",IF(INDEX(techniques[coverage],MATCH(AC163,techniques[name],0))&gt;0,INDEX(techniques[coverage],MATCH(AC163,techniques[name],0)),""),"")</f>
        <v/>
      </c>
    </row>
    <row r="164">
      <c r="A164" s="45" t="n"/>
      <c r="B164" s="62">
        <f t="array" ref="B164">IF(A164&lt;&gt;"",IF(INDEX(techniques[coverage],MATCH(A164,techniques[name],0))&gt;0,INDEX(techniques[coverage],MATCH(A164,techniques[name],0)),""),"")</f>
        <v/>
      </c>
      <c r="C164" s="45" t="n"/>
      <c r="D164" s="62">
        <f t="array" ref="D164">IF(C164&lt;&gt;"",IF(INDEX(techniques[coverage],MATCH(C164,techniques[name],0))&gt;0,INDEX(techniques[coverage],MATCH(C164,techniques[name],0)),""),"")</f>
        <v/>
      </c>
      <c r="E164" s="45" t="n"/>
      <c r="F164" s="62">
        <f t="array" ref="F164">IF(E164&lt;&gt;"",IF(INDEX(techniques[coverage],MATCH(E164,techniques[name],0))&gt;0,INDEX(techniques[coverage],MATCH(E164,techniques[name],0)),""),"")</f>
        <v/>
      </c>
      <c r="G164" s="45" t="n"/>
      <c r="H164" s="62">
        <f t="array" ref="H164">IF(G164&lt;&gt;"",IF(INDEX(techniques[coverage],MATCH(G164,techniques[name],0))&gt;0,INDEX(techniques[coverage],MATCH(G164,techniques[name],0)),""),"")</f>
        <v/>
      </c>
      <c r="I164" s="45" t="n"/>
      <c r="J164" s="62">
        <f t="array" ref="J164">IF(I164&lt;&gt;"",IF(INDEX(techniques[coverage],MATCH(I164,techniques[name],0))&gt;0,INDEX(techniques[coverage],MATCH(I164,techniques[name],0)),""),"")</f>
        <v/>
      </c>
      <c r="K164" s="45" t="n"/>
      <c r="L164" s="62">
        <f t="array" ref="L164">IF(K164&lt;&gt;"",IF(INDEX(techniques[coverage],MATCH(K164,techniques[name],0))&gt;0,INDEX(techniques[coverage],MATCH(K164,techniques[name],0)),""),"")</f>
        <v/>
      </c>
      <c r="M164" s="45" t="n"/>
      <c r="N164" s="62">
        <f t="array" ref="N164">IF(M164&lt;&gt;"",IF(INDEX(techniques[coverage],MATCH(M164,techniques[name],0))&gt;0,INDEX(techniques[coverage],MATCH(M164,techniques[name],0)),""),"")</f>
        <v/>
      </c>
      <c r="O164" s="45" t="n"/>
      <c r="P164" s="62">
        <f t="array" ref="P164">IF(O164&lt;&gt;"",IF(INDEX(techniques[coverage],MATCH(O164,techniques[name],0))&gt;0,INDEX(techniques[coverage],MATCH(O164,techniques[name],0)),""),"")</f>
        <v/>
      </c>
      <c r="Q164" s="45" t="n"/>
      <c r="R164" s="62">
        <f t="array" ref="R164">IF(Q164&lt;&gt;"",IF(INDEX(techniques[coverage],MATCH(Q164,techniques[name],0))&gt;0,INDEX(techniques[coverage],MATCH(Q164,techniques[name],0)),""),"")</f>
        <v/>
      </c>
      <c r="S164" s="45" t="n"/>
      <c r="T164" s="62">
        <f t="array" ref="T164">IF(S164&lt;&gt;"",IF(INDEX(techniques[coverage],MATCH(S164,techniques[name],0))&gt;0,INDEX(techniques[coverage],MATCH(S164,techniques[name],0)),""),"")</f>
        <v/>
      </c>
      <c r="U164" s="45" t="n"/>
      <c r="V164" s="62">
        <f t="array" ref="V164">IF(U164&lt;&gt;"",IF(INDEX(techniques[coverage],MATCH(U164,techniques[name],0))&gt;0,INDEX(techniques[coverage],MATCH(U164,techniques[name],0)),""),"")</f>
        <v/>
      </c>
      <c r="W164" s="45" t="n"/>
      <c r="X164" s="62">
        <f t="array" ref="X164">IF(W164&lt;&gt;"",IF(INDEX(techniques[coverage],MATCH(W164,techniques[name],0))&gt;0,INDEX(techniques[coverage],MATCH(W164,techniques[name],0)),""),"")</f>
        <v/>
      </c>
      <c r="Y164" s="45" t="n"/>
      <c r="Z164" s="62">
        <f t="array" ref="Z164">IF(Y164&lt;&gt;"",IF(INDEX(techniques[coverage],MATCH(Y164,techniques[name],0))&gt;0,INDEX(techniques[coverage],MATCH(Y164,techniques[name],0)),""),"")</f>
        <v/>
      </c>
      <c r="AA164" s="45" t="n"/>
      <c r="AB164" s="62">
        <f t="array" ref="AB164">IF(AA164&lt;&gt;"",IF(INDEX(techniques[coverage],MATCH(AA164,techniques[name],0))&gt;0,INDEX(techniques[coverage],MATCH(AA164,techniques[name],0)),""),"")</f>
        <v/>
      </c>
      <c r="AC164" s="45" t="n"/>
      <c r="AD164" s="62">
        <f t="array" ref="AD164">IF(AC164&lt;&gt;"",IF(INDEX(techniques[coverage],MATCH(AC164,techniques[name],0))&gt;0,INDEX(techniques[coverage],MATCH(AC164,techniques[name],0)),""),"")</f>
        <v/>
      </c>
    </row>
    <row r="165">
      <c r="A165" s="45" t="n"/>
      <c r="B165" s="62">
        <f t="array" ref="B165">IF(A165&lt;&gt;"",IF(INDEX(techniques[coverage],MATCH(A165,techniques[name],0))&gt;0,INDEX(techniques[coverage],MATCH(A165,techniques[name],0)),""),"")</f>
        <v/>
      </c>
      <c r="C165" s="45" t="n"/>
      <c r="D165" s="62">
        <f t="array" ref="D165">IF(C165&lt;&gt;"",IF(INDEX(techniques[coverage],MATCH(C165,techniques[name],0))&gt;0,INDEX(techniques[coverage],MATCH(C165,techniques[name],0)),""),"")</f>
        <v/>
      </c>
      <c r="E165" s="45" t="n"/>
      <c r="F165" s="62">
        <f t="array" ref="F165">IF(E165&lt;&gt;"",IF(INDEX(techniques[coverage],MATCH(E165,techniques[name],0))&gt;0,INDEX(techniques[coverage],MATCH(E165,techniques[name],0)),""),"")</f>
        <v/>
      </c>
      <c r="G165" s="45" t="n"/>
      <c r="H165" s="62">
        <f t="array" ref="H165">IF(G165&lt;&gt;"",IF(INDEX(techniques[coverage],MATCH(G165,techniques[name],0))&gt;0,INDEX(techniques[coverage],MATCH(G165,techniques[name],0)),""),"")</f>
        <v/>
      </c>
      <c r="I165" s="45" t="n"/>
      <c r="J165" s="62">
        <f t="array" ref="J165">IF(I165&lt;&gt;"",IF(INDEX(techniques[coverage],MATCH(I165,techniques[name],0))&gt;0,INDEX(techniques[coverage],MATCH(I165,techniques[name],0)),""),"")</f>
        <v/>
      </c>
      <c r="K165" s="45" t="n"/>
      <c r="L165" s="62">
        <f t="array" ref="L165">IF(K165&lt;&gt;"",IF(INDEX(techniques[coverage],MATCH(K165,techniques[name],0))&gt;0,INDEX(techniques[coverage],MATCH(K165,techniques[name],0)),""),"")</f>
        <v/>
      </c>
      <c r="M165" s="45" t="n"/>
      <c r="N165" s="62">
        <f t="array" ref="N165">IF(M165&lt;&gt;"",IF(INDEX(techniques[coverage],MATCH(M165,techniques[name],0))&gt;0,INDEX(techniques[coverage],MATCH(M165,techniques[name],0)),""),"")</f>
        <v/>
      </c>
      <c r="O165" s="45" t="n"/>
      <c r="P165" s="62">
        <f t="array" ref="P165">IF(O165&lt;&gt;"",IF(INDEX(techniques[coverage],MATCH(O165,techniques[name],0))&gt;0,INDEX(techniques[coverage],MATCH(O165,techniques[name],0)),""),"")</f>
        <v/>
      </c>
      <c r="Q165" s="45" t="n"/>
      <c r="R165" s="62">
        <f t="array" ref="R165">IF(Q165&lt;&gt;"",IF(INDEX(techniques[coverage],MATCH(Q165,techniques[name],0))&gt;0,INDEX(techniques[coverage],MATCH(Q165,techniques[name],0)),""),"")</f>
        <v/>
      </c>
      <c r="S165" s="45" t="n"/>
      <c r="T165" s="62">
        <f t="array" ref="T165">IF(S165&lt;&gt;"",IF(INDEX(techniques[coverage],MATCH(S165,techniques[name],0))&gt;0,INDEX(techniques[coverage],MATCH(S165,techniques[name],0)),""),"")</f>
        <v/>
      </c>
      <c r="U165" s="45" t="n"/>
      <c r="V165" s="62">
        <f t="array" ref="V165">IF(U165&lt;&gt;"",IF(INDEX(techniques[coverage],MATCH(U165,techniques[name],0))&gt;0,INDEX(techniques[coverage],MATCH(U165,techniques[name],0)),""),"")</f>
        <v/>
      </c>
      <c r="W165" s="45" t="n"/>
      <c r="X165" s="62">
        <f t="array" ref="X165">IF(W165&lt;&gt;"",IF(INDEX(techniques[coverage],MATCH(W165,techniques[name],0))&gt;0,INDEX(techniques[coverage],MATCH(W165,techniques[name],0)),""),"")</f>
        <v/>
      </c>
      <c r="Y165" s="45" t="n"/>
      <c r="Z165" s="62">
        <f t="array" ref="Z165">IF(Y165&lt;&gt;"",IF(INDEX(techniques[coverage],MATCH(Y165,techniques[name],0))&gt;0,INDEX(techniques[coverage],MATCH(Y165,techniques[name],0)),""),"")</f>
        <v/>
      </c>
      <c r="AA165" s="45" t="n"/>
      <c r="AB165" s="62">
        <f t="array" ref="AB165">IF(AA165&lt;&gt;"",IF(INDEX(techniques[coverage],MATCH(AA165,techniques[name],0))&gt;0,INDEX(techniques[coverage],MATCH(AA165,techniques[name],0)),""),"")</f>
        <v/>
      </c>
      <c r="AC165" s="45" t="n"/>
      <c r="AD165" s="62">
        <f t="array" ref="AD165">IF(AC165&lt;&gt;"",IF(INDEX(techniques[coverage],MATCH(AC165,techniques[name],0))&gt;0,INDEX(techniques[coverage],MATCH(AC165,techniques[name],0)),""),"")</f>
        <v/>
      </c>
    </row>
    <row r="166">
      <c r="A166" s="45" t="n"/>
      <c r="B166" s="62">
        <f t="array" ref="B166">IF(A166&lt;&gt;"",IF(INDEX(techniques[coverage],MATCH(A166,techniques[name],0))&gt;0,INDEX(techniques[coverage],MATCH(A166,techniques[name],0)),""),"")</f>
        <v/>
      </c>
      <c r="C166" s="45" t="n"/>
      <c r="D166" s="62">
        <f t="array" ref="D166">IF(C166&lt;&gt;"",IF(INDEX(techniques[coverage],MATCH(C166,techniques[name],0))&gt;0,INDEX(techniques[coverage],MATCH(C166,techniques[name],0)),""),"")</f>
        <v/>
      </c>
      <c r="E166" s="45" t="n"/>
      <c r="F166" s="62">
        <f t="array" ref="F166">IF(E166&lt;&gt;"",IF(INDEX(techniques[coverage],MATCH(E166,techniques[name],0))&gt;0,INDEX(techniques[coverage],MATCH(E166,techniques[name],0)),""),"")</f>
        <v/>
      </c>
      <c r="G166" s="45" t="n"/>
      <c r="H166" s="62">
        <f t="array" ref="H166">IF(G166&lt;&gt;"",IF(INDEX(techniques[coverage],MATCH(G166,techniques[name],0))&gt;0,INDEX(techniques[coverage],MATCH(G166,techniques[name],0)),""),"")</f>
        <v/>
      </c>
      <c r="I166" s="45" t="n"/>
      <c r="J166" s="62">
        <f t="array" ref="J166">IF(I166&lt;&gt;"",IF(INDEX(techniques[coverage],MATCH(I166,techniques[name],0))&gt;0,INDEX(techniques[coverage],MATCH(I166,techniques[name],0)),""),"")</f>
        <v/>
      </c>
      <c r="K166" s="45" t="n"/>
      <c r="L166" s="62">
        <f t="array" ref="L166">IF(K166&lt;&gt;"",IF(INDEX(techniques[coverage],MATCH(K166,techniques[name],0))&gt;0,INDEX(techniques[coverage],MATCH(K166,techniques[name],0)),""),"")</f>
        <v/>
      </c>
      <c r="M166" s="45" t="n"/>
      <c r="N166" s="62">
        <f t="array" ref="N166">IF(M166&lt;&gt;"",IF(INDEX(techniques[coverage],MATCH(M166,techniques[name],0))&gt;0,INDEX(techniques[coverage],MATCH(M166,techniques[name],0)),""),"")</f>
        <v/>
      </c>
      <c r="O166" s="45" t="n"/>
      <c r="P166" s="62">
        <f t="array" ref="P166">IF(O166&lt;&gt;"",IF(INDEX(techniques[coverage],MATCH(O166,techniques[name],0))&gt;0,INDEX(techniques[coverage],MATCH(O166,techniques[name],0)),""),"")</f>
        <v/>
      </c>
      <c r="Q166" s="45" t="n"/>
      <c r="R166" s="62">
        <f t="array" ref="R166">IF(Q166&lt;&gt;"",IF(INDEX(techniques[coverage],MATCH(Q166,techniques[name],0))&gt;0,INDEX(techniques[coverage],MATCH(Q166,techniques[name],0)),""),"")</f>
        <v/>
      </c>
      <c r="S166" s="45" t="n"/>
      <c r="T166" s="62">
        <f t="array" ref="T166">IF(S166&lt;&gt;"",IF(INDEX(techniques[coverage],MATCH(S166,techniques[name],0))&gt;0,INDEX(techniques[coverage],MATCH(S166,techniques[name],0)),""),"")</f>
        <v/>
      </c>
      <c r="U166" s="45" t="n"/>
      <c r="V166" s="62">
        <f t="array" ref="V166">IF(U166&lt;&gt;"",IF(INDEX(techniques[coverage],MATCH(U166,techniques[name],0))&gt;0,INDEX(techniques[coverage],MATCH(U166,techniques[name],0)),""),"")</f>
        <v/>
      </c>
      <c r="W166" s="45" t="n"/>
      <c r="X166" s="62">
        <f t="array" ref="X166">IF(W166&lt;&gt;"",IF(INDEX(techniques[coverage],MATCH(W166,techniques[name],0))&gt;0,INDEX(techniques[coverage],MATCH(W166,techniques[name],0)),""),"")</f>
        <v/>
      </c>
      <c r="Y166" s="45" t="n"/>
      <c r="Z166" s="62">
        <f t="array" ref="Z166">IF(Y166&lt;&gt;"",IF(INDEX(techniques[coverage],MATCH(Y166,techniques[name],0))&gt;0,INDEX(techniques[coverage],MATCH(Y166,techniques[name],0)),""),"")</f>
        <v/>
      </c>
      <c r="AA166" s="45" t="n"/>
      <c r="AB166" s="62">
        <f t="array" ref="AB166">IF(AA166&lt;&gt;"",IF(INDEX(techniques[coverage],MATCH(AA166,techniques[name],0))&gt;0,INDEX(techniques[coverage],MATCH(AA166,techniques[name],0)),""),"")</f>
        <v/>
      </c>
      <c r="AC166" s="45" t="n"/>
      <c r="AD166" s="62">
        <f t="array" ref="AD166">IF(AC166&lt;&gt;"",IF(INDEX(techniques[coverage],MATCH(AC166,techniques[name],0))&gt;0,INDEX(techniques[coverage],MATCH(AC166,techniques[name],0)),""),"")</f>
        <v/>
      </c>
    </row>
    <row r="167">
      <c r="A167" s="45" t="n"/>
      <c r="B167" s="62">
        <f t="array" ref="B167">IF(A167&lt;&gt;"",IF(INDEX(techniques[coverage],MATCH(A167,techniques[name],0))&gt;0,INDEX(techniques[coverage],MATCH(A167,techniques[name],0)),""),"")</f>
        <v/>
      </c>
      <c r="C167" s="45" t="n"/>
      <c r="D167" s="62">
        <f t="array" ref="D167">IF(C167&lt;&gt;"",IF(INDEX(techniques[coverage],MATCH(C167,techniques[name],0))&gt;0,INDEX(techniques[coverage],MATCH(C167,techniques[name],0)),""),"")</f>
        <v/>
      </c>
      <c r="E167" s="45" t="n"/>
      <c r="F167" s="62">
        <f t="array" ref="F167">IF(E167&lt;&gt;"",IF(INDEX(techniques[coverage],MATCH(E167,techniques[name],0))&gt;0,INDEX(techniques[coverage],MATCH(E167,techniques[name],0)),""),"")</f>
        <v/>
      </c>
      <c r="G167" s="45" t="n"/>
      <c r="H167" s="62">
        <f t="array" ref="H167">IF(G167&lt;&gt;"",IF(INDEX(techniques[coverage],MATCH(G167,techniques[name],0))&gt;0,INDEX(techniques[coverage],MATCH(G167,techniques[name],0)),""),"")</f>
        <v/>
      </c>
      <c r="I167" s="45" t="n"/>
      <c r="J167" s="62">
        <f t="array" ref="J167">IF(I167&lt;&gt;"",IF(INDEX(techniques[coverage],MATCH(I167,techniques[name],0))&gt;0,INDEX(techniques[coverage],MATCH(I167,techniques[name],0)),""),"")</f>
        <v/>
      </c>
      <c r="K167" s="45" t="n"/>
      <c r="L167" s="62">
        <f t="array" ref="L167">IF(K167&lt;&gt;"",IF(INDEX(techniques[coverage],MATCH(K167,techniques[name],0))&gt;0,INDEX(techniques[coverage],MATCH(K167,techniques[name],0)),""),"")</f>
        <v/>
      </c>
      <c r="M167" s="45" t="n"/>
      <c r="N167" s="62">
        <f t="array" ref="N167">IF(M167&lt;&gt;"",IF(INDEX(techniques[coverage],MATCH(M167,techniques[name],0))&gt;0,INDEX(techniques[coverage],MATCH(M167,techniques[name],0)),""),"")</f>
        <v/>
      </c>
      <c r="O167" s="45" t="n"/>
      <c r="P167" s="62">
        <f t="array" ref="P167">IF(O167&lt;&gt;"",IF(INDEX(techniques[coverage],MATCH(O167,techniques[name],0))&gt;0,INDEX(techniques[coverage],MATCH(O167,techniques[name],0)),""),"")</f>
        <v/>
      </c>
      <c r="Q167" s="45" t="n"/>
      <c r="R167" s="62">
        <f t="array" ref="R167">IF(Q167&lt;&gt;"",IF(INDEX(techniques[coverage],MATCH(Q167,techniques[name],0))&gt;0,INDEX(techniques[coverage],MATCH(Q167,techniques[name],0)),""),"")</f>
        <v/>
      </c>
      <c r="S167" s="45" t="n"/>
      <c r="T167" s="62">
        <f t="array" ref="T167">IF(S167&lt;&gt;"",IF(INDEX(techniques[coverage],MATCH(S167,techniques[name],0))&gt;0,INDEX(techniques[coverage],MATCH(S167,techniques[name],0)),""),"")</f>
        <v/>
      </c>
      <c r="U167" s="45" t="n"/>
      <c r="V167" s="62">
        <f t="array" ref="V167">IF(U167&lt;&gt;"",IF(INDEX(techniques[coverage],MATCH(U167,techniques[name],0))&gt;0,INDEX(techniques[coverage],MATCH(U167,techniques[name],0)),""),"")</f>
        <v/>
      </c>
      <c r="W167" s="45" t="n"/>
      <c r="X167" s="62">
        <f t="array" ref="X167">IF(W167&lt;&gt;"",IF(INDEX(techniques[coverage],MATCH(W167,techniques[name],0))&gt;0,INDEX(techniques[coverage],MATCH(W167,techniques[name],0)),""),"")</f>
        <v/>
      </c>
      <c r="Y167" s="45" t="n"/>
      <c r="Z167" s="62">
        <f t="array" ref="Z167">IF(Y167&lt;&gt;"",IF(INDEX(techniques[coverage],MATCH(Y167,techniques[name],0))&gt;0,INDEX(techniques[coverage],MATCH(Y167,techniques[name],0)),""),"")</f>
        <v/>
      </c>
      <c r="AA167" s="45" t="n"/>
      <c r="AB167" s="62">
        <f t="array" ref="AB167">IF(AA167&lt;&gt;"",IF(INDEX(techniques[coverage],MATCH(AA167,techniques[name],0))&gt;0,INDEX(techniques[coverage],MATCH(AA167,techniques[name],0)),""),"")</f>
        <v/>
      </c>
      <c r="AC167" s="45" t="n"/>
      <c r="AD167" s="62">
        <f t="array" ref="AD167">IF(AC167&lt;&gt;"",IF(INDEX(techniques[coverage],MATCH(AC167,techniques[name],0))&gt;0,INDEX(techniques[coverage],MATCH(AC167,techniques[name],0)),""),"")</f>
        <v/>
      </c>
    </row>
    <row r="168">
      <c r="A168" s="45" t="n"/>
      <c r="B168" s="62">
        <f t="array" ref="B168">IF(A168&lt;&gt;"",IF(INDEX(techniques[coverage],MATCH(A168,techniques[name],0))&gt;0,INDEX(techniques[coverage],MATCH(A168,techniques[name],0)),""),"")</f>
        <v/>
      </c>
      <c r="C168" s="45" t="n"/>
      <c r="D168" s="62">
        <f t="array" ref="D168">IF(C168&lt;&gt;"",IF(INDEX(techniques[coverage],MATCH(C168,techniques[name],0))&gt;0,INDEX(techniques[coverage],MATCH(C168,techniques[name],0)),""),"")</f>
        <v/>
      </c>
      <c r="E168" s="45" t="n"/>
      <c r="F168" s="62">
        <f t="array" ref="F168">IF(E168&lt;&gt;"",IF(INDEX(techniques[coverage],MATCH(E168,techniques[name],0))&gt;0,INDEX(techniques[coverage],MATCH(E168,techniques[name],0)),""),"")</f>
        <v/>
      </c>
      <c r="G168" s="45" t="n"/>
      <c r="H168" s="62">
        <f t="array" ref="H168">IF(G168&lt;&gt;"",IF(INDEX(techniques[coverage],MATCH(G168,techniques[name],0))&gt;0,INDEX(techniques[coverage],MATCH(G168,techniques[name],0)),""),"")</f>
        <v/>
      </c>
      <c r="I168" s="45" t="n"/>
      <c r="J168" s="62">
        <f t="array" ref="J168">IF(I168&lt;&gt;"",IF(INDEX(techniques[coverage],MATCH(I168,techniques[name],0))&gt;0,INDEX(techniques[coverage],MATCH(I168,techniques[name],0)),""),"")</f>
        <v/>
      </c>
      <c r="K168" s="45" t="n"/>
      <c r="L168" s="62">
        <f t="array" ref="L168">IF(K168&lt;&gt;"",IF(INDEX(techniques[coverage],MATCH(K168,techniques[name],0))&gt;0,INDEX(techniques[coverage],MATCH(K168,techniques[name],0)),""),"")</f>
        <v/>
      </c>
      <c r="M168" s="45" t="n"/>
      <c r="N168" s="62">
        <f t="array" ref="N168">IF(M168&lt;&gt;"",IF(INDEX(techniques[coverage],MATCH(M168,techniques[name],0))&gt;0,INDEX(techniques[coverage],MATCH(M168,techniques[name],0)),""),"")</f>
        <v/>
      </c>
      <c r="O168" s="45" t="n"/>
      <c r="P168" s="62">
        <f t="array" ref="P168">IF(O168&lt;&gt;"",IF(INDEX(techniques[coverage],MATCH(O168,techniques[name],0))&gt;0,INDEX(techniques[coverage],MATCH(O168,techniques[name],0)),""),"")</f>
        <v/>
      </c>
      <c r="Q168" s="45" t="n"/>
      <c r="R168" s="62">
        <f t="array" ref="R168">IF(Q168&lt;&gt;"",IF(INDEX(techniques[coverage],MATCH(Q168,techniques[name],0))&gt;0,INDEX(techniques[coverage],MATCH(Q168,techniques[name],0)),""),"")</f>
        <v/>
      </c>
      <c r="S168" s="45" t="n"/>
      <c r="T168" s="62">
        <f t="array" ref="T168">IF(S168&lt;&gt;"",IF(INDEX(techniques[coverage],MATCH(S168,techniques[name],0))&gt;0,INDEX(techniques[coverage],MATCH(S168,techniques[name],0)),""),"")</f>
        <v/>
      </c>
      <c r="U168" s="45" t="n"/>
      <c r="V168" s="62">
        <f t="array" ref="V168">IF(U168&lt;&gt;"",IF(INDEX(techniques[coverage],MATCH(U168,techniques[name],0))&gt;0,INDEX(techniques[coverage],MATCH(U168,techniques[name],0)),""),"")</f>
        <v/>
      </c>
      <c r="W168" s="45" t="n"/>
      <c r="X168" s="62">
        <f t="array" ref="X168">IF(W168&lt;&gt;"",IF(INDEX(techniques[coverage],MATCH(W168,techniques[name],0))&gt;0,INDEX(techniques[coverage],MATCH(W168,techniques[name],0)),""),"")</f>
        <v/>
      </c>
      <c r="Y168" s="45" t="n"/>
      <c r="Z168" s="62">
        <f t="array" ref="Z168">IF(Y168&lt;&gt;"",IF(INDEX(techniques[coverage],MATCH(Y168,techniques[name],0))&gt;0,INDEX(techniques[coverage],MATCH(Y168,techniques[name],0)),""),"")</f>
        <v/>
      </c>
      <c r="AA168" s="45" t="n"/>
      <c r="AB168" s="62">
        <f t="array" ref="AB168">IF(AA168&lt;&gt;"",IF(INDEX(techniques[coverage],MATCH(AA168,techniques[name],0))&gt;0,INDEX(techniques[coverage],MATCH(AA168,techniques[name],0)),""),"")</f>
        <v/>
      </c>
      <c r="AC168" s="45" t="n"/>
      <c r="AD168" s="62">
        <f t="array" ref="AD168">IF(AC168&lt;&gt;"",IF(INDEX(techniques[coverage],MATCH(AC168,techniques[name],0))&gt;0,INDEX(techniques[coverage],MATCH(AC168,techniques[name],0)),""),"")</f>
        <v/>
      </c>
    </row>
    <row r="169">
      <c r="A169" s="45" t="n"/>
      <c r="B169" s="62">
        <f t="array" ref="B169">IF(A169&lt;&gt;"",IF(INDEX(techniques[coverage],MATCH(A169,techniques[name],0))&gt;0,INDEX(techniques[coverage],MATCH(A169,techniques[name],0)),""),"")</f>
        <v/>
      </c>
      <c r="C169" s="45" t="n"/>
      <c r="D169" s="62">
        <f t="array" ref="D169">IF(C169&lt;&gt;"",IF(INDEX(techniques[coverage],MATCH(C169,techniques[name],0))&gt;0,INDEX(techniques[coverage],MATCH(C169,techniques[name],0)),""),"")</f>
        <v/>
      </c>
      <c r="E169" s="45" t="n"/>
      <c r="F169" s="62">
        <f t="array" ref="F169">IF(E169&lt;&gt;"",IF(INDEX(techniques[coverage],MATCH(E169,techniques[name],0))&gt;0,INDEX(techniques[coverage],MATCH(E169,techniques[name],0)),""),"")</f>
        <v/>
      </c>
      <c r="G169" s="45" t="n"/>
      <c r="H169" s="62">
        <f t="array" ref="H169">IF(G169&lt;&gt;"",IF(INDEX(techniques[coverage],MATCH(G169,techniques[name],0))&gt;0,INDEX(techniques[coverage],MATCH(G169,techniques[name],0)),""),"")</f>
        <v/>
      </c>
      <c r="I169" s="45" t="n"/>
      <c r="J169" s="62">
        <f t="array" ref="J169">IF(I169&lt;&gt;"",IF(INDEX(techniques[coverage],MATCH(I169,techniques[name],0))&gt;0,INDEX(techniques[coverage],MATCH(I169,techniques[name],0)),""),"")</f>
        <v/>
      </c>
      <c r="K169" s="45" t="n"/>
      <c r="L169" s="62">
        <f t="array" ref="L169">IF(K169&lt;&gt;"",IF(INDEX(techniques[coverage],MATCH(K169,techniques[name],0))&gt;0,INDEX(techniques[coverage],MATCH(K169,techniques[name],0)),""),"")</f>
        <v/>
      </c>
      <c r="M169" s="45" t="n"/>
      <c r="N169" s="62">
        <f t="array" ref="N169">IF(M169&lt;&gt;"",IF(INDEX(techniques[coverage],MATCH(M169,techniques[name],0))&gt;0,INDEX(techniques[coverage],MATCH(M169,techniques[name],0)),""),"")</f>
        <v/>
      </c>
      <c r="O169" s="45" t="n"/>
      <c r="P169" s="62">
        <f t="array" ref="P169">IF(O169&lt;&gt;"",IF(INDEX(techniques[coverage],MATCH(O169,techniques[name],0))&gt;0,INDEX(techniques[coverage],MATCH(O169,techniques[name],0)),""),"")</f>
        <v/>
      </c>
      <c r="Q169" s="45" t="n"/>
      <c r="R169" s="62">
        <f t="array" ref="R169">IF(Q169&lt;&gt;"",IF(INDEX(techniques[coverage],MATCH(Q169,techniques[name],0))&gt;0,INDEX(techniques[coverage],MATCH(Q169,techniques[name],0)),""),"")</f>
        <v/>
      </c>
      <c r="S169" s="45" t="n"/>
      <c r="T169" s="62">
        <f t="array" ref="T169">IF(S169&lt;&gt;"",IF(INDEX(techniques[coverage],MATCH(S169,techniques[name],0))&gt;0,INDEX(techniques[coverage],MATCH(S169,techniques[name],0)),""),"")</f>
        <v/>
      </c>
      <c r="U169" s="45" t="n"/>
      <c r="V169" s="62">
        <f t="array" ref="V169">IF(U169&lt;&gt;"",IF(INDEX(techniques[coverage],MATCH(U169,techniques[name],0))&gt;0,INDEX(techniques[coverage],MATCH(U169,techniques[name],0)),""),"")</f>
        <v/>
      </c>
      <c r="W169" s="45" t="n"/>
      <c r="X169" s="62">
        <f t="array" ref="X169">IF(W169&lt;&gt;"",IF(INDEX(techniques[coverage],MATCH(W169,techniques[name],0))&gt;0,INDEX(techniques[coverage],MATCH(W169,techniques[name],0)),""),"")</f>
        <v/>
      </c>
      <c r="Y169" s="45" t="n"/>
      <c r="Z169" s="62">
        <f t="array" ref="Z169">IF(Y169&lt;&gt;"",IF(INDEX(techniques[coverage],MATCH(Y169,techniques[name],0))&gt;0,INDEX(techniques[coverage],MATCH(Y169,techniques[name],0)),""),"")</f>
        <v/>
      </c>
      <c r="AA169" s="45" t="n"/>
      <c r="AB169" s="62">
        <f t="array" ref="AB169">IF(AA169&lt;&gt;"",IF(INDEX(techniques[coverage],MATCH(AA169,techniques[name],0))&gt;0,INDEX(techniques[coverage],MATCH(AA169,techniques[name],0)),""),"")</f>
        <v/>
      </c>
      <c r="AC169" s="45" t="n"/>
      <c r="AD169" s="62">
        <f t="array" ref="AD169">IF(AC169&lt;&gt;"",IF(INDEX(techniques[coverage],MATCH(AC169,techniques[name],0))&gt;0,INDEX(techniques[coverage],MATCH(AC169,techniques[name],0)),""),"")</f>
        <v/>
      </c>
    </row>
    <row r="170">
      <c r="A170" s="45" t="n"/>
      <c r="B170" s="62">
        <f t="array" ref="B170">IF(A170&lt;&gt;"",IF(INDEX(techniques[coverage],MATCH(A170,techniques[name],0))&gt;0,INDEX(techniques[coverage],MATCH(A170,techniques[name],0)),""),"")</f>
        <v/>
      </c>
      <c r="C170" s="45" t="n"/>
      <c r="D170" s="62">
        <f t="array" ref="D170">IF(C170&lt;&gt;"",IF(INDEX(techniques[coverage],MATCH(C170,techniques[name],0))&gt;0,INDEX(techniques[coverage],MATCH(C170,techniques[name],0)),""),"")</f>
        <v/>
      </c>
      <c r="E170" s="45" t="n"/>
      <c r="F170" s="62">
        <f t="array" ref="F170">IF(E170&lt;&gt;"",IF(INDEX(techniques[coverage],MATCH(E170,techniques[name],0))&gt;0,INDEX(techniques[coverage],MATCH(E170,techniques[name],0)),""),"")</f>
        <v/>
      </c>
      <c r="G170" s="45" t="n"/>
      <c r="H170" s="62">
        <f t="array" ref="H170">IF(G170&lt;&gt;"",IF(INDEX(techniques[coverage],MATCH(G170,techniques[name],0))&gt;0,INDEX(techniques[coverage],MATCH(G170,techniques[name],0)),""),"")</f>
        <v/>
      </c>
      <c r="I170" s="45" t="n"/>
      <c r="J170" s="62">
        <f t="array" ref="J170">IF(I170&lt;&gt;"",IF(INDEX(techniques[coverage],MATCH(I170,techniques[name],0))&gt;0,INDEX(techniques[coverage],MATCH(I170,techniques[name],0)),""),"")</f>
        <v/>
      </c>
      <c r="K170" s="45" t="n"/>
      <c r="L170" s="62">
        <f t="array" ref="L170">IF(K170&lt;&gt;"",IF(INDEX(techniques[coverage],MATCH(K170,techniques[name],0))&gt;0,INDEX(techniques[coverage],MATCH(K170,techniques[name],0)),""),"")</f>
        <v/>
      </c>
      <c r="M170" s="45" t="n"/>
      <c r="N170" s="62">
        <f t="array" ref="N170">IF(M170&lt;&gt;"",IF(INDEX(techniques[coverage],MATCH(M170,techniques[name],0))&gt;0,INDEX(techniques[coverage],MATCH(M170,techniques[name],0)),""),"")</f>
        <v/>
      </c>
      <c r="O170" s="45" t="n"/>
      <c r="P170" s="62">
        <f t="array" ref="P170">IF(O170&lt;&gt;"",IF(INDEX(techniques[coverage],MATCH(O170,techniques[name],0))&gt;0,INDEX(techniques[coverage],MATCH(O170,techniques[name],0)),""),"")</f>
        <v/>
      </c>
      <c r="Q170" s="45" t="n"/>
      <c r="R170" s="62">
        <f t="array" ref="R170">IF(Q170&lt;&gt;"",IF(INDEX(techniques[coverage],MATCH(Q170,techniques[name],0))&gt;0,INDEX(techniques[coverage],MATCH(Q170,techniques[name],0)),""),"")</f>
        <v/>
      </c>
      <c r="S170" s="45" t="n"/>
      <c r="T170" s="62">
        <f t="array" ref="T170">IF(S170&lt;&gt;"",IF(INDEX(techniques[coverage],MATCH(S170,techniques[name],0))&gt;0,INDEX(techniques[coverage],MATCH(S170,techniques[name],0)),""),"")</f>
        <v/>
      </c>
      <c r="U170" s="45" t="n"/>
      <c r="V170" s="62">
        <f t="array" ref="V170">IF(U170&lt;&gt;"",IF(INDEX(techniques[coverage],MATCH(U170,techniques[name],0))&gt;0,INDEX(techniques[coverage],MATCH(U170,techniques[name],0)),""),"")</f>
        <v/>
      </c>
      <c r="W170" s="45" t="n"/>
      <c r="X170" s="62">
        <f t="array" ref="X170">IF(W170&lt;&gt;"",IF(INDEX(techniques[coverage],MATCH(W170,techniques[name],0))&gt;0,INDEX(techniques[coverage],MATCH(W170,techniques[name],0)),""),"")</f>
        <v/>
      </c>
      <c r="Y170" s="45" t="n"/>
      <c r="Z170" s="62">
        <f t="array" ref="Z170">IF(Y170&lt;&gt;"",IF(INDEX(techniques[coverage],MATCH(Y170,techniques[name],0))&gt;0,INDEX(techniques[coverage],MATCH(Y170,techniques[name],0)),""),"")</f>
        <v/>
      </c>
      <c r="AA170" s="45" t="n"/>
      <c r="AB170" s="62">
        <f t="array" ref="AB170">IF(AA170&lt;&gt;"",IF(INDEX(techniques[coverage],MATCH(AA170,techniques[name],0))&gt;0,INDEX(techniques[coverage],MATCH(AA170,techniques[name],0)),""),"")</f>
        <v/>
      </c>
      <c r="AC170" s="45" t="n"/>
      <c r="AD170" s="62">
        <f t="array" ref="AD170">IF(AC170&lt;&gt;"",IF(INDEX(techniques[coverage],MATCH(AC170,techniques[name],0))&gt;0,INDEX(techniques[coverage],MATCH(AC170,techniques[name],0)),""),"")</f>
        <v/>
      </c>
    </row>
    <row r="171">
      <c r="A171" s="45" t="n"/>
      <c r="B171" s="62">
        <f t="array" ref="B171">IF(A171&lt;&gt;"",IF(INDEX(techniques[coverage],MATCH(A171,techniques[name],0))&gt;0,INDEX(techniques[coverage],MATCH(A171,techniques[name],0)),""),"")</f>
        <v/>
      </c>
      <c r="C171" s="45" t="n"/>
      <c r="D171" s="62">
        <f t="array" ref="D171">IF(C171&lt;&gt;"",IF(INDEX(techniques[coverage],MATCH(C171,techniques[name],0))&gt;0,INDEX(techniques[coverage],MATCH(C171,techniques[name],0)),""),"")</f>
        <v/>
      </c>
      <c r="E171" s="45" t="n"/>
      <c r="F171" s="62">
        <f t="array" ref="F171">IF(E171&lt;&gt;"",IF(INDEX(techniques[coverage],MATCH(E171,techniques[name],0))&gt;0,INDEX(techniques[coverage],MATCH(E171,techniques[name],0)),""),"")</f>
        <v/>
      </c>
      <c r="G171" s="45" t="n"/>
      <c r="H171" s="62">
        <f t="array" ref="H171">IF(G171&lt;&gt;"",IF(INDEX(techniques[coverage],MATCH(G171,techniques[name],0))&gt;0,INDEX(techniques[coverage],MATCH(G171,techniques[name],0)),""),"")</f>
        <v/>
      </c>
      <c r="I171" s="45" t="n"/>
      <c r="J171" s="62">
        <f t="array" ref="J171">IF(I171&lt;&gt;"",IF(INDEX(techniques[coverage],MATCH(I171,techniques[name],0))&gt;0,INDEX(techniques[coverage],MATCH(I171,techniques[name],0)),""),"")</f>
        <v/>
      </c>
      <c r="K171" s="45" t="n"/>
      <c r="L171" s="62">
        <f t="array" ref="L171">IF(K171&lt;&gt;"",IF(INDEX(techniques[coverage],MATCH(K171,techniques[name],0))&gt;0,INDEX(techniques[coverage],MATCH(K171,techniques[name],0)),""),"")</f>
        <v/>
      </c>
      <c r="M171" s="45" t="n"/>
      <c r="N171" s="62">
        <f t="array" ref="N171">IF(M171&lt;&gt;"",IF(INDEX(techniques[coverage],MATCH(M171,techniques[name],0))&gt;0,INDEX(techniques[coverage],MATCH(M171,techniques[name],0)),""),"")</f>
        <v/>
      </c>
      <c r="O171" s="45" t="n"/>
      <c r="P171" s="62">
        <f t="array" ref="P171">IF(O171&lt;&gt;"",IF(INDEX(techniques[coverage],MATCH(O171,techniques[name],0))&gt;0,INDEX(techniques[coverage],MATCH(O171,techniques[name],0)),""),"")</f>
        <v/>
      </c>
      <c r="Q171" s="45" t="n"/>
      <c r="R171" s="62">
        <f t="array" ref="R171">IF(Q171&lt;&gt;"",IF(INDEX(techniques[coverage],MATCH(Q171,techniques[name],0))&gt;0,INDEX(techniques[coverage],MATCH(Q171,techniques[name],0)),""),"")</f>
        <v/>
      </c>
      <c r="S171" s="45" t="n"/>
      <c r="T171" s="62">
        <f t="array" ref="T171">IF(S171&lt;&gt;"",IF(INDEX(techniques[coverage],MATCH(S171,techniques[name],0))&gt;0,INDEX(techniques[coverage],MATCH(S171,techniques[name],0)),""),"")</f>
        <v/>
      </c>
      <c r="U171" s="45" t="n"/>
      <c r="V171" s="62">
        <f t="array" ref="V171">IF(U171&lt;&gt;"",IF(INDEX(techniques[coverage],MATCH(U171,techniques[name],0))&gt;0,INDEX(techniques[coverage],MATCH(U171,techniques[name],0)),""),"")</f>
        <v/>
      </c>
      <c r="W171" s="45" t="n"/>
      <c r="X171" s="62">
        <f t="array" ref="X171">IF(W171&lt;&gt;"",IF(INDEX(techniques[coverage],MATCH(W171,techniques[name],0))&gt;0,INDEX(techniques[coverage],MATCH(W171,techniques[name],0)),""),"")</f>
        <v/>
      </c>
      <c r="Y171" s="45" t="n"/>
      <c r="Z171" s="62">
        <f t="array" ref="Z171">IF(Y171&lt;&gt;"",IF(INDEX(techniques[coverage],MATCH(Y171,techniques[name],0))&gt;0,INDEX(techniques[coverage],MATCH(Y171,techniques[name],0)),""),"")</f>
        <v/>
      </c>
      <c r="AA171" s="45" t="n"/>
      <c r="AB171" s="62">
        <f t="array" ref="AB171">IF(AA171&lt;&gt;"",IF(INDEX(techniques[coverage],MATCH(AA171,techniques[name],0))&gt;0,INDEX(techniques[coverage],MATCH(AA171,techniques[name],0)),""),"")</f>
        <v/>
      </c>
      <c r="AC171" s="45" t="n"/>
      <c r="AD171" s="62">
        <f t="array" ref="AD171">IF(AC171&lt;&gt;"",IF(INDEX(techniques[coverage],MATCH(AC171,techniques[name],0))&gt;0,INDEX(techniques[coverage],MATCH(AC171,techniques[name],0)),""),"")</f>
        <v/>
      </c>
    </row>
    <row r="172">
      <c r="A172" s="45" t="n"/>
      <c r="B172" s="62">
        <f t="array" ref="B172">IF(A172&lt;&gt;"",IF(INDEX(techniques[coverage],MATCH(A172,techniques[name],0))&gt;0,INDEX(techniques[coverage],MATCH(A172,techniques[name],0)),""),"")</f>
        <v/>
      </c>
      <c r="C172" s="45" t="n"/>
      <c r="D172" s="62">
        <f t="array" ref="D172">IF(C172&lt;&gt;"",IF(INDEX(techniques[coverage],MATCH(C172,techniques[name],0))&gt;0,INDEX(techniques[coverage],MATCH(C172,techniques[name],0)),""),"")</f>
        <v/>
      </c>
      <c r="E172" s="45" t="n"/>
      <c r="F172" s="62">
        <f t="array" ref="F172">IF(E172&lt;&gt;"",IF(INDEX(techniques[coverage],MATCH(E172,techniques[name],0))&gt;0,INDEX(techniques[coverage],MATCH(E172,techniques[name],0)),""),"")</f>
        <v/>
      </c>
      <c r="G172" s="45" t="n"/>
      <c r="H172" s="62">
        <f t="array" ref="H172">IF(G172&lt;&gt;"",IF(INDEX(techniques[coverage],MATCH(G172,techniques[name],0))&gt;0,INDEX(techniques[coverage],MATCH(G172,techniques[name],0)),""),"")</f>
        <v/>
      </c>
      <c r="I172" s="45" t="n"/>
      <c r="J172" s="62">
        <f t="array" ref="J172">IF(I172&lt;&gt;"",IF(INDEX(techniques[coverage],MATCH(I172,techniques[name],0))&gt;0,INDEX(techniques[coverage],MATCH(I172,techniques[name],0)),""),"")</f>
        <v/>
      </c>
      <c r="K172" s="45" t="n"/>
      <c r="L172" s="62">
        <f t="array" ref="L172">IF(K172&lt;&gt;"",IF(INDEX(techniques[coverage],MATCH(K172,techniques[name],0))&gt;0,INDEX(techniques[coverage],MATCH(K172,techniques[name],0)),""),"")</f>
        <v/>
      </c>
      <c r="M172" s="45" t="n"/>
      <c r="N172" s="62">
        <f t="array" ref="N172">IF(M172&lt;&gt;"",IF(INDEX(techniques[coverage],MATCH(M172,techniques[name],0))&gt;0,INDEX(techniques[coverage],MATCH(M172,techniques[name],0)),""),"")</f>
        <v/>
      </c>
      <c r="O172" s="45" t="n"/>
      <c r="P172" s="62">
        <f t="array" ref="P172">IF(O172&lt;&gt;"",IF(INDEX(techniques[coverage],MATCH(O172,techniques[name],0))&gt;0,INDEX(techniques[coverage],MATCH(O172,techniques[name],0)),""),"")</f>
        <v/>
      </c>
      <c r="Q172" s="45" t="n"/>
      <c r="R172" s="62">
        <f t="array" ref="R172">IF(Q172&lt;&gt;"",IF(INDEX(techniques[coverage],MATCH(Q172,techniques[name],0))&gt;0,INDEX(techniques[coverage],MATCH(Q172,techniques[name],0)),""),"")</f>
        <v/>
      </c>
      <c r="S172" s="45" t="n"/>
      <c r="T172" s="62">
        <f t="array" ref="T172">IF(S172&lt;&gt;"",IF(INDEX(techniques[coverage],MATCH(S172,techniques[name],0))&gt;0,INDEX(techniques[coverage],MATCH(S172,techniques[name],0)),""),"")</f>
        <v/>
      </c>
      <c r="U172" s="45" t="n"/>
      <c r="V172" s="62">
        <f t="array" ref="V172">IF(U172&lt;&gt;"",IF(INDEX(techniques[coverage],MATCH(U172,techniques[name],0))&gt;0,INDEX(techniques[coverage],MATCH(U172,techniques[name],0)),""),"")</f>
        <v/>
      </c>
      <c r="W172" s="45" t="n"/>
      <c r="X172" s="62">
        <f t="array" ref="X172">IF(W172&lt;&gt;"",IF(INDEX(techniques[coverage],MATCH(W172,techniques[name],0))&gt;0,INDEX(techniques[coverage],MATCH(W172,techniques[name],0)),""),"")</f>
        <v/>
      </c>
      <c r="Y172" s="45" t="n"/>
      <c r="Z172" s="62">
        <f t="array" ref="Z172">IF(Y172&lt;&gt;"",IF(INDEX(techniques[coverage],MATCH(Y172,techniques[name],0))&gt;0,INDEX(techniques[coverage],MATCH(Y172,techniques[name],0)),""),"")</f>
        <v/>
      </c>
      <c r="AA172" s="45" t="n"/>
      <c r="AB172" s="62">
        <f t="array" ref="AB172">IF(AA172&lt;&gt;"",IF(INDEX(techniques[coverage],MATCH(AA172,techniques[name],0))&gt;0,INDEX(techniques[coverage],MATCH(AA172,techniques[name],0)),""),"")</f>
        <v/>
      </c>
      <c r="AC172" s="45" t="n"/>
      <c r="AD172" s="62">
        <f t="array" ref="AD172">IF(AC172&lt;&gt;"",IF(INDEX(techniques[coverage],MATCH(AC172,techniques[name],0))&gt;0,INDEX(techniques[coverage],MATCH(AC172,techniques[name],0)),""),"")</f>
        <v/>
      </c>
    </row>
    <row r="173">
      <c r="A173" s="45" t="n"/>
      <c r="B173" s="62">
        <f t="array" ref="B173">IF(A173&lt;&gt;"",IF(INDEX(techniques[coverage],MATCH(A173,techniques[name],0))&gt;0,INDEX(techniques[coverage],MATCH(A173,techniques[name],0)),""),"")</f>
        <v/>
      </c>
      <c r="C173" s="45" t="n"/>
      <c r="D173" s="62">
        <f t="array" ref="D173">IF(C173&lt;&gt;"",IF(INDEX(techniques[coverage],MATCH(C173,techniques[name],0))&gt;0,INDEX(techniques[coverage],MATCH(C173,techniques[name],0)),""),"")</f>
        <v/>
      </c>
      <c r="E173" s="45" t="n"/>
      <c r="F173" s="62">
        <f t="array" ref="F173">IF(E173&lt;&gt;"",IF(INDEX(techniques[coverage],MATCH(E173,techniques[name],0))&gt;0,INDEX(techniques[coverage],MATCH(E173,techniques[name],0)),""),"")</f>
        <v/>
      </c>
      <c r="G173" s="45" t="n"/>
      <c r="H173" s="62">
        <f t="array" ref="H173">IF(G173&lt;&gt;"",IF(INDEX(techniques[coverage],MATCH(G173,techniques[name],0))&gt;0,INDEX(techniques[coverage],MATCH(G173,techniques[name],0)),""),"")</f>
        <v/>
      </c>
      <c r="I173" s="45" t="n"/>
      <c r="J173" s="62">
        <f t="array" ref="J173">IF(I173&lt;&gt;"",IF(INDEX(techniques[coverage],MATCH(I173,techniques[name],0))&gt;0,INDEX(techniques[coverage],MATCH(I173,techniques[name],0)),""),"")</f>
        <v/>
      </c>
      <c r="K173" s="45" t="n"/>
      <c r="L173" s="62">
        <f t="array" ref="L173">IF(K173&lt;&gt;"",IF(INDEX(techniques[coverage],MATCH(K173,techniques[name],0))&gt;0,INDEX(techniques[coverage],MATCH(K173,techniques[name],0)),""),"")</f>
        <v/>
      </c>
      <c r="M173" s="45" t="n"/>
      <c r="N173" s="62">
        <f t="array" ref="N173">IF(M173&lt;&gt;"",IF(INDEX(techniques[coverage],MATCH(M173,techniques[name],0))&gt;0,INDEX(techniques[coverage],MATCH(M173,techniques[name],0)),""),"")</f>
        <v/>
      </c>
      <c r="O173" s="45" t="n"/>
      <c r="P173" s="62">
        <f t="array" ref="P173">IF(O173&lt;&gt;"",IF(INDEX(techniques[coverage],MATCH(O173,techniques[name],0))&gt;0,INDEX(techniques[coverage],MATCH(O173,techniques[name],0)),""),"")</f>
        <v/>
      </c>
      <c r="Q173" s="45" t="n"/>
      <c r="R173" s="62">
        <f t="array" ref="R173">IF(Q173&lt;&gt;"",IF(INDEX(techniques[coverage],MATCH(Q173,techniques[name],0))&gt;0,INDEX(techniques[coverage],MATCH(Q173,techniques[name],0)),""),"")</f>
        <v/>
      </c>
      <c r="S173" s="45" t="n"/>
      <c r="T173" s="62">
        <f t="array" ref="T173">IF(S173&lt;&gt;"",IF(INDEX(techniques[coverage],MATCH(S173,techniques[name],0))&gt;0,INDEX(techniques[coverage],MATCH(S173,techniques[name],0)),""),"")</f>
        <v/>
      </c>
      <c r="U173" s="45" t="n"/>
      <c r="V173" s="62">
        <f t="array" ref="V173">IF(U173&lt;&gt;"",IF(INDEX(techniques[coverage],MATCH(U173,techniques[name],0))&gt;0,INDEX(techniques[coverage],MATCH(U173,techniques[name],0)),""),"")</f>
        <v/>
      </c>
      <c r="W173" s="45" t="n"/>
      <c r="X173" s="62">
        <f t="array" ref="X173">IF(W173&lt;&gt;"",IF(INDEX(techniques[coverage],MATCH(W173,techniques[name],0))&gt;0,INDEX(techniques[coverage],MATCH(W173,techniques[name],0)),""),"")</f>
        <v/>
      </c>
      <c r="Y173" s="45" t="n"/>
      <c r="Z173" s="62">
        <f t="array" ref="Z173">IF(Y173&lt;&gt;"",IF(INDEX(techniques[coverage],MATCH(Y173,techniques[name],0))&gt;0,INDEX(techniques[coverage],MATCH(Y173,techniques[name],0)),""),"")</f>
        <v/>
      </c>
      <c r="AA173" s="45" t="n"/>
      <c r="AB173" s="62">
        <f t="array" ref="AB173">IF(AA173&lt;&gt;"",IF(INDEX(techniques[coverage],MATCH(AA173,techniques[name],0))&gt;0,INDEX(techniques[coverage],MATCH(AA173,techniques[name],0)),""),"")</f>
        <v/>
      </c>
      <c r="AC173" s="45" t="n"/>
      <c r="AD173" s="62">
        <f t="array" ref="AD173">IF(AC173&lt;&gt;"",IF(INDEX(techniques[coverage],MATCH(AC173,techniques[name],0))&gt;0,INDEX(techniques[coverage],MATCH(AC173,techniques[name],0)),""),"")</f>
        <v/>
      </c>
    </row>
    <row r="174">
      <c r="A174" s="45" t="n"/>
      <c r="B174" s="62">
        <f t="array" ref="B174">IF(A174&lt;&gt;"",IF(INDEX(techniques[coverage],MATCH(A174,techniques[name],0))&gt;0,INDEX(techniques[coverage],MATCH(A174,techniques[name],0)),""),"")</f>
        <v/>
      </c>
      <c r="C174" s="45" t="n"/>
      <c r="D174" s="62">
        <f t="array" ref="D174">IF(C174&lt;&gt;"",IF(INDEX(techniques[coverage],MATCH(C174,techniques[name],0))&gt;0,INDEX(techniques[coverage],MATCH(C174,techniques[name],0)),""),"")</f>
        <v/>
      </c>
      <c r="E174" s="45" t="n"/>
      <c r="F174" s="62">
        <f t="array" ref="F174">IF(E174&lt;&gt;"",IF(INDEX(techniques[coverage],MATCH(E174,techniques[name],0))&gt;0,INDEX(techniques[coverage],MATCH(E174,techniques[name],0)),""),"")</f>
        <v/>
      </c>
      <c r="G174" s="45" t="n"/>
      <c r="H174" s="62">
        <f t="array" ref="H174">IF(G174&lt;&gt;"",IF(INDEX(techniques[coverage],MATCH(G174,techniques[name],0))&gt;0,INDEX(techniques[coverage],MATCH(G174,techniques[name],0)),""),"")</f>
        <v/>
      </c>
      <c r="I174" s="45" t="n"/>
      <c r="J174" s="62">
        <f t="array" ref="J174">IF(I174&lt;&gt;"",IF(INDEX(techniques[coverage],MATCH(I174,techniques[name],0))&gt;0,INDEX(techniques[coverage],MATCH(I174,techniques[name],0)),""),"")</f>
        <v/>
      </c>
      <c r="K174" s="45" t="n"/>
      <c r="L174" s="62">
        <f t="array" ref="L174">IF(K174&lt;&gt;"",IF(INDEX(techniques[coverage],MATCH(K174,techniques[name],0))&gt;0,INDEX(techniques[coverage],MATCH(K174,techniques[name],0)),""),"")</f>
        <v/>
      </c>
      <c r="M174" s="45" t="n"/>
      <c r="N174" s="62">
        <f t="array" ref="N174">IF(M174&lt;&gt;"",IF(INDEX(techniques[coverage],MATCH(M174,techniques[name],0))&gt;0,INDEX(techniques[coverage],MATCH(M174,techniques[name],0)),""),"")</f>
        <v/>
      </c>
      <c r="O174" s="45" t="n"/>
      <c r="P174" s="62">
        <f t="array" ref="P174">IF(O174&lt;&gt;"",IF(INDEX(techniques[coverage],MATCH(O174,techniques[name],0))&gt;0,INDEX(techniques[coverage],MATCH(O174,techniques[name],0)),""),"")</f>
        <v/>
      </c>
      <c r="Q174" s="45" t="n"/>
      <c r="R174" s="62">
        <f t="array" ref="R174">IF(Q174&lt;&gt;"",IF(INDEX(techniques[coverage],MATCH(Q174,techniques[name],0))&gt;0,INDEX(techniques[coverage],MATCH(Q174,techniques[name],0)),""),"")</f>
        <v/>
      </c>
      <c r="S174" s="45" t="n"/>
      <c r="T174" s="62">
        <f t="array" ref="T174">IF(S174&lt;&gt;"",IF(INDEX(techniques[coverage],MATCH(S174,techniques[name],0))&gt;0,INDEX(techniques[coverage],MATCH(S174,techniques[name],0)),""),"")</f>
        <v/>
      </c>
      <c r="U174" s="45" t="n"/>
      <c r="V174" s="62">
        <f t="array" ref="V174">IF(U174&lt;&gt;"",IF(INDEX(techniques[coverage],MATCH(U174,techniques[name],0))&gt;0,INDEX(techniques[coverage],MATCH(U174,techniques[name],0)),""),"")</f>
        <v/>
      </c>
      <c r="W174" s="45" t="n"/>
      <c r="X174" s="62">
        <f t="array" ref="X174">IF(W174&lt;&gt;"",IF(INDEX(techniques[coverage],MATCH(W174,techniques[name],0))&gt;0,INDEX(techniques[coverage],MATCH(W174,techniques[name],0)),""),"")</f>
        <v/>
      </c>
      <c r="Y174" s="45" t="n"/>
      <c r="Z174" s="62">
        <f t="array" ref="Z174">IF(Y174&lt;&gt;"",IF(INDEX(techniques[coverage],MATCH(Y174,techniques[name],0))&gt;0,INDEX(techniques[coverage],MATCH(Y174,techniques[name],0)),""),"")</f>
        <v/>
      </c>
      <c r="AA174" s="45" t="n"/>
      <c r="AB174" s="62">
        <f t="array" ref="AB174">IF(AA174&lt;&gt;"",IF(INDEX(techniques[coverage],MATCH(AA174,techniques[name],0))&gt;0,INDEX(techniques[coverage],MATCH(AA174,techniques[name],0)),""),"")</f>
        <v/>
      </c>
      <c r="AC174" s="45" t="n"/>
      <c r="AD174" s="62">
        <f t="array" ref="AD174">IF(AC174&lt;&gt;"",IF(INDEX(techniques[coverage],MATCH(AC174,techniques[name],0))&gt;0,INDEX(techniques[coverage],MATCH(AC174,techniques[name],0)),""),"")</f>
        <v/>
      </c>
    </row>
    <row r="175">
      <c r="A175" s="45" t="n"/>
      <c r="B175" s="62">
        <f t="array" ref="B175">IF(A175&lt;&gt;"",IF(INDEX(techniques[coverage],MATCH(A175,techniques[name],0))&gt;0,INDEX(techniques[coverage],MATCH(A175,techniques[name],0)),""),"")</f>
        <v/>
      </c>
      <c r="C175" s="45" t="n"/>
      <c r="D175" s="62">
        <f t="array" ref="D175">IF(C175&lt;&gt;"",IF(INDEX(techniques[coverage],MATCH(C175,techniques[name],0))&gt;0,INDEX(techniques[coverage],MATCH(C175,techniques[name],0)),""),"")</f>
        <v/>
      </c>
      <c r="E175" s="45" t="n"/>
      <c r="F175" s="62">
        <f t="array" ref="F175">IF(E175&lt;&gt;"",IF(INDEX(techniques[coverage],MATCH(E175,techniques[name],0))&gt;0,INDEX(techniques[coverage],MATCH(E175,techniques[name],0)),""),"")</f>
        <v/>
      </c>
      <c r="G175" s="45" t="n"/>
      <c r="H175" s="62">
        <f t="array" ref="H175">IF(G175&lt;&gt;"",IF(INDEX(techniques[coverage],MATCH(G175,techniques[name],0))&gt;0,INDEX(techniques[coverage],MATCH(G175,techniques[name],0)),""),"")</f>
        <v/>
      </c>
      <c r="I175" s="45" t="n"/>
      <c r="J175" s="62">
        <f t="array" ref="J175">IF(I175&lt;&gt;"",IF(INDEX(techniques[coverage],MATCH(I175,techniques[name],0))&gt;0,INDEX(techniques[coverage],MATCH(I175,techniques[name],0)),""),"")</f>
        <v/>
      </c>
      <c r="K175" s="45" t="n"/>
      <c r="L175" s="62">
        <f t="array" ref="L175">IF(K175&lt;&gt;"",IF(INDEX(techniques[coverage],MATCH(K175,techniques[name],0))&gt;0,INDEX(techniques[coverage],MATCH(K175,techniques[name],0)),""),"")</f>
        <v/>
      </c>
      <c r="M175" s="45" t="n"/>
      <c r="N175" s="62">
        <f t="array" ref="N175">IF(M175&lt;&gt;"",IF(INDEX(techniques[coverage],MATCH(M175,techniques[name],0))&gt;0,INDEX(techniques[coverage],MATCH(M175,techniques[name],0)),""),"")</f>
        <v/>
      </c>
      <c r="O175" s="45" t="n"/>
      <c r="P175" s="62">
        <f t="array" ref="P175">IF(O175&lt;&gt;"",IF(INDEX(techniques[coverage],MATCH(O175,techniques[name],0))&gt;0,INDEX(techniques[coverage],MATCH(O175,techniques[name],0)),""),"")</f>
        <v/>
      </c>
      <c r="Q175" s="45" t="n"/>
      <c r="R175" s="62">
        <f t="array" ref="R175">IF(Q175&lt;&gt;"",IF(INDEX(techniques[coverage],MATCH(Q175,techniques[name],0))&gt;0,INDEX(techniques[coverage],MATCH(Q175,techniques[name],0)),""),"")</f>
        <v/>
      </c>
      <c r="S175" s="45" t="n"/>
      <c r="T175" s="62">
        <f t="array" ref="T175">IF(S175&lt;&gt;"",IF(INDEX(techniques[coverage],MATCH(S175,techniques[name],0))&gt;0,INDEX(techniques[coverage],MATCH(S175,techniques[name],0)),""),"")</f>
        <v/>
      </c>
      <c r="U175" s="45" t="n"/>
      <c r="V175" s="62">
        <f t="array" ref="V175">IF(U175&lt;&gt;"",IF(INDEX(techniques[coverage],MATCH(U175,techniques[name],0))&gt;0,INDEX(techniques[coverage],MATCH(U175,techniques[name],0)),""),"")</f>
        <v/>
      </c>
      <c r="W175" s="45" t="n"/>
      <c r="X175" s="62">
        <f t="array" ref="X175">IF(W175&lt;&gt;"",IF(INDEX(techniques[coverage],MATCH(W175,techniques[name],0))&gt;0,INDEX(techniques[coverage],MATCH(W175,techniques[name],0)),""),"")</f>
        <v/>
      </c>
      <c r="Y175" s="45" t="n"/>
      <c r="Z175" s="62">
        <f t="array" ref="Z175">IF(Y175&lt;&gt;"",IF(INDEX(techniques[coverage],MATCH(Y175,techniques[name],0))&gt;0,INDEX(techniques[coverage],MATCH(Y175,techniques[name],0)),""),"")</f>
        <v/>
      </c>
      <c r="AA175" s="45" t="n"/>
      <c r="AB175" s="62">
        <f t="array" ref="AB175">IF(AA175&lt;&gt;"",IF(INDEX(techniques[coverage],MATCH(AA175,techniques[name],0))&gt;0,INDEX(techniques[coverage],MATCH(AA175,techniques[name],0)),""),"")</f>
        <v/>
      </c>
      <c r="AC175" s="45" t="n"/>
      <c r="AD175" s="62">
        <f t="array" ref="AD175">IF(AC175&lt;&gt;"",IF(INDEX(techniques[coverage],MATCH(AC175,techniques[name],0))&gt;0,INDEX(techniques[coverage],MATCH(AC175,techniques[name],0)),""),"")</f>
        <v/>
      </c>
    </row>
    <row r="176">
      <c r="A176" s="45" t="n"/>
      <c r="B176" s="62">
        <f t="array" ref="B176">IF(A176&lt;&gt;"",IF(INDEX(techniques[coverage],MATCH(A176,techniques[name],0))&gt;0,INDEX(techniques[coverage],MATCH(A176,techniques[name],0)),""),"")</f>
        <v/>
      </c>
      <c r="C176" s="45" t="n"/>
      <c r="D176" s="62">
        <f t="array" ref="D176">IF(C176&lt;&gt;"",IF(INDEX(techniques[coverage],MATCH(C176,techniques[name],0))&gt;0,INDEX(techniques[coverage],MATCH(C176,techniques[name],0)),""),"")</f>
        <v/>
      </c>
      <c r="E176" s="45" t="n"/>
      <c r="F176" s="62">
        <f t="array" ref="F176">IF(E176&lt;&gt;"",IF(INDEX(techniques[coverage],MATCH(E176,techniques[name],0))&gt;0,INDEX(techniques[coverage],MATCH(E176,techniques[name],0)),""),"")</f>
        <v/>
      </c>
      <c r="G176" s="45" t="n"/>
      <c r="H176" s="62">
        <f t="array" ref="H176">IF(G176&lt;&gt;"",IF(INDEX(techniques[coverage],MATCH(G176,techniques[name],0))&gt;0,INDEX(techniques[coverage],MATCH(G176,techniques[name],0)),""),"")</f>
        <v/>
      </c>
      <c r="I176" s="45" t="n"/>
      <c r="J176" s="62">
        <f t="array" ref="J176">IF(I176&lt;&gt;"",IF(INDEX(techniques[coverage],MATCH(I176,techniques[name],0))&gt;0,INDEX(techniques[coverage],MATCH(I176,techniques[name],0)),""),"")</f>
        <v/>
      </c>
      <c r="K176" s="45" t="n"/>
      <c r="L176" s="62">
        <f t="array" ref="L176">IF(K176&lt;&gt;"",IF(INDEX(techniques[coverage],MATCH(K176,techniques[name],0))&gt;0,INDEX(techniques[coverage],MATCH(K176,techniques[name],0)),""),"")</f>
        <v/>
      </c>
      <c r="M176" s="45" t="n"/>
      <c r="N176" s="62">
        <f t="array" ref="N176">IF(M176&lt;&gt;"",IF(INDEX(techniques[coverage],MATCH(M176,techniques[name],0))&gt;0,INDEX(techniques[coverage],MATCH(M176,techniques[name],0)),""),"")</f>
        <v/>
      </c>
      <c r="O176" s="45" t="n"/>
      <c r="P176" s="62">
        <f t="array" ref="P176">IF(O176&lt;&gt;"",IF(INDEX(techniques[coverage],MATCH(O176,techniques[name],0))&gt;0,INDEX(techniques[coverage],MATCH(O176,techniques[name],0)),""),"")</f>
        <v/>
      </c>
      <c r="Q176" s="45" t="n"/>
      <c r="R176" s="62">
        <f t="array" ref="R176">IF(Q176&lt;&gt;"",IF(INDEX(techniques[coverage],MATCH(Q176,techniques[name],0))&gt;0,INDEX(techniques[coverage],MATCH(Q176,techniques[name],0)),""),"")</f>
        <v/>
      </c>
      <c r="S176" s="45" t="n"/>
      <c r="T176" s="62">
        <f t="array" ref="T176">IF(S176&lt;&gt;"",IF(INDEX(techniques[coverage],MATCH(S176,techniques[name],0))&gt;0,INDEX(techniques[coverage],MATCH(S176,techniques[name],0)),""),"")</f>
        <v/>
      </c>
      <c r="U176" s="45" t="n"/>
      <c r="V176" s="62">
        <f t="array" ref="V176">IF(U176&lt;&gt;"",IF(INDEX(techniques[coverage],MATCH(U176,techniques[name],0))&gt;0,INDEX(techniques[coverage],MATCH(U176,techniques[name],0)),""),"")</f>
        <v/>
      </c>
      <c r="W176" s="45" t="n"/>
      <c r="X176" s="62">
        <f t="array" ref="X176">IF(W176&lt;&gt;"",IF(INDEX(techniques[coverage],MATCH(W176,techniques[name],0))&gt;0,INDEX(techniques[coverage],MATCH(W176,techniques[name],0)),""),"")</f>
        <v/>
      </c>
      <c r="Y176" s="45" t="n"/>
      <c r="Z176" s="62">
        <f t="array" ref="Z176">IF(Y176&lt;&gt;"",IF(INDEX(techniques[coverage],MATCH(Y176,techniques[name],0))&gt;0,INDEX(techniques[coverage],MATCH(Y176,techniques[name],0)),""),"")</f>
        <v/>
      </c>
      <c r="AA176" s="45" t="n"/>
      <c r="AB176" s="62">
        <f t="array" ref="AB176">IF(AA176&lt;&gt;"",IF(INDEX(techniques[coverage],MATCH(AA176,techniques[name],0))&gt;0,INDEX(techniques[coverage],MATCH(AA176,techniques[name],0)),""),"")</f>
        <v/>
      </c>
      <c r="AC176" s="45" t="n"/>
      <c r="AD176" s="62">
        <f t="array" ref="AD176">IF(AC176&lt;&gt;"",IF(INDEX(techniques[coverage],MATCH(AC176,techniques[name],0))&gt;0,INDEX(techniques[coverage],MATCH(AC176,techniques[name],0)),""),"")</f>
        <v/>
      </c>
    </row>
    <row r="177">
      <c r="A177" s="45" t="n"/>
      <c r="B177" s="62">
        <f t="array" ref="B177">IF(A177&lt;&gt;"",IF(INDEX(techniques[coverage],MATCH(A177,techniques[name],0))&gt;0,INDEX(techniques[coverage],MATCH(A177,techniques[name],0)),""),"")</f>
        <v/>
      </c>
      <c r="C177" s="45" t="n"/>
      <c r="D177" s="62">
        <f t="array" ref="D177">IF(C177&lt;&gt;"",IF(INDEX(techniques[coverage],MATCH(C177,techniques[name],0))&gt;0,INDEX(techniques[coverage],MATCH(C177,techniques[name],0)),""),"")</f>
        <v/>
      </c>
      <c r="E177" s="45" t="n"/>
      <c r="F177" s="62">
        <f t="array" ref="F177">IF(E177&lt;&gt;"",IF(INDEX(techniques[coverage],MATCH(E177,techniques[name],0))&gt;0,INDEX(techniques[coverage],MATCH(E177,techniques[name],0)),""),"")</f>
        <v/>
      </c>
      <c r="G177" s="45" t="n"/>
      <c r="H177" s="62">
        <f t="array" ref="H177">IF(G177&lt;&gt;"",IF(INDEX(techniques[coverage],MATCH(G177,techniques[name],0))&gt;0,INDEX(techniques[coverage],MATCH(G177,techniques[name],0)),""),"")</f>
        <v/>
      </c>
      <c r="I177" s="45" t="n"/>
      <c r="J177" s="62">
        <f t="array" ref="J177">IF(I177&lt;&gt;"",IF(INDEX(techniques[coverage],MATCH(I177,techniques[name],0))&gt;0,INDEX(techniques[coverage],MATCH(I177,techniques[name],0)),""),"")</f>
        <v/>
      </c>
      <c r="K177" s="45" t="n"/>
      <c r="L177" s="62">
        <f t="array" ref="L177">IF(K177&lt;&gt;"",IF(INDEX(techniques[coverage],MATCH(K177,techniques[name],0))&gt;0,INDEX(techniques[coverage],MATCH(K177,techniques[name],0)),""),"")</f>
        <v/>
      </c>
      <c r="M177" s="45" t="n"/>
      <c r="N177" s="62">
        <f t="array" ref="N177">IF(M177&lt;&gt;"",IF(INDEX(techniques[coverage],MATCH(M177,techniques[name],0))&gt;0,INDEX(techniques[coverage],MATCH(M177,techniques[name],0)),""),"")</f>
        <v/>
      </c>
      <c r="O177" s="45" t="n"/>
      <c r="P177" s="62">
        <f t="array" ref="P177">IF(O177&lt;&gt;"",IF(INDEX(techniques[coverage],MATCH(O177,techniques[name],0))&gt;0,INDEX(techniques[coverage],MATCH(O177,techniques[name],0)),""),"")</f>
        <v/>
      </c>
      <c r="Q177" s="45" t="n"/>
      <c r="R177" s="62">
        <f t="array" ref="R177">IF(Q177&lt;&gt;"",IF(INDEX(techniques[coverage],MATCH(Q177,techniques[name],0))&gt;0,INDEX(techniques[coverage],MATCH(Q177,techniques[name],0)),""),"")</f>
        <v/>
      </c>
      <c r="S177" s="45" t="n"/>
      <c r="T177" s="62">
        <f t="array" ref="T177">IF(S177&lt;&gt;"",IF(INDEX(techniques[coverage],MATCH(S177,techniques[name],0))&gt;0,INDEX(techniques[coverage],MATCH(S177,techniques[name],0)),""),"")</f>
        <v/>
      </c>
      <c r="U177" s="45" t="n"/>
      <c r="V177" s="62">
        <f t="array" ref="V177">IF(U177&lt;&gt;"",IF(INDEX(techniques[coverage],MATCH(U177,techniques[name],0))&gt;0,INDEX(techniques[coverage],MATCH(U177,techniques[name],0)),""),"")</f>
        <v/>
      </c>
      <c r="W177" s="45" t="n"/>
      <c r="X177" s="62">
        <f t="array" ref="X177">IF(W177&lt;&gt;"",IF(INDEX(techniques[coverage],MATCH(W177,techniques[name],0))&gt;0,INDEX(techniques[coverage],MATCH(W177,techniques[name],0)),""),"")</f>
        <v/>
      </c>
      <c r="Y177" s="45" t="n"/>
      <c r="Z177" s="62">
        <f t="array" ref="Z177">IF(Y177&lt;&gt;"",IF(INDEX(techniques[coverage],MATCH(Y177,techniques[name],0))&gt;0,INDEX(techniques[coverage],MATCH(Y177,techniques[name],0)),""),"")</f>
        <v/>
      </c>
      <c r="AA177" s="45" t="n"/>
      <c r="AB177" s="62">
        <f t="array" ref="AB177">IF(AA177&lt;&gt;"",IF(INDEX(techniques[coverage],MATCH(AA177,techniques[name],0))&gt;0,INDEX(techniques[coverage],MATCH(AA177,techniques[name],0)),""),"")</f>
        <v/>
      </c>
      <c r="AC177" s="45" t="n"/>
      <c r="AD177" s="62">
        <f t="array" ref="AD177">IF(AC177&lt;&gt;"",IF(INDEX(techniques[coverage],MATCH(AC177,techniques[name],0))&gt;0,INDEX(techniques[coverage],MATCH(AC177,techniques[name],0)),""),"")</f>
        <v/>
      </c>
    </row>
    <row r="178">
      <c r="A178" s="45" t="n"/>
      <c r="B178" s="62">
        <f t="array" ref="B178">IF(A178&lt;&gt;"",IF(INDEX(techniques[coverage],MATCH(A178,techniques[name],0))&gt;0,INDEX(techniques[coverage],MATCH(A178,techniques[name],0)),""),"")</f>
        <v/>
      </c>
      <c r="C178" s="45" t="n"/>
      <c r="D178" s="62">
        <f t="array" ref="D178">IF(C178&lt;&gt;"",IF(INDEX(techniques[coverage],MATCH(C178,techniques[name],0))&gt;0,INDEX(techniques[coverage],MATCH(C178,techniques[name],0)),""),"")</f>
        <v/>
      </c>
      <c r="E178" s="45" t="n"/>
      <c r="F178" s="62">
        <f t="array" ref="F178">IF(E178&lt;&gt;"",IF(INDEX(techniques[coverage],MATCH(E178,techniques[name],0))&gt;0,INDEX(techniques[coverage],MATCH(E178,techniques[name],0)),""),"")</f>
        <v/>
      </c>
      <c r="G178" s="45" t="n"/>
      <c r="H178" s="62">
        <f t="array" ref="H178">IF(G178&lt;&gt;"",IF(INDEX(techniques[coverage],MATCH(G178,techniques[name],0))&gt;0,INDEX(techniques[coverage],MATCH(G178,techniques[name],0)),""),"")</f>
        <v/>
      </c>
      <c r="I178" s="45" t="n"/>
      <c r="J178" s="62">
        <f t="array" ref="J178">IF(I178&lt;&gt;"",IF(INDEX(techniques[coverage],MATCH(I178,techniques[name],0))&gt;0,INDEX(techniques[coverage],MATCH(I178,techniques[name],0)),""),"")</f>
        <v/>
      </c>
      <c r="K178" s="45" t="n"/>
      <c r="L178" s="62">
        <f t="array" ref="L178">IF(K178&lt;&gt;"",IF(INDEX(techniques[coverage],MATCH(K178,techniques[name],0))&gt;0,INDEX(techniques[coverage],MATCH(K178,techniques[name],0)),""),"")</f>
        <v/>
      </c>
      <c r="M178" s="45" t="n"/>
      <c r="N178" s="62">
        <f t="array" ref="N178">IF(M178&lt;&gt;"",IF(INDEX(techniques[coverage],MATCH(M178,techniques[name],0))&gt;0,INDEX(techniques[coverage],MATCH(M178,techniques[name],0)),""),"")</f>
        <v/>
      </c>
      <c r="O178" s="45" t="n"/>
      <c r="P178" s="62">
        <f t="array" ref="P178">IF(O178&lt;&gt;"",IF(INDEX(techniques[coverage],MATCH(O178,techniques[name],0))&gt;0,INDEX(techniques[coverage],MATCH(O178,techniques[name],0)),""),"")</f>
        <v/>
      </c>
      <c r="Q178" s="45" t="n"/>
      <c r="R178" s="62">
        <f t="array" ref="R178">IF(Q178&lt;&gt;"",IF(INDEX(techniques[coverage],MATCH(Q178,techniques[name],0))&gt;0,INDEX(techniques[coverage],MATCH(Q178,techniques[name],0)),""),"")</f>
        <v/>
      </c>
      <c r="S178" s="45" t="n"/>
      <c r="T178" s="62">
        <f t="array" ref="T178">IF(S178&lt;&gt;"",IF(INDEX(techniques[coverage],MATCH(S178,techniques[name],0))&gt;0,INDEX(techniques[coverage],MATCH(S178,techniques[name],0)),""),"")</f>
        <v/>
      </c>
      <c r="U178" s="45" t="n"/>
      <c r="V178" s="62">
        <f t="array" ref="V178">IF(U178&lt;&gt;"",IF(INDEX(techniques[coverage],MATCH(U178,techniques[name],0))&gt;0,INDEX(techniques[coverage],MATCH(U178,techniques[name],0)),""),"")</f>
        <v/>
      </c>
      <c r="W178" s="45" t="n"/>
      <c r="X178" s="62">
        <f t="array" ref="X178">IF(W178&lt;&gt;"",IF(INDEX(techniques[coverage],MATCH(W178,techniques[name],0))&gt;0,INDEX(techniques[coverage],MATCH(W178,techniques[name],0)),""),"")</f>
        <v/>
      </c>
      <c r="Y178" s="45" t="n"/>
      <c r="Z178" s="62">
        <f t="array" ref="Z178">IF(Y178&lt;&gt;"",IF(INDEX(techniques[coverage],MATCH(Y178,techniques[name],0))&gt;0,INDEX(techniques[coverage],MATCH(Y178,techniques[name],0)),""),"")</f>
        <v/>
      </c>
      <c r="AA178" s="45" t="n"/>
      <c r="AB178" s="62">
        <f t="array" ref="AB178">IF(AA178&lt;&gt;"",IF(INDEX(techniques[coverage],MATCH(AA178,techniques[name],0))&gt;0,INDEX(techniques[coverage],MATCH(AA178,techniques[name],0)),""),"")</f>
        <v/>
      </c>
      <c r="AC178" s="45" t="n"/>
      <c r="AD178" s="62">
        <f t="array" ref="AD178">IF(AC178&lt;&gt;"",IF(INDEX(techniques[coverage],MATCH(AC178,techniques[name],0))&gt;0,INDEX(techniques[coverage],MATCH(AC178,techniques[name],0)),""),"")</f>
        <v/>
      </c>
    </row>
    <row r="179">
      <c r="A179" s="45" t="n"/>
      <c r="B179" s="62">
        <f t="array" ref="B179">IF(A179&lt;&gt;"",IF(INDEX(techniques[coverage],MATCH(A179,techniques[name],0))&gt;0,INDEX(techniques[coverage],MATCH(A179,techniques[name],0)),""),"")</f>
        <v/>
      </c>
      <c r="C179" s="45" t="n"/>
      <c r="D179" s="62">
        <f t="array" ref="D179">IF(C179&lt;&gt;"",IF(INDEX(techniques[coverage],MATCH(C179,techniques[name],0))&gt;0,INDEX(techniques[coverage],MATCH(C179,techniques[name],0)),""),"")</f>
        <v/>
      </c>
      <c r="E179" s="45" t="n"/>
      <c r="F179" s="62">
        <f t="array" ref="F179">IF(E179&lt;&gt;"",IF(INDEX(techniques[coverage],MATCH(E179,techniques[name],0))&gt;0,INDEX(techniques[coverage],MATCH(E179,techniques[name],0)),""),"")</f>
        <v/>
      </c>
      <c r="G179" s="45" t="n"/>
      <c r="H179" s="62">
        <f t="array" ref="H179">IF(G179&lt;&gt;"",IF(INDEX(techniques[coverage],MATCH(G179,techniques[name],0))&gt;0,INDEX(techniques[coverage],MATCH(G179,techniques[name],0)),""),"")</f>
        <v/>
      </c>
      <c r="I179" s="45" t="n"/>
      <c r="J179" s="62">
        <f t="array" ref="J179">IF(I179&lt;&gt;"",IF(INDEX(techniques[coverage],MATCH(I179,techniques[name],0))&gt;0,INDEX(techniques[coverage],MATCH(I179,techniques[name],0)),""),"")</f>
        <v/>
      </c>
      <c r="K179" s="45" t="n"/>
      <c r="L179" s="62">
        <f t="array" ref="L179">IF(K179&lt;&gt;"",IF(INDEX(techniques[coverage],MATCH(K179,techniques[name],0))&gt;0,INDEX(techniques[coverage],MATCH(K179,techniques[name],0)),""),"")</f>
        <v/>
      </c>
      <c r="M179" s="45" t="n"/>
      <c r="N179" s="62">
        <f t="array" ref="N179">IF(M179&lt;&gt;"",IF(INDEX(techniques[coverage],MATCH(M179,techniques[name],0))&gt;0,INDEX(techniques[coverage],MATCH(M179,techniques[name],0)),""),"")</f>
        <v/>
      </c>
      <c r="O179" s="45" t="n"/>
      <c r="P179" s="62">
        <f t="array" ref="P179">IF(O179&lt;&gt;"",IF(INDEX(techniques[coverage],MATCH(O179,techniques[name],0))&gt;0,INDEX(techniques[coverage],MATCH(O179,techniques[name],0)),""),"")</f>
        <v/>
      </c>
      <c r="Q179" s="45" t="n"/>
      <c r="R179" s="62">
        <f t="array" ref="R179">IF(Q179&lt;&gt;"",IF(INDEX(techniques[coverage],MATCH(Q179,techniques[name],0))&gt;0,INDEX(techniques[coverage],MATCH(Q179,techniques[name],0)),""),"")</f>
        <v/>
      </c>
      <c r="S179" s="45" t="n"/>
      <c r="T179" s="62">
        <f t="array" ref="T179">IF(S179&lt;&gt;"",IF(INDEX(techniques[coverage],MATCH(S179,techniques[name],0))&gt;0,INDEX(techniques[coverage],MATCH(S179,techniques[name],0)),""),"")</f>
        <v/>
      </c>
      <c r="U179" s="45" t="n"/>
      <c r="V179" s="62">
        <f t="array" ref="V179">IF(U179&lt;&gt;"",IF(INDEX(techniques[coverage],MATCH(U179,techniques[name],0))&gt;0,INDEX(techniques[coverage],MATCH(U179,techniques[name],0)),""),"")</f>
        <v/>
      </c>
      <c r="W179" s="45" t="n"/>
      <c r="X179" s="62">
        <f t="array" ref="X179">IF(W179&lt;&gt;"",IF(INDEX(techniques[coverage],MATCH(W179,techniques[name],0))&gt;0,INDEX(techniques[coverage],MATCH(W179,techniques[name],0)),""),"")</f>
        <v/>
      </c>
      <c r="Y179" s="45" t="n"/>
      <c r="Z179" s="62">
        <f t="array" ref="Z179">IF(Y179&lt;&gt;"",IF(INDEX(techniques[coverage],MATCH(Y179,techniques[name],0))&gt;0,INDEX(techniques[coverage],MATCH(Y179,techniques[name],0)),""),"")</f>
        <v/>
      </c>
      <c r="AA179" s="45" t="n"/>
      <c r="AB179" s="62">
        <f t="array" ref="AB179">IF(AA179&lt;&gt;"",IF(INDEX(techniques[coverage],MATCH(AA179,techniques[name],0))&gt;0,INDEX(techniques[coverage],MATCH(AA179,techniques[name],0)),""),"")</f>
        <v/>
      </c>
      <c r="AC179" s="45" t="n"/>
      <c r="AD179" s="62">
        <f t="array" ref="AD179">IF(AC179&lt;&gt;"",IF(INDEX(techniques[coverage],MATCH(AC179,techniques[name],0))&gt;0,INDEX(techniques[coverage],MATCH(AC179,techniques[name],0)),""),"")</f>
        <v/>
      </c>
    </row>
    <row r="180">
      <c r="A180" s="45" t="n"/>
      <c r="B180" s="62">
        <f t="array" ref="B180">IF(A180&lt;&gt;"",IF(INDEX(techniques[coverage],MATCH(A180,techniques[name],0))&gt;0,INDEX(techniques[coverage],MATCH(A180,techniques[name],0)),""),"")</f>
        <v/>
      </c>
      <c r="C180" s="45" t="n"/>
      <c r="D180" s="62">
        <f t="array" ref="D180">IF(C180&lt;&gt;"",IF(INDEX(techniques[coverage],MATCH(C180,techniques[name],0))&gt;0,INDEX(techniques[coverage],MATCH(C180,techniques[name],0)),""),"")</f>
        <v/>
      </c>
      <c r="E180" s="45" t="n"/>
      <c r="F180" s="62">
        <f t="array" ref="F180">IF(E180&lt;&gt;"",IF(INDEX(techniques[coverage],MATCH(E180,techniques[name],0))&gt;0,INDEX(techniques[coverage],MATCH(E180,techniques[name],0)),""),"")</f>
        <v/>
      </c>
      <c r="G180" s="45" t="n"/>
      <c r="H180" s="62">
        <f t="array" ref="H180">IF(G180&lt;&gt;"",IF(INDEX(techniques[coverage],MATCH(G180,techniques[name],0))&gt;0,INDEX(techniques[coverage],MATCH(G180,techniques[name],0)),""),"")</f>
        <v/>
      </c>
      <c r="I180" s="45" t="n"/>
      <c r="J180" s="62">
        <f t="array" ref="J180">IF(I180&lt;&gt;"",IF(INDEX(techniques[coverage],MATCH(I180,techniques[name],0))&gt;0,INDEX(techniques[coverage],MATCH(I180,techniques[name],0)),""),"")</f>
        <v/>
      </c>
      <c r="K180" s="45" t="n"/>
      <c r="L180" s="62">
        <f t="array" ref="L180">IF(K180&lt;&gt;"",IF(INDEX(techniques[coverage],MATCH(K180,techniques[name],0))&gt;0,INDEX(techniques[coverage],MATCH(K180,techniques[name],0)),""),"")</f>
        <v/>
      </c>
      <c r="M180" s="45" t="n"/>
      <c r="N180" s="62">
        <f t="array" ref="N180">IF(M180&lt;&gt;"",IF(INDEX(techniques[coverage],MATCH(M180,techniques[name],0))&gt;0,INDEX(techniques[coverage],MATCH(M180,techniques[name],0)),""),"")</f>
        <v/>
      </c>
      <c r="O180" s="45" t="n"/>
      <c r="P180" s="62">
        <f t="array" ref="P180">IF(O180&lt;&gt;"",IF(INDEX(techniques[coverage],MATCH(O180,techniques[name],0))&gt;0,INDEX(techniques[coverage],MATCH(O180,techniques[name],0)),""),"")</f>
        <v/>
      </c>
      <c r="Q180" s="45" t="n"/>
      <c r="R180" s="62">
        <f t="array" ref="R180">IF(Q180&lt;&gt;"",IF(INDEX(techniques[coverage],MATCH(Q180,techniques[name],0))&gt;0,INDEX(techniques[coverage],MATCH(Q180,techniques[name],0)),""),"")</f>
        <v/>
      </c>
      <c r="S180" s="45" t="n"/>
      <c r="T180" s="62">
        <f t="array" ref="T180">IF(S180&lt;&gt;"",IF(INDEX(techniques[coverage],MATCH(S180,techniques[name],0))&gt;0,INDEX(techniques[coverage],MATCH(S180,techniques[name],0)),""),"")</f>
        <v/>
      </c>
      <c r="U180" s="45" t="n"/>
      <c r="V180" s="62">
        <f t="array" ref="V180">IF(U180&lt;&gt;"",IF(INDEX(techniques[coverage],MATCH(U180,techniques[name],0))&gt;0,INDEX(techniques[coverage],MATCH(U180,techniques[name],0)),""),"")</f>
        <v/>
      </c>
      <c r="W180" s="45" t="n"/>
      <c r="X180" s="62">
        <f t="array" ref="X180">IF(W180&lt;&gt;"",IF(INDEX(techniques[coverage],MATCH(W180,techniques[name],0))&gt;0,INDEX(techniques[coverage],MATCH(W180,techniques[name],0)),""),"")</f>
        <v/>
      </c>
      <c r="Y180" s="45" t="n"/>
      <c r="Z180" s="62">
        <f t="array" ref="Z180">IF(Y180&lt;&gt;"",IF(INDEX(techniques[coverage],MATCH(Y180,techniques[name],0))&gt;0,INDEX(techniques[coverage],MATCH(Y180,techniques[name],0)),""),"")</f>
        <v/>
      </c>
      <c r="AA180" s="45" t="n"/>
      <c r="AB180" s="62">
        <f t="array" ref="AB180">IF(AA180&lt;&gt;"",IF(INDEX(techniques[coverage],MATCH(AA180,techniques[name],0))&gt;0,INDEX(techniques[coverage],MATCH(AA180,techniques[name],0)),""),"")</f>
        <v/>
      </c>
      <c r="AC180" s="45" t="n"/>
      <c r="AD180" s="62">
        <f t="array" ref="AD180">IF(AC180&lt;&gt;"",IF(INDEX(techniques[coverage],MATCH(AC180,techniques[name],0))&gt;0,INDEX(techniques[coverage],MATCH(AC180,techniques[name],0)),""),"")</f>
        <v/>
      </c>
    </row>
    <row r="181">
      <c r="A181" s="45" t="n"/>
      <c r="B181" s="62">
        <f t="array" ref="B181">IF(A181&lt;&gt;"",IF(INDEX(techniques[coverage],MATCH(A181,techniques[name],0))&gt;0,INDEX(techniques[coverage],MATCH(A181,techniques[name],0)),""),"")</f>
        <v/>
      </c>
      <c r="C181" s="45" t="n"/>
      <c r="D181" s="62">
        <f t="array" ref="D181">IF(C181&lt;&gt;"",IF(INDEX(techniques[coverage],MATCH(C181,techniques[name],0))&gt;0,INDEX(techniques[coverage],MATCH(C181,techniques[name],0)),""),"")</f>
        <v/>
      </c>
      <c r="E181" s="45" t="n"/>
      <c r="F181" s="62">
        <f t="array" ref="F181">IF(E181&lt;&gt;"",IF(INDEX(techniques[coverage],MATCH(E181,techniques[name],0))&gt;0,INDEX(techniques[coverage],MATCH(E181,techniques[name],0)),""),"")</f>
        <v/>
      </c>
      <c r="G181" s="45" t="n"/>
      <c r="H181" s="62">
        <f t="array" ref="H181">IF(G181&lt;&gt;"",IF(INDEX(techniques[coverage],MATCH(G181,techniques[name],0))&gt;0,INDEX(techniques[coverage],MATCH(G181,techniques[name],0)),""),"")</f>
        <v/>
      </c>
      <c r="I181" s="45" t="n"/>
      <c r="J181" s="62">
        <f t="array" ref="J181">IF(I181&lt;&gt;"",IF(INDEX(techniques[coverage],MATCH(I181,techniques[name],0))&gt;0,INDEX(techniques[coverage],MATCH(I181,techniques[name],0)),""),"")</f>
        <v/>
      </c>
      <c r="K181" s="45" t="n"/>
      <c r="L181" s="62">
        <f t="array" ref="L181">IF(K181&lt;&gt;"",IF(INDEX(techniques[coverage],MATCH(K181,techniques[name],0))&gt;0,INDEX(techniques[coverage],MATCH(K181,techniques[name],0)),""),"")</f>
        <v/>
      </c>
      <c r="M181" s="45" t="n"/>
      <c r="N181" s="62">
        <f t="array" ref="N181">IF(M181&lt;&gt;"",IF(INDEX(techniques[coverage],MATCH(M181,techniques[name],0))&gt;0,INDEX(techniques[coverage],MATCH(M181,techniques[name],0)),""),"")</f>
        <v/>
      </c>
      <c r="O181" s="45" t="n"/>
      <c r="P181" s="62">
        <f t="array" ref="P181">IF(O181&lt;&gt;"",IF(INDEX(techniques[coverage],MATCH(O181,techniques[name],0))&gt;0,INDEX(techniques[coverage],MATCH(O181,techniques[name],0)),""),"")</f>
        <v/>
      </c>
      <c r="Q181" s="45" t="n"/>
      <c r="R181" s="62">
        <f t="array" ref="R181">IF(Q181&lt;&gt;"",IF(INDEX(techniques[coverage],MATCH(Q181,techniques[name],0))&gt;0,INDEX(techniques[coverage],MATCH(Q181,techniques[name],0)),""),"")</f>
        <v/>
      </c>
      <c r="S181" s="45" t="n"/>
      <c r="T181" s="62">
        <f t="array" ref="T181">IF(S181&lt;&gt;"",IF(INDEX(techniques[coverage],MATCH(S181,techniques[name],0))&gt;0,INDEX(techniques[coverage],MATCH(S181,techniques[name],0)),""),"")</f>
        <v/>
      </c>
      <c r="U181" s="45" t="n"/>
      <c r="V181" s="62">
        <f t="array" ref="V181">IF(U181&lt;&gt;"",IF(INDEX(techniques[coverage],MATCH(U181,techniques[name],0))&gt;0,INDEX(techniques[coverage],MATCH(U181,techniques[name],0)),""),"")</f>
        <v/>
      </c>
      <c r="W181" s="45" t="n"/>
      <c r="X181" s="62">
        <f t="array" ref="X181">IF(W181&lt;&gt;"",IF(INDEX(techniques[coverage],MATCH(W181,techniques[name],0))&gt;0,INDEX(techniques[coverage],MATCH(W181,techniques[name],0)),""),"")</f>
        <v/>
      </c>
      <c r="Y181" s="45" t="n"/>
      <c r="Z181" s="62">
        <f t="array" ref="Z181">IF(Y181&lt;&gt;"",IF(INDEX(techniques[coverage],MATCH(Y181,techniques[name],0))&gt;0,INDEX(techniques[coverage],MATCH(Y181,techniques[name],0)),""),"")</f>
        <v/>
      </c>
      <c r="AA181" s="45" t="n"/>
      <c r="AB181" s="62">
        <f t="array" ref="AB181">IF(AA181&lt;&gt;"",IF(INDEX(techniques[coverage],MATCH(AA181,techniques[name],0))&gt;0,INDEX(techniques[coverage],MATCH(AA181,techniques[name],0)),""),"")</f>
        <v/>
      </c>
      <c r="AC181" s="45" t="n"/>
      <c r="AD181" s="62">
        <f t="array" ref="AD181">IF(AC181&lt;&gt;"",IF(INDEX(techniques[coverage],MATCH(AC181,techniques[name],0))&gt;0,INDEX(techniques[coverage],MATCH(AC181,techniques[name],0)),""),"")</f>
        <v/>
      </c>
    </row>
    <row r="182">
      <c r="A182" s="45" t="n"/>
      <c r="B182" s="62">
        <f t="array" ref="B182">IF(A182&lt;&gt;"",IF(INDEX(techniques[coverage],MATCH(A182,techniques[name],0))&gt;0,INDEX(techniques[coverage],MATCH(A182,techniques[name],0)),""),"")</f>
        <v/>
      </c>
      <c r="C182" s="45" t="n"/>
      <c r="D182" s="62">
        <f t="array" ref="D182">IF(C182&lt;&gt;"",IF(INDEX(techniques[coverage],MATCH(C182,techniques[name],0))&gt;0,INDEX(techniques[coverage],MATCH(C182,techniques[name],0)),""),"")</f>
        <v/>
      </c>
      <c r="E182" s="45" t="n"/>
      <c r="F182" s="62">
        <f t="array" ref="F182">IF(E182&lt;&gt;"",IF(INDEX(techniques[coverage],MATCH(E182,techniques[name],0))&gt;0,INDEX(techniques[coverage],MATCH(E182,techniques[name],0)),""),"")</f>
        <v/>
      </c>
      <c r="G182" s="45" t="n"/>
      <c r="H182" s="62">
        <f t="array" ref="H182">IF(G182&lt;&gt;"",IF(INDEX(techniques[coverage],MATCH(G182,techniques[name],0))&gt;0,INDEX(techniques[coverage],MATCH(G182,techniques[name],0)),""),"")</f>
        <v/>
      </c>
      <c r="I182" s="45" t="n"/>
      <c r="J182" s="62">
        <f t="array" ref="J182">IF(I182&lt;&gt;"",IF(INDEX(techniques[coverage],MATCH(I182,techniques[name],0))&gt;0,INDEX(techniques[coverage],MATCH(I182,techniques[name],0)),""),"")</f>
        <v/>
      </c>
      <c r="K182" s="45" t="n"/>
      <c r="L182" s="62">
        <f t="array" ref="L182">IF(K182&lt;&gt;"",IF(INDEX(techniques[coverage],MATCH(K182,techniques[name],0))&gt;0,INDEX(techniques[coverage],MATCH(K182,techniques[name],0)),""),"")</f>
        <v/>
      </c>
      <c r="M182" s="45" t="n"/>
      <c r="N182" s="62">
        <f t="array" ref="N182">IF(M182&lt;&gt;"",IF(INDEX(techniques[coverage],MATCH(M182,techniques[name],0))&gt;0,INDEX(techniques[coverage],MATCH(M182,techniques[name],0)),""),"")</f>
        <v/>
      </c>
      <c r="O182" s="45" t="n"/>
      <c r="P182" s="62">
        <f t="array" ref="P182">IF(O182&lt;&gt;"",IF(INDEX(techniques[coverage],MATCH(O182,techniques[name],0))&gt;0,INDEX(techniques[coverage],MATCH(O182,techniques[name],0)),""),"")</f>
        <v/>
      </c>
      <c r="Q182" s="45" t="n"/>
      <c r="R182" s="62">
        <f t="array" ref="R182">IF(Q182&lt;&gt;"",IF(INDEX(techniques[coverage],MATCH(Q182,techniques[name],0))&gt;0,INDEX(techniques[coverage],MATCH(Q182,techniques[name],0)),""),"")</f>
        <v/>
      </c>
      <c r="S182" s="45" t="n"/>
      <c r="T182" s="62">
        <f t="array" ref="T182">IF(S182&lt;&gt;"",IF(INDEX(techniques[coverage],MATCH(S182,techniques[name],0))&gt;0,INDEX(techniques[coverage],MATCH(S182,techniques[name],0)),""),"")</f>
        <v/>
      </c>
      <c r="U182" s="45" t="n"/>
      <c r="V182" s="62">
        <f t="array" ref="V182">IF(U182&lt;&gt;"",IF(INDEX(techniques[coverage],MATCH(U182,techniques[name],0))&gt;0,INDEX(techniques[coverage],MATCH(U182,techniques[name],0)),""),"")</f>
        <v/>
      </c>
      <c r="W182" s="45" t="n"/>
      <c r="X182" s="62">
        <f t="array" ref="X182">IF(W182&lt;&gt;"",IF(INDEX(techniques[coverage],MATCH(W182,techniques[name],0))&gt;0,INDEX(techniques[coverage],MATCH(W182,techniques[name],0)),""),"")</f>
        <v/>
      </c>
      <c r="Y182" s="45" t="n"/>
      <c r="Z182" s="62">
        <f t="array" ref="Z182">IF(Y182&lt;&gt;"",IF(INDEX(techniques[coverage],MATCH(Y182,techniques[name],0))&gt;0,INDEX(techniques[coverage],MATCH(Y182,techniques[name],0)),""),"")</f>
        <v/>
      </c>
      <c r="AA182" s="45" t="n"/>
      <c r="AB182" s="62">
        <f t="array" ref="AB182">IF(AA182&lt;&gt;"",IF(INDEX(techniques[coverage],MATCH(AA182,techniques[name],0))&gt;0,INDEX(techniques[coverage],MATCH(AA182,techniques[name],0)),""),"")</f>
        <v/>
      </c>
      <c r="AC182" s="45" t="n"/>
      <c r="AD182" s="62">
        <f t="array" ref="AD182">IF(AC182&lt;&gt;"",IF(INDEX(techniques[coverage],MATCH(AC182,techniques[name],0))&gt;0,INDEX(techniques[coverage],MATCH(AC182,techniques[name],0)),""),"")</f>
        <v/>
      </c>
    </row>
    <row r="183">
      <c r="A183" s="45" t="n"/>
      <c r="B183" s="62">
        <f t="array" ref="B183">IF(A183&lt;&gt;"",IF(INDEX(techniques[coverage],MATCH(A183,techniques[name],0))&gt;0,INDEX(techniques[coverage],MATCH(A183,techniques[name],0)),""),"")</f>
        <v/>
      </c>
      <c r="C183" s="45" t="n"/>
      <c r="D183" s="62">
        <f t="array" ref="D183">IF(C183&lt;&gt;"",IF(INDEX(techniques[coverage],MATCH(C183,techniques[name],0))&gt;0,INDEX(techniques[coverage],MATCH(C183,techniques[name],0)),""),"")</f>
        <v/>
      </c>
      <c r="E183" s="45" t="n"/>
      <c r="F183" s="62">
        <f t="array" ref="F183">IF(E183&lt;&gt;"",IF(INDEX(techniques[coverage],MATCH(E183,techniques[name],0))&gt;0,INDEX(techniques[coverage],MATCH(E183,techniques[name],0)),""),"")</f>
        <v/>
      </c>
      <c r="G183" s="45" t="n"/>
      <c r="H183" s="62">
        <f t="array" ref="H183">IF(G183&lt;&gt;"",IF(INDEX(techniques[coverage],MATCH(G183,techniques[name],0))&gt;0,INDEX(techniques[coverage],MATCH(G183,techniques[name],0)),""),"")</f>
        <v/>
      </c>
      <c r="I183" s="45" t="n"/>
      <c r="J183" s="62">
        <f t="array" ref="J183">IF(I183&lt;&gt;"",IF(INDEX(techniques[coverage],MATCH(I183,techniques[name],0))&gt;0,INDEX(techniques[coverage],MATCH(I183,techniques[name],0)),""),"")</f>
        <v/>
      </c>
      <c r="K183" s="45" t="n"/>
      <c r="L183" s="62">
        <f t="array" ref="L183">IF(K183&lt;&gt;"",IF(INDEX(techniques[coverage],MATCH(K183,techniques[name],0))&gt;0,INDEX(techniques[coverage],MATCH(K183,techniques[name],0)),""),"")</f>
        <v/>
      </c>
      <c r="M183" s="45" t="n"/>
      <c r="N183" s="62">
        <f t="array" ref="N183">IF(M183&lt;&gt;"",IF(INDEX(techniques[coverage],MATCH(M183,techniques[name],0))&gt;0,INDEX(techniques[coverage],MATCH(M183,techniques[name],0)),""),"")</f>
        <v/>
      </c>
      <c r="O183" s="45" t="n"/>
      <c r="P183" s="62">
        <f t="array" ref="P183">IF(O183&lt;&gt;"",IF(INDEX(techniques[coverage],MATCH(O183,techniques[name],0))&gt;0,INDEX(techniques[coverage],MATCH(O183,techniques[name],0)),""),"")</f>
        <v/>
      </c>
      <c r="Q183" s="45" t="n"/>
      <c r="R183" s="62">
        <f t="array" ref="R183">IF(Q183&lt;&gt;"",IF(INDEX(techniques[coverage],MATCH(Q183,techniques[name],0))&gt;0,INDEX(techniques[coverage],MATCH(Q183,techniques[name],0)),""),"")</f>
        <v/>
      </c>
      <c r="S183" s="45" t="n"/>
      <c r="T183" s="62">
        <f t="array" ref="T183">IF(S183&lt;&gt;"",IF(INDEX(techniques[coverage],MATCH(S183,techniques[name],0))&gt;0,INDEX(techniques[coverage],MATCH(S183,techniques[name],0)),""),"")</f>
        <v/>
      </c>
      <c r="U183" s="45" t="n"/>
      <c r="V183" s="62">
        <f t="array" ref="V183">IF(U183&lt;&gt;"",IF(INDEX(techniques[coverage],MATCH(U183,techniques[name],0))&gt;0,INDEX(techniques[coverage],MATCH(U183,techniques[name],0)),""),"")</f>
        <v/>
      </c>
      <c r="W183" s="45" t="n"/>
      <c r="X183" s="62">
        <f t="array" ref="X183">IF(W183&lt;&gt;"",IF(INDEX(techniques[coverage],MATCH(W183,techniques[name],0))&gt;0,INDEX(techniques[coverage],MATCH(W183,techniques[name],0)),""),"")</f>
        <v/>
      </c>
      <c r="Y183" s="45" t="n"/>
      <c r="Z183" s="62">
        <f t="array" ref="Z183">IF(Y183&lt;&gt;"",IF(INDEX(techniques[coverage],MATCH(Y183,techniques[name],0))&gt;0,INDEX(techniques[coverage],MATCH(Y183,techniques[name],0)),""),"")</f>
        <v/>
      </c>
      <c r="AA183" s="45" t="n"/>
      <c r="AB183" s="62">
        <f t="array" ref="AB183">IF(AA183&lt;&gt;"",IF(INDEX(techniques[coverage],MATCH(AA183,techniques[name],0))&gt;0,INDEX(techniques[coverage],MATCH(AA183,techniques[name],0)),""),"")</f>
        <v/>
      </c>
      <c r="AC183" s="45" t="n"/>
      <c r="AD183" s="62">
        <f t="array" ref="AD183">IF(AC183&lt;&gt;"",IF(INDEX(techniques[coverage],MATCH(AC183,techniques[name],0))&gt;0,INDEX(techniques[coverage],MATCH(AC183,techniques[name],0)),""),"")</f>
        <v/>
      </c>
    </row>
    <row r="184">
      <c r="A184" s="45" t="n"/>
      <c r="B184" s="62">
        <f t="array" ref="B184">IF(A184&lt;&gt;"",IF(INDEX(techniques[coverage],MATCH(A184,techniques[name],0))&gt;0,INDEX(techniques[coverage],MATCH(A184,techniques[name],0)),""),"")</f>
        <v/>
      </c>
      <c r="C184" s="45" t="n"/>
      <c r="D184" s="62">
        <f t="array" ref="D184">IF(C184&lt;&gt;"",IF(INDEX(techniques[coverage],MATCH(C184,techniques[name],0))&gt;0,INDEX(techniques[coverage],MATCH(C184,techniques[name],0)),""),"")</f>
        <v/>
      </c>
      <c r="E184" s="45" t="n"/>
      <c r="F184" s="62">
        <f t="array" ref="F184">IF(E184&lt;&gt;"",IF(INDEX(techniques[coverage],MATCH(E184,techniques[name],0))&gt;0,INDEX(techniques[coverage],MATCH(E184,techniques[name],0)),""),"")</f>
        <v/>
      </c>
      <c r="G184" s="45" t="n"/>
      <c r="H184" s="62">
        <f t="array" ref="H184">IF(G184&lt;&gt;"",IF(INDEX(techniques[coverage],MATCH(G184,techniques[name],0))&gt;0,INDEX(techniques[coverage],MATCH(G184,techniques[name],0)),""),"")</f>
        <v/>
      </c>
      <c r="I184" s="45" t="n"/>
      <c r="J184" s="62">
        <f t="array" ref="J184">IF(I184&lt;&gt;"",IF(INDEX(techniques[coverage],MATCH(I184,techniques[name],0))&gt;0,INDEX(techniques[coverage],MATCH(I184,techniques[name],0)),""),"")</f>
        <v/>
      </c>
      <c r="K184" s="45" t="n"/>
      <c r="L184" s="62">
        <f t="array" ref="L184">IF(K184&lt;&gt;"",IF(INDEX(techniques[coverage],MATCH(K184,techniques[name],0))&gt;0,INDEX(techniques[coverage],MATCH(K184,techniques[name],0)),""),"")</f>
        <v/>
      </c>
      <c r="M184" s="45" t="n"/>
      <c r="N184" s="62">
        <f t="array" ref="N184">IF(M184&lt;&gt;"",IF(INDEX(techniques[coverage],MATCH(M184,techniques[name],0))&gt;0,INDEX(techniques[coverage],MATCH(M184,techniques[name],0)),""),"")</f>
        <v/>
      </c>
      <c r="O184" s="45" t="n"/>
      <c r="P184" s="62">
        <f t="array" ref="P184">IF(O184&lt;&gt;"",IF(INDEX(techniques[coverage],MATCH(O184,techniques[name],0))&gt;0,INDEX(techniques[coverage],MATCH(O184,techniques[name],0)),""),"")</f>
        <v/>
      </c>
      <c r="Q184" s="45" t="n"/>
      <c r="R184" s="62">
        <f t="array" ref="R184">IF(Q184&lt;&gt;"",IF(INDEX(techniques[coverage],MATCH(Q184,techniques[name],0))&gt;0,INDEX(techniques[coverage],MATCH(Q184,techniques[name],0)),""),"")</f>
        <v/>
      </c>
      <c r="S184" s="45" t="n"/>
      <c r="T184" s="62">
        <f t="array" ref="T184">IF(S184&lt;&gt;"",IF(INDEX(techniques[coverage],MATCH(S184,techniques[name],0))&gt;0,INDEX(techniques[coverage],MATCH(S184,techniques[name],0)),""),"")</f>
        <v/>
      </c>
      <c r="U184" s="45" t="n"/>
      <c r="V184" s="62">
        <f t="array" ref="V184">IF(U184&lt;&gt;"",IF(INDEX(techniques[coverage],MATCH(U184,techniques[name],0))&gt;0,INDEX(techniques[coverage],MATCH(U184,techniques[name],0)),""),"")</f>
        <v/>
      </c>
      <c r="W184" s="45" t="n"/>
      <c r="X184" s="62">
        <f t="array" ref="X184">IF(W184&lt;&gt;"",IF(INDEX(techniques[coverage],MATCH(W184,techniques[name],0))&gt;0,INDEX(techniques[coverage],MATCH(W184,techniques[name],0)),""),"")</f>
        <v/>
      </c>
      <c r="Y184" s="45" t="n"/>
      <c r="Z184" s="62">
        <f t="array" ref="Z184">IF(Y184&lt;&gt;"",IF(INDEX(techniques[coverage],MATCH(Y184,techniques[name],0))&gt;0,INDEX(techniques[coverage],MATCH(Y184,techniques[name],0)),""),"")</f>
        <v/>
      </c>
      <c r="AA184" s="45" t="n"/>
      <c r="AB184" s="62">
        <f t="array" ref="AB184">IF(AA184&lt;&gt;"",IF(INDEX(techniques[coverage],MATCH(AA184,techniques[name],0))&gt;0,INDEX(techniques[coverage],MATCH(AA184,techniques[name],0)),""),"")</f>
        <v/>
      </c>
      <c r="AC184" s="45" t="n"/>
      <c r="AD184" s="62">
        <f t="array" ref="AD184">IF(AC184&lt;&gt;"",IF(INDEX(techniques[coverage],MATCH(AC184,techniques[name],0))&gt;0,INDEX(techniques[coverage],MATCH(AC184,techniques[name],0)),""),"")</f>
        <v/>
      </c>
    </row>
    <row r="185">
      <c r="A185" s="45" t="n"/>
      <c r="B185" s="62">
        <f t="array" ref="B185">IF(A185&lt;&gt;"",IF(INDEX(techniques[coverage],MATCH(A185,techniques[name],0))&gt;0,INDEX(techniques[coverage],MATCH(A185,techniques[name],0)),""),"")</f>
        <v/>
      </c>
      <c r="C185" s="45" t="n"/>
      <c r="D185" s="62">
        <f t="array" ref="D185">IF(C185&lt;&gt;"",IF(INDEX(techniques[coverage],MATCH(C185,techniques[name],0))&gt;0,INDEX(techniques[coverage],MATCH(C185,techniques[name],0)),""),"")</f>
        <v/>
      </c>
      <c r="E185" s="45" t="n"/>
      <c r="F185" s="62">
        <f t="array" ref="F185">IF(E185&lt;&gt;"",IF(INDEX(techniques[coverage],MATCH(E185,techniques[name],0))&gt;0,INDEX(techniques[coverage],MATCH(E185,techniques[name],0)),""),"")</f>
        <v/>
      </c>
      <c r="G185" s="45" t="n"/>
      <c r="H185" s="62">
        <f t="array" ref="H185">IF(G185&lt;&gt;"",IF(INDEX(techniques[coverage],MATCH(G185,techniques[name],0))&gt;0,INDEX(techniques[coverage],MATCH(G185,techniques[name],0)),""),"")</f>
        <v/>
      </c>
      <c r="I185" s="45" t="n"/>
      <c r="J185" s="62">
        <f t="array" ref="J185">IF(I185&lt;&gt;"",IF(INDEX(techniques[coverage],MATCH(I185,techniques[name],0))&gt;0,INDEX(techniques[coverage],MATCH(I185,techniques[name],0)),""),"")</f>
        <v/>
      </c>
      <c r="K185" s="45" t="n"/>
      <c r="L185" s="62">
        <f t="array" ref="L185">IF(K185&lt;&gt;"",IF(INDEX(techniques[coverage],MATCH(K185,techniques[name],0))&gt;0,INDEX(techniques[coverage],MATCH(K185,techniques[name],0)),""),"")</f>
        <v/>
      </c>
      <c r="M185" s="45" t="n"/>
      <c r="N185" s="62">
        <f t="array" ref="N185">IF(M185&lt;&gt;"",IF(INDEX(techniques[coverage],MATCH(M185,techniques[name],0))&gt;0,INDEX(techniques[coverage],MATCH(M185,techniques[name],0)),""),"")</f>
        <v/>
      </c>
      <c r="O185" s="45" t="n"/>
      <c r="P185" s="62">
        <f t="array" ref="P185">IF(O185&lt;&gt;"",IF(INDEX(techniques[coverage],MATCH(O185,techniques[name],0))&gt;0,INDEX(techniques[coverage],MATCH(O185,techniques[name],0)),""),"")</f>
        <v/>
      </c>
      <c r="Q185" s="45" t="n"/>
      <c r="R185" s="62">
        <f t="array" ref="R185">IF(Q185&lt;&gt;"",IF(INDEX(techniques[coverage],MATCH(Q185,techniques[name],0))&gt;0,INDEX(techniques[coverage],MATCH(Q185,techniques[name],0)),""),"")</f>
        <v/>
      </c>
      <c r="S185" s="45" t="n"/>
      <c r="T185" s="62">
        <f t="array" ref="T185">IF(S185&lt;&gt;"",IF(INDEX(techniques[coverage],MATCH(S185,techniques[name],0))&gt;0,INDEX(techniques[coverage],MATCH(S185,techniques[name],0)),""),"")</f>
        <v/>
      </c>
      <c r="U185" s="45" t="n"/>
      <c r="V185" s="62">
        <f t="array" ref="V185">IF(U185&lt;&gt;"",IF(INDEX(techniques[coverage],MATCH(U185,techniques[name],0))&gt;0,INDEX(techniques[coverage],MATCH(U185,techniques[name],0)),""),"")</f>
        <v/>
      </c>
      <c r="W185" s="45" t="n"/>
      <c r="X185" s="62">
        <f t="array" ref="X185">IF(W185&lt;&gt;"",IF(INDEX(techniques[coverage],MATCH(W185,techniques[name],0))&gt;0,INDEX(techniques[coverage],MATCH(W185,techniques[name],0)),""),"")</f>
        <v/>
      </c>
      <c r="Y185" s="45" t="n"/>
      <c r="Z185" s="62">
        <f t="array" ref="Z185">IF(Y185&lt;&gt;"",IF(INDEX(techniques[coverage],MATCH(Y185,techniques[name],0))&gt;0,INDEX(techniques[coverage],MATCH(Y185,techniques[name],0)),""),"")</f>
        <v/>
      </c>
      <c r="AA185" s="45" t="n"/>
      <c r="AB185" s="62">
        <f t="array" ref="AB185">IF(AA185&lt;&gt;"",IF(INDEX(techniques[coverage],MATCH(AA185,techniques[name],0))&gt;0,INDEX(techniques[coverage],MATCH(AA185,techniques[name],0)),""),"")</f>
        <v/>
      </c>
      <c r="AC185" s="45" t="n"/>
      <c r="AD185" s="62">
        <f t="array" ref="AD185">IF(AC185&lt;&gt;"",IF(INDEX(techniques[coverage],MATCH(AC185,techniques[name],0))&gt;0,INDEX(techniques[coverage],MATCH(AC185,techniques[name],0)),""),"")</f>
        <v/>
      </c>
    </row>
    <row r="186">
      <c r="A186" s="45" t="n"/>
      <c r="B186" s="62">
        <f t="array" ref="B186">IF(A186&lt;&gt;"",IF(INDEX(techniques[coverage],MATCH(A186,techniques[name],0))&gt;0,INDEX(techniques[coverage],MATCH(A186,techniques[name],0)),""),"")</f>
        <v/>
      </c>
      <c r="C186" s="45" t="n"/>
      <c r="D186" s="62">
        <f t="array" ref="D186">IF(C186&lt;&gt;"",IF(INDEX(techniques[coverage],MATCH(C186,techniques[name],0))&gt;0,INDEX(techniques[coverage],MATCH(C186,techniques[name],0)),""),"")</f>
        <v/>
      </c>
      <c r="E186" s="45" t="n"/>
      <c r="F186" s="62">
        <f t="array" ref="F186">IF(E186&lt;&gt;"",IF(INDEX(techniques[coverage],MATCH(E186,techniques[name],0))&gt;0,INDEX(techniques[coverage],MATCH(E186,techniques[name],0)),""),"")</f>
        <v/>
      </c>
      <c r="G186" s="45" t="n"/>
      <c r="H186" s="62">
        <f t="array" ref="H186">IF(G186&lt;&gt;"",IF(INDEX(techniques[coverage],MATCH(G186,techniques[name],0))&gt;0,INDEX(techniques[coverage],MATCH(G186,techniques[name],0)),""),"")</f>
        <v/>
      </c>
      <c r="I186" s="45" t="n"/>
      <c r="J186" s="62">
        <f t="array" ref="J186">IF(I186&lt;&gt;"",IF(INDEX(techniques[coverage],MATCH(I186,techniques[name],0))&gt;0,INDEX(techniques[coverage],MATCH(I186,techniques[name],0)),""),"")</f>
        <v/>
      </c>
      <c r="K186" s="45" t="n"/>
      <c r="L186" s="62">
        <f t="array" ref="L186">IF(K186&lt;&gt;"",IF(INDEX(techniques[coverage],MATCH(K186,techniques[name],0))&gt;0,INDEX(techniques[coverage],MATCH(K186,techniques[name],0)),""),"")</f>
        <v/>
      </c>
      <c r="M186" s="45" t="n"/>
      <c r="N186" s="62">
        <f t="array" ref="N186">IF(M186&lt;&gt;"",IF(INDEX(techniques[coverage],MATCH(M186,techniques[name],0))&gt;0,INDEX(techniques[coverage],MATCH(M186,techniques[name],0)),""),"")</f>
        <v/>
      </c>
      <c r="O186" s="45" t="n"/>
      <c r="P186" s="62">
        <f t="array" ref="P186">IF(O186&lt;&gt;"",IF(INDEX(techniques[coverage],MATCH(O186,techniques[name],0))&gt;0,INDEX(techniques[coverage],MATCH(O186,techniques[name],0)),""),"")</f>
        <v/>
      </c>
      <c r="Q186" s="45" t="n"/>
      <c r="R186" s="62">
        <f t="array" ref="R186">IF(Q186&lt;&gt;"",IF(INDEX(techniques[coverage],MATCH(Q186,techniques[name],0))&gt;0,INDEX(techniques[coverage],MATCH(Q186,techniques[name],0)),""),"")</f>
        <v/>
      </c>
      <c r="S186" s="45" t="n"/>
      <c r="T186" s="62">
        <f t="array" ref="T186">IF(S186&lt;&gt;"",IF(INDEX(techniques[coverage],MATCH(S186,techniques[name],0))&gt;0,INDEX(techniques[coverage],MATCH(S186,techniques[name],0)),""),"")</f>
        <v/>
      </c>
      <c r="U186" s="45" t="n"/>
      <c r="V186" s="62">
        <f t="array" ref="V186">IF(U186&lt;&gt;"",IF(INDEX(techniques[coverage],MATCH(U186,techniques[name],0))&gt;0,INDEX(techniques[coverage],MATCH(U186,techniques[name],0)),""),"")</f>
        <v/>
      </c>
      <c r="W186" s="45" t="n"/>
      <c r="X186" s="62">
        <f t="array" ref="X186">IF(W186&lt;&gt;"",IF(INDEX(techniques[coverage],MATCH(W186,techniques[name],0))&gt;0,INDEX(techniques[coverage],MATCH(W186,techniques[name],0)),""),"")</f>
        <v/>
      </c>
      <c r="Y186" s="45" t="n"/>
      <c r="Z186" s="62">
        <f t="array" ref="Z186">IF(Y186&lt;&gt;"",IF(INDEX(techniques[coverage],MATCH(Y186,techniques[name],0))&gt;0,INDEX(techniques[coverage],MATCH(Y186,techniques[name],0)),""),"")</f>
        <v/>
      </c>
      <c r="AA186" s="45" t="n"/>
      <c r="AB186" s="62">
        <f t="array" ref="AB186">IF(AA186&lt;&gt;"",IF(INDEX(techniques[coverage],MATCH(AA186,techniques[name],0))&gt;0,INDEX(techniques[coverage],MATCH(AA186,techniques[name],0)),""),"")</f>
        <v/>
      </c>
      <c r="AC186" s="45" t="n"/>
      <c r="AD186" s="62">
        <f t="array" ref="AD186">IF(AC186&lt;&gt;"",IF(INDEX(techniques[coverage],MATCH(AC186,techniques[name],0))&gt;0,INDEX(techniques[coverage],MATCH(AC186,techniques[name],0)),""),"")</f>
        <v/>
      </c>
    </row>
    <row r="187">
      <c r="A187" s="45" t="n"/>
      <c r="B187" s="62">
        <f t="array" ref="B187">IF(A187&lt;&gt;"",IF(INDEX(techniques[coverage],MATCH(A187,techniques[name],0))&gt;0,INDEX(techniques[coverage],MATCH(A187,techniques[name],0)),""),"")</f>
        <v/>
      </c>
      <c r="C187" s="45" t="n"/>
      <c r="D187" s="62">
        <f t="array" ref="D187">IF(C187&lt;&gt;"",IF(INDEX(techniques[coverage],MATCH(C187,techniques[name],0))&gt;0,INDEX(techniques[coverage],MATCH(C187,techniques[name],0)),""),"")</f>
        <v/>
      </c>
      <c r="E187" s="45" t="n"/>
      <c r="F187" s="62">
        <f t="array" ref="F187">IF(E187&lt;&gt;"",IF(INDEX(techniques[coverage],MATCH(E187,techniques[name],0))&gt;0,INDEX(techniques[coverage],MATCH(E187,techniques[name],0)),""),"")</f>
        <v/>
      </c>
      <c r="G187" s="45" t="n"/>
      <c r="H187" s="62">
        <f t="array" ref="H187">IF(G187&lt;&gt;"",IF(INDEX(techniques[coverage],MATCH(G187,techniques[name],0))&gt;0,INDEX(techniques[coverage],MATCH(G187,techniques[name],0)),""),"")</f>
        <v/>
      </c>
      <c r="I187" s="45" t="n"/>
      <c r="J187" s="62">
        <f t="array" ref="J187">IF(I187&lt;&gt;"",IF(INDEX(techniques[coverage],MATCH(I187,techniques[name],0))&gt;0,INDEX(techniques[coverage],MATCH(I187,techniques[name],0)),""),"")</f>
        <v/>
      </c>
      <c r="K187" s="45" t="n"/>
      <c r="L187" s="62">
        <f t="array" ref="L187">IF(K187&lt;&gt;"",IF(INDEX(techniques[coverage],MATCH(K187,techniques[name],0))&gt;0,INDEX(techniques[coverage],MATCH(K187,techniques[name],0)),""),"")</f>
        <v/>
      </c>
      <c r="M187" s="45" t="n"/>
      <c r="N187" s="62">
        <f t="array" ref="N187">IF(M187&lt;&gt;"",IF(INDEX(techniques[coverage],MATCH(M187,techniques[name],0))&gt;0,INDEX(techniques[coverage],MATCH(M187,techniques[name],0)),""),"")</f>
        <v/>
      </c>
      <c r="O187" s="45" t="n"/>
      <c r="P187" s="62">
        <f t="array" ref="P187">IF(O187&lt;&gt;"",IF(INDEX(techniques[coverage],MATCH(O187,techniques[name],0))&gt;0,INDEX(techniques[coverage],MATCH(O187,techniques[name],0)),""),"")</f>
        <v/>
      </c>
      <c r="Q187" s="45" t="n"/>
      <c r="R187" s="62">
        <f t="array" ref="R187">IF(Q187&lt;&gt;"",IF(INDEX(techniques[coverage],MATCH(Q187,techniques[name],0))&gt;0,INDEX(techniques[coverage],MATCH(Q187,techniques[name],0)),""),"")</f>
        <v/>
      </c>
      <c r="S187" s="45" t="n"/>
      <c r="T187" s="62">
        <f t="array" ref="T187">IF(S187&lt;&gt;"",IF(INDEX(techniques[coverage],MATCH(S187,techniques[name],0))&gt;0,INDEX(techniques[coverage],MATCH(S187,techniques[name],0)),""),"")</f>
        <v/>
      </c>
      <c r="U187" s="45" t="n"/>
      <c r="V187" s="62">
        <f t="array" ref="V187">IF(U187&lt;&gt;"",IF(INDEX(techniques[coverage],MATCH(U187,techniques[name],0))&gt;0,INDEX(techniques[coverage],MATCH(U187,techniques[name],0)),""),"")</f>
        <v/>
      </c>
      <c r="W187" s="45" t="n"/>
      <c r="X187" s="62">
        <f t="array" ref="X187">IF(W187&lt;&gt;"",IF(INDEX(techniques[coverage],MATCH(W187,techniques[name],0))&gt;0,INDEX(techniques[coverage],MATCH(W187,techniques[name],0)),""),"")</f>
        <v/>
      </c>
      <c r="Y187" s="45" t="n"/>
      <c r="Z187" s="62">
        <f t="array" ref="Z187">IF(Y187&lt;&gt;"",IF(INDEX(techniques[coverage],MATCH(Y187,techniques[name],0))&gt;0,INDEX(techniques[coverage],MATCH(Y187,techniques[name],0)),""),"")</f>
        <v/>
      </c>
      <c r="AA187" s="45" t="n"/>
      <c r="AB187" s="62">
        <f t="array" ref="AB187">IF(AA187&lt;&gt;"",IF(INDEX(techniques[coverage],MATCH(AA187,techniques[name],0))&gt;0,INDEX(techniques[coverage],MATCH(AA187,techniques[name],0)),""),"")</f>
        <v/>
      </c>
      <c r="AC187" s="45" t="n"/>
      <c r="AD187" s="62">
        <f t="array" ref="AD187">IF(AC187&lt;&gt;"",IF(INDEX(techniques[coverage],MATCH(AC187,techniques[name],0))&gt;0,INDEX(techniques[coverage],MATCH(AC187,techniques[name],0)),""),"")</f>
        <v/>
      </c>
    </row>
    <row r="188">
      <c r="A188" s="45" t="n"/>
      <c r="B188" s="62">
        <f t="array" ref="B188">IF(A188&lt;&gt;"",IF(INDEX(techniques[coverage],MATCH(A188,techniques[name],0))&gt;0,INDEX(techniques[coverage],MATCH(A188,techniques[name],0)),""),"")</f>
        <v/>
      </c>
      <c r="C188" s="45" t="n"/>
      <c r="D188" s="62">
        <f t="array" ref="D188">IF(C188&lt;&gt;"",IF(INDEX(techniques[coverage],MATCH(C188,techniques[name],0))&gt;0,INDEX(techniques[coverage],MATCH(C188,techniques[name],0)),""),"")</f>
        <v/>
      </c>
      <c r="E188" s="45" t="n"/>
      <c r="F188" s="62">
        <f t="array" ref="F188">IF(E188&lt;&gt;"",IF(INDEX(techniques[coverage],MATCH(E188,techniques[name],0))&gt;0,INDEX(techniques[coverage],MATCH(E188,techniques[name],0)),""),"")</f>
        <v/>
      </c>
      <c r="G188" s="45" t="n"/>
      <c r="H188" s="62">
        <f t="array" ref="H188">IF(G188&lt;&gt;"",IF(INDEX(techniques[coverage],MATCH(G188,techniques[name],0))&gt;0,INDEX(techniques[coverage],MATCH(G188,techniques[name],0)),""),"")</f>
        <v/>
      </c>
      <c r="I188" s="45" t="n"/>
      <c r="J188" s="62">
        <f t="array" ref="J188">IF(I188&lt;&gt;"",IF(INDEX(techniques[coverage],MATCH(I188,techniques[name],0))&gt;0,INDEX(techniques[coverage],MATCH(I188,techniques[name],0)),""),"")</f>
        <v/>
      </c>
      <c r="K188" s="45" t="n"/>
      <c r="L188" s="62">
        <f t="array" ref="L188">IF(K188&lt;&gt;"",IF(INDEX(techniques[coverage],MATCH(K188,techniques[name],0))&gt;0,INDEX(techniques[coverage],MATCH(K188,techniques[name],0)),""),"")</f>
        <v/>
      </c>
      <c r="M188" s="45" t="n"/>
      <c r="N188" s="62">
        <f t="array" ref="N188">IF(M188&lt;&gt;"",IF(INDEX(techniques[coverage],MATCH(M188,techniques[name],0))&gt;0,INDEX(techniques[coverage],MATCH(M188,techniques[name],0)),""),"")</f>
        <v/>
      </c>
      <c r="O188" s="45" t="n"/>
      <c r="P188" s="62">
        <f t="array" ref="P188">IF(O188&lt;&gt;"",IF(INDEX(techniques[coverage],MATCH(O188,techniques[name],0))&gt;0,INDEX(techniques[coverage],MATCH(O188,techniques[name],0)),""),"")</f>
        <v/>
      </c>
      <c r="Q188" s="45" t="n"/>
      <c r="R188" s="62">
        <f t="array" ref="R188">IF(Q188&lt;&gt;"",IF(INDEX(techniques[coverage],MATCH(Q188,techniques[name],0))&gt;0,INDEX(techniques[coverage],MATCH(Q188,techniques[name],0)),""),"")</f>
        <v/>
      </c>
      <c r="S188" s="45" t="n"/>
      <c r="T188" s="62">
        <f t="array" ref="T188">IF(S188&lt;&gt;"",IF(INDEX(techniques[coverage],MATCH(S188,techniques[name],0))&gt;0,INDEX(techniques[coverage],MATCH(S188,techniques[name],0)),""),"")</f>
        <v/>
      </c>
      <c r="U188" s="45" t="n"/>
      <c r="V188" s="62">
        <f t="array" ref="V188">IF(U188&lt;&gt;"",IF(INDEX(techniques[coverage],MATCH(U188,techniques[name],0))&gt;0,INDEX(techniques[coverage],MATCH(U188,techniques[name],0)),""),"")</f>
        <v/>
      </c>
      <c r="W188" s="45" t="n"/>
      <c r="X188" s="62">
        <f t="array" ref="X188">IF(W188&lt;&gt;"",IF(INDEX(techniques[coverage],MATCH(W188,techniques[name],0))&gt;0,INDEX(techniques[coverage],MATCH(W188,techniques[name],0)),""),"")</f>
        <v/>
      </c>
      <c r="Y188" s="45" t="n"/>
      <c r="Z188" s="62">
        <f t="array" ref="Z188">IF(Y188&lt;&gt;"",IF(INDEX(techniques[coverage],MATCH(Y188,techniques[name],0))&gt;0,INDEX(techniques[coverage],MATCH(Y188,techniques[name],0)),""),"")</f>
        <v/>
      </c>
      <c r="AA188" s="45" t="n"/>
      <c r="AB188" s="62">
        <f t="array" ref="AB188">IF(AA188&lt;&gt;"",IF(INDEX(techniques[coverage],MATCH(AA188,techniques[name],0))&gt;0,INDEX(techniques[coverage],MATCH(AA188,techniques[name],0)),""),"")</f>
        <v/>
      </c>
      <c r="AC188" s="45" t="n"/>
      <c r="AD188" s="62">
        <f t="array" ref="AD188">IF(AC188&lt;&gt;"",IF(INDEX(techniques[coverage],MATCH(AC188,techniques[name],0))&gt;0,INDEX(techniques[coverage],MATCH(AC188,techniques[name],0)),""),"")</f>
        <v/>
      </c>
    </row>
    <row r="189">
      <c r="A189" s="45" t="n"/>
      <c r="B189" s="62">
        <f t="array" ref="B189">IF(A189&lt;&gt;"",IF(INDEX(techniques[coverage],MATCH(A189,techniques[name],0))&gt;0,INDEX(techniques[coverage],MATCH(A189,techniques[name],0)),""),"")</f>
        <v/>
      </c>
      <c r="C189" s="45" t="n"/>
      <c r="D189" s="62">
        <f t="array" ref="D189">IF(C189&lt;&gt;"",IF(INDEX(techniques[coverage],MATCH(C189,techniques[name],0))&gt;0,INDEX(techniques[coverage],MATCH(C189,techniques[name],0)),""),"")</f>
        <v/>
      </c>
      <c r="E189" s="45" t="n"/>
      <c r="F189" s="62">
        <f t="array" ref="F189">IF(E189&lt;&gt;"",IF(INDEX(techniques[coverage],MATCH(E189,techniques[name],0))&gt;0,INDEX(techniques[coverage],MATCH(E189,techniques[name],0)),""),"")</f>
        <v/>
      </c>
      <c r="G189" s="45" t="n"/>
      <c r="H189" s="62">
        <f t="array" ref="H189">IF(G189&lt;&gt;"",IF(INDEX(techniques[coverage],MATCH(G189,techniques[name],0))&gt;0,INDEX(techniques[coverage],MATCH(G189,techniques[name],0)),""),"")</f>
        <v/>
      </c>
      <c r="I189" s="45" t="n"/>
      <c r="J189" s="62">
        <f t="array" ref="J189">IF(I189&lt;&gt;"",IF(INDEX(techniques[coverage],MATCH(I189,techniques[name],0))&gt;0,INDEX(techniques[coverage],MATCH(I189,techniques[name],0)),""),"")</f>
        <v/>
      </c>
      <c r="K189" s="45" t="n"/>
      <c r="L189" s="62">
        <f t="array" ref="L189">IF(K189&lt;&gt;"",IF(INDEX(techniques[coverage],MATCH(K189,techniques[name],0))&gt;0,INDEX(techniques[coverage],MATCH(K189,techniques[name],0)),""),"")</f>
        <v/>
      </c>
      <c r="M189" s="45" t="n"/>
      <c r="N189" s="62">
        <f t="array" ref="N189">IF(M189&lt;&gt;"",IF(INDEX(techniques[coverage],MATCH(M189,techniques[name],0))&gt;0,INDEX(techniques[coverage],MATCH(M189,techniques[name],0)),""),"")</f>
        <v/>
      </c>
      <c r="O189" s="45" t="n"/>
      <c r="P189" s="62">
        <f t="array" ref="P189">IF(O189&lt;&gt;"",IF(INDEX(techniques[coverage],MATCH(O189,techniques[name],0))&gt;0,INDEX(techniques[coverage],MATCH(O189,techniques[name],0)),""),"")</f>
        <v/>
      </c>
      <c r="Q189" s="45" t="n"/>
      <c r="R189" s="62">
        <f t="array" ref="R189">IF(Q189&lt;&gt;"",IF(INDEX(techniques[coverage],MATCH(Q189,techniques[name],0))&gt;0,INDEX(techniques[coverage],MATCH(Q189,techniques[name],0)),""),"")</f>
        <v/>
      </c>
      <c r="S189" s="45" t="n"/>
      <c r="T189" s="62">
        <f t="array" ref="T189">IF(S189&lt;&gt;"",IF(INDEX(techniques[coverage],MATCH(S189,techniques[name],0))&gt;0,INDEX(techniques[coverage],MATCH(S189,techniques[name],0)),""),"")</f>
        <v/>
      </c>
      <c r="U189" s="45" t="n"/>
      <c r="V189" s="62">
        <f t="array" ref="V189">IF(U189&lt;&gt;"",IF(INDEX(techniques[coverage],MATCH(U189,techniques[name],0))&gt;0,INDEX(techniques[coverage],MATCH(U189,techniques[name],0)),""),"")</f>
        <v/>
      </c>
      <c r="W189" s="45" t="n"/>
      <c r="X189" s="62">
        <f t="array" ref="X189">IF(W189&lt;&gt;"",IF(INDEX(techniques[coverage],MATCH(W189,techniques[name],0))&gt;0,INDEX(techniques[coverage],MATCH(W189,techniques[name],0)),""),"")</f>
        <v/>
      </c>
      <c r="Y189" s="45" t="n"/>
      <c r="Z189" s="62">
        <f t="array" ref="Z189">IF(Y189&lt;&gt;"",IF(INDEX(techniques[coverage],MATCH(Y189,techniques[name],0))&gt;0,INDEX(techniques[coverage],MATCH(Y189,techniques[name],0)),""),"")</f>
        <v/>
      </c>
      <c r="AA189" s="45" t="n"/>
      <c r="AB189" s="62">
        <f t="array" ref="AB189">IF(AA189&lt;&gt;"",IF(INDEX(techniques[coverage],MATCH(AA189,techniques[name],0))&gt;0,INDEX(techniques[coverage],MATCH(AA189,techniques[name],0)),""),"")</f>
        <v/>
      </c>
      <c r="AC189" s="45" t="n"/>
      <c r="AD189" s="62">
        <f t="array" ref="AD189">IF(AC189&lt;&gt;"",IF(INDEX(techniques[coverage],MATCH(AC189,techniques[name],0))&gt;0,INDEX(techniques[coverage],MATCH(AC189,techniques[name],0)),""),"")</f>
        <v/>
      </c>
    </row>
    <row r="190">
      <c r="A190" s="45" t="n"/>
      <c r="B190" s="62">
        <f t="array" ref="B190">IF(A190&lt;&gt;"",IF(INDEX(techniques[coverage],MATCH(A190,techniques[name],0))&gt;0,INDEX(techniques[coverage],MATCH(A190,techniques[name],0)),""),"")</f>
        <v/>
      </c>
      <c r="C190" s="45" t="n"/>
      <c r="D190" s="62">
        <f t="array" ref="D190">IF(C190&lt;&gt;"",IF(INDEX(techniques[coverage],MATCH(C190,techniques[name],0))&gt;0,INDEX(techniques[coverage],MATCH(C190,techniques[name],0)),""),"")</f>
        <v/>
      </c>
      <c r="E190" s="45" t="n"/>
      <c r="F190" s="62">
        <f t="array" ref="F190">IF(E190&lt;&gt;"",IF(INDEX(techniques[coverage],MATCH(E190,techniques[name],0))&gt;0,INDEX(techniques[coverage],MATCH(E190,techniques[name],0)),""),"")</f>
        <v/>
      </c>
      <c r="G190" s="45" t="n"/>
      <c r="H190" s="62">
        <f t="array" ref="H190">IF(G190&lt;&gt;"",IF(INDEX(techniques[coverage],MATCH(G190,techniques[name],0))&gt;0,INDEX(techniques[coverage],MATCH(G190,techniques[name],0)),""),"")</f>
        <v/>
      </c>
      <c r="I190" s="45" t="n"/>
      <c r="J190" s="62">
        <f t="array" ref="J190">IF(I190&lt;&gt;"",IF(INDEX(techniques[coverage],MATCH(I190,techniques[name],0))&gt;0,INDEX(techniques[coverage],MATCH(I190,techniques[name],0)),""),"")</f>
        <v/>
      </c>
      <c r="K190" s="45" t="n"/>
      <c r="L190" s="62">
        <f t="array" ref="L190">IF(K190&lt;&gt;"",IF(INDEX(techniques[coverage],MATCH(K190,techniques[name],0))&gt;0,INDEX(techniques[coverage],MATCH(K190,techniques[name],0)),""),"")</f>
        <v/>
      </c>
      <c r="M190" s="45" t="n"/>
      <c r="N190" s="62">
        <f t="array" ref="N190">IF(M190&lt;&gt;"",IF(INDEX(techniques[coverage],MATCH(M190,techniques[name],0))&gt;0,INDEX(techniques[coverage],MATCH(M190,techniques[name],0)),""),"")</f>
        <v/>
      </c>
      <c r="O190" s="45" t="n"/>
      <c r="P190" s="62">
        <f t="array" ref="P190">IF(O190&lt;&gt;"",IF(INDEX(techniques[coverage],MATCH(O190,techniques[name],0))&gt;0,INDEX(techniques[coverage],MATCH(O190,techniques[name],0)),""),"")</f>
        <v/>
      </c>
      <c r="Q190" s="45" t="n"/>
      <c r="R190" s="62">
        <f t="array" ref="R190">IF(Q190&lt;&gt;"",IF(INDEX(techniques[coverage],MATCH(Q190,techniques[name],0))&gt;0,INDEX(techniques[coverage],MATCH(Q190,techniques[name],0)),""),"")</f>
        <v/>
      </c>
      <c r="S190" s="45" t="n"/>
      <c r="T190" s="62">
        <f t="array" ref="T190">IF(S190&lt;&gt;"",IF(INDEX(techniques[coverage],MATCH(S190,techniques[name],0))&gt;0,INDEX(techniques[coverage],MATCH(S190,techniques[name],0)),""),"")</f>
        <v/>
      </c>
      <c r="U190" s="45" t="n"/>
      <c r="V190" s="62">
        <f t="array" ref="V190">IF(U190&lt;&gt;"",IF(INDEX(techniques[coverage],MATCH(U190,techniques[name],0))&gt;0,INDEX(techniques[coverage],MATCH(U190,techniques[name],0)),""),"")</f>
        <v/>
      </c>
      <c r="W190" s="45" t="n"/>
      <c r="X190" s="62">
        <f t="array" ref="X190">IF(W190&lt;&gt;"",IF(INDEX(techniques[coverage],MATCH(W190,techniques[name],0))&gt;0,INDEX(techniques[coverage],MATCH(W190,techniques[name],0)),""),"")</f>
        <v/>
      </c>
      <c r="Y190" s="45" t="n"/>
      <c r="Z190" s="62">
        <f t="array" ref="Z190">IF(Y190&lt;&gt;"",IF(INDEX(techniques[coverage],MATCH(Y190,techniques[name],0))&gt;0,INDEX(techniques[coverage],MATCH(Y190,techniques[name],0)),""),"")</f>
        <v/>
      </c>
      <c r="AA190" s="45" t="n"/>
      <c r="AB190" s="62">
        <f t="array" ref="AB190">IF(AA190&lt;&gt;"",IF(INDEX(techniques[coverage],MATCH(AA190,techniques[name],0))&gt;0,INDEX(techniques[coverage],MATCH(AA190,techniques[name],0)),""),"")</f>
        <v/>
      </c>
      <c r="AC190" s="45" t="n"/>
      <c r="AD190" s="62">
        <f t="array" ref="AD190">IF(AC190&lt;&gt;"",IF(INDEX(techniques[coverage],MATCH(AC190,techniques[name],0))&gt;0,INDEX(techniques[coverage],MATCH(AC190,techniques[name],0)),""),"")</f>
        <v/>
      </c>
    </row>
    <row r="191">
      <c r="A191" s="45" t="n"/>
      <c r="B191" s="62">
        <f t="array" ref="B191">IF(A191&lt;&gt;"",IF(INDEX(techniques[coverage],MATCH(A191,techniques[name],0))&gt;0,INDEX(techniques[coverage],MATCH(A191,techniques[name],0)),""),"")</f>
        <v/>
      </c>
      <c r="C191" s="45" t="n"/>
      <c r="D191" s="62">
        <f t="array" ref="D191">IF(C191&lt;&gt;"",IF(INDEX(techniques[coverage],MATCH(C191,techniques[name],0))&gt;0,INDEX(techniques[coverage],MATCH(C191,techniques[name],0)),""),"")</f>
        <v/>
      </c>
      <c r="E191" s="45" t="n"/>
      <c r="F191" s="62">
        <f t="array" ref="F191">IF(E191&lt;&gt;"",IF(INDEX(techniques[coverage],MATCH(E191,techniques[name],0))&gt;0,INDEX(techniques[coverage],MATCH(E191,techniques[name],0)),""),"")</f>
        <v/>
      </c>
      <c r="G191" s="45" t="n"/>
      <c r="H191" s="62">
        <f t="array" ref="H191">IF(G191&lt;&gt;"",IF(INDEX(techniques[coverage],MATCH(G191,techniques[name],0))&gt;0,INDEX(techniques[coverage],MATCH(G191,techniques[name],0)),""),"")</f>
        <v/>
      </c>
      <c r="I191" s="45" t="n"/>
      <c r="J191" s="62">
        <f t="array" ref="J191">IF(I191&lt;&gt;"",IF(INDEX(techniques[coverage],MATCH(I191,techniques[name],0))&gt;0,INDEX(techniques[coverage],MATCH(I191,techniques[name],0)),""),"")</f>
        <v/>
      </c>
      <c r="K191" s="45" t="n"/>
      <c r="L191" s="62">
        <f t="array" ref="L191">IF(K191&lt;&gt;"",IF(INDEX(techniques[coverage],MATCH(K191,techniques[name],0))&gt;0,INDEX(techniques[coverage],MATCH(K191,techniques[name],0)),""),"")</f>
        <v/>
      </c>
      <c r="M191" s="45" t="n"/>
      <c r="N191" s="62">
        <f t="array" ref="N191">IF(M191&lt;&gt;"",IF(INDEX(techniques[coverage],MATCH(M191,techniques[name],0))&gt;0,INDEX(techniques[coverage],MATCH(M191,techniques[name],0)),""),"")</f>
        <v/>
      </c>
      <c r="O191" s="45" t="n"/>
      <c r="P191" s="62">
        <f t="array" ref="P191">IF(O191&lt;&gt;"",IF(INDEX(techniques[coverage],MATCH(O191,techniques[name],0))&gt;0,INDEX(techniques[coverage],MATCH(O191,techniques[name],0)),""),"")</f>
        <v/>
      </c>
      <c r="Q191" s="45" t="n"/>
      <c r="R191" s="62">
        <f t="array" ref="R191">IF(Q191&lt;&gt;"",IF(INDEX(techniques[coverage],MATCH(Q191,techniques[name],0))&gt;0,INDEX(techniques[coverage],MATCH(Q191,techniques[name],0)),""),"")</f>
        <v/>
      </c>
      <c r="S191" s="45" t="n"/>
      <c r="T191" s="62">
        <f t="array" ref="T191">IF(S191&lt;&gt;"",IF(INDEX(techniques[coverage],MATCH(S191,techniques[name],0))&gt;0,INDEX(techniques[coverage],MATCH(S191,techniques[name],0)),""),"")</f>
        <v/>
      </c>
      <c r="U191" s="45" t="n"/>
      <c r="V191" s="62">
        <f t="array" ref="V191">IF(U191&lt;&gt;"",IF(INDEX(techniques[coverage],MATCH(U191,techniques[name],0))&gt;0,INDEX(techniques[coverage],MATCH(U191,techniques[name],0)),""),"")</f>
        <v/>
      </c>
      <c r="W191" s="45" t="n"/>
      <c r="X191" s="62">
        <f t="array" ref="X191">IF(W191&lt;&gt;"",IF(INDEX(techniques[coverage],MATCH(W191,techniques[name],0))&gt;0,INDEX(techniques[coverage],MATCH(W191,techniques[name],0)),""),"")</f>
        <v/>
      </c>
      <c r="Y191" s="45" t="n"/>
      <c r="Z191" s="62">
        <f t="array" ref="Z191">IF(Y191&lt;&gt;"",IF(INDEX(techniques[coverage],MATCH(Y191,techniques[name],0))&gt;0,INDEX(techniques[coverage],MATCH(Y191,techniques[name],0)),""),"")</f>
        <v/>
      </c>
      <c r="AA191" s="45" t="n"/>
      <c r="AB191" s="62">
        <f t="array" ref="AB191">IF(AA191&lt;&gt;"",IF(INDEX(techniques[coverage],MATCH(AA191,techniques[name],0))&gt;0,INDEX(techniques[coverage],MATCH(AA191,techniques[name],0)),""),"")</f>
        <v/>
      </c>
      <c r="AC191" s="45" t="n"/>
      <c r="AD191" s="62">
        <f t="array" ref="AD191">IF(AC191&lt;&gt;"",IF(INDEX(techniques[coverage],MATCH(AC191,techniques[name],0))&gt;0,INDEX(techniques[coverage],MATCH(AC191,techniques[name],0)),""),"")</f>
        <v/>
      </c>
    </row>
    <row r="192">
      <c r="A192" s="45" t="n"/>
      <c r="B192" s="62">
        <f t="array" ref="B192">IF(A192&lt;&gt;"",IF(INDEX(techniques[coverage],MATCH(A192,techniques[name],0))&gt;0,INDEX(techniques[coverage],MATCH(A192,techniques[name],0)),""),"")</f>
        <v/>
      </c>
      <c r="C192" s="45" t="n"/>
      <c r="D192" s="62">
        <f t="array" ref="D192">IF(C192&lt;&gt;"",IF(INDEX(techniques[coverage],MATCH(C192,techniques[name],0))&gt;0,INDEX(techniques[coverage],MATCH(C192,techniques[name],0)),""),"")</f>
        <v/>
      </c>
      <c r="E192" s="45" t="n"/>
      <c r="F192" s="62">
        <f t="array" ref="F192">IF(E192&lt;&gt;"",IF(INDEX(techniques[coverage],MATCH(E192,techniques[name],0))&gt;0,INDEX(techniques[coverage],MATCH(E192,techniques[name],0)),""),"")</f>
        <v/>
      </c>
      <c r="G192" s="45" t="n"/>
      <c r="H192" s="62">
        <f t="array" ref="H192">IF(G192&lt;&gt;"",IF(INDEX(techniques[coverage],MATCH(G192,techniques[name],0))&gt;0,INDEX(techniques[coverage],MATCH(G192,techniques[name],0)),""),"")</f>
        <v/>
      </c>
      <c r="I192" s="45" t="n"/>
      <c r="J192" s="62">
        <f t="array" ref="J192">IF(I192&lt;&gt;"",IF(INDEX(techniques[coverage],MATCH(I192,techniques[name],0))&gt;0,INDEX(techniques[coverage],MATCH(I192,techniques[name],0)),""),"")</f>
        <v/>
      </c>
      <c r="K192" s="45" t="n"/>
      <c r="L192" s="62">
        <f t="array" ref="L192">IF(K192&lt;&gt;"",IF(INDEX(techniques[coverage],MATCH(K192,techniques[name],0))&gt;0,INDEX(techniques[coverage],MATCH(K192,techniques[name],0)),""),"")</f>
        <v/>
      </c>
      <c r="M192" s="45" t="n"/>
      <c r="N192" s="62">
        <f t="array" ref="N192">IF(M192&lt;&gt;"",IF(INDEX(techniques[coverage],MATCH(M192,techniques[name],0))&gt;0,INDEX(techniques[coverage],MATCH(M192,techniques[name],0)),""),"")</f>
        <v/>
      </c>
      <c r="O192" s="45" t="n"/>
      <c r="P192" s="62">
        <f t="array" ref="P192">IF(O192&lt;&gt;"",IF(INDEX(techniques[coverage],MATCH(O192,techniques[name],0))&gt;0,INDEX(techniques[coverage],MATCH(O192,techniques[name],0)),""),"")</f>
        <v/>
      </c>
      <c r="Q192" s="45" t="n"/>
      <c r="R192" s="62">
        <f t="array" ref="R192">IF(Q192&lt;&gt;"",IF(INDEX(techniques[coverage],MATCH(Q192,techniques[name],0))&gt;0,INDEX(techniques[coverage],MATCH(Q192,techniques[name],0)),""),"")</f>
        <v/>
      </c>
      <c r="S192" s="45" t="n"/>
      <c r="T192" s="62">
        <f t="array" ref="T192">IF(S192&lt;&gt;"",IF(INDEX(techniques[coverage],MATCH(S192,techniques[name],0))&gt;0,INDEX(techniques[coverage],MATCH(S192,techniques[name],0)),""),"")</f>
        <v/>
      </c>
      <c r="U192" s="45" t="n"/>
      <c r="V192" s="62">
        <f t="array" ref="V192">IF(U192&lt;&gt;"",IF(INDEX(techniques[coverage],MATCH(U192,techniques[name],0))&gt;0,INDEX(techniques[coverage],MATCH(U192,techniques[name],0)),""),"")</f>
        <v/>
      </c>
      <c r="W192" s="45" t="n"/>
      <c r="X192" s="62">
        <f t="array" ref="X192">IF(W192&lt;&gt;"",IF(INDEX(techniques[coverage],MATCH(W192,techniques[name],0))&gt;0,INDEX(techniques[coverage],MATCH(W192,techniques[name],0)),""),"")</f>
        <v/>
      </c>
      <c r="Y192" s="45" t="n"/>
      <c r="Z192" s="62">
        <f t="array" ref="Z192">IF(Y192&lt;&gt;"",IF(INDEX(techniques[coverage],MATCH(Y192,techniques[name],0))&gt;0,INDEX(techniques[coverage],MATCH(Y192,techniques[name],0)),""),"")</f>
        <v/>
      </c>
      <c r="AA192" s="45" t="n"/>
      <c r="AB192" s="62">
        <f t="array" ref="AB192">IF(AA192&lt;&gt;"",IF(INDEX(techniques[coverage],MATCH(AA192,techniques[name],0))&gt;0,INDEX(techniques[coverage],MATCH(AA192,techniques[name],0)),""),"")</f>
        <v/>
      </c>
      <c r="AC192" s="45" t="n"/>
      <c r="AD192" s="62">
        <f t="array" ref="AD192">IF(AC192&lt;&gt;"",IF(INDEX(techniques[coverage],MATCH(AC192,techniques[name],0))&gt;0,INDEX(techniques[coverage],MATCH(AC192,techniques[name],0)),""),"")</f>
        <v/>
      </c>
    </row>
    <row r="193">
      <c r="A193" s="45" t="n"/>
      <c r="B193" s="62">
        <f t="array" ref="B193">IF(A193&lt;&gt;"",IF(INDEX(techniques[coverage],MATCH(A193,techniques[name],0))&gt;0,INDEX(techniques[coverage],MATCH(A193,techniques[name],0)),""),"")</f>
        <v/>
      </c>
      <c r="C193" s="45" t="n"/>
      <c r="D193" s="62">
        <f t="array" ref="D193">IF(C193&lt;&gt;"",IF(INDEX(techniques[coverage],MATCH(C193,techniques[name],0))&gt;0,INDEX(techniques[coverage],MATCH(C193,techniques[name],0)),""),"")</f>
        <v/>
      </c>
      <c r="E193" s="45" t="n"/>
      <c r="F193" s="62">
        <f t="array" ref="F193">IF(E193&lt;&gt;"",IF(INDEX(techniques[coverage],MATCH(E193,techniques[name],0))&gt;0,INDEX(techniques[coverage],MATCH(E193,techniques[name],0)),""),"")</f>
        <v/>
      </c>
      <c r="G193" s="45" t="n"/>
      <c r="H193" s="62">
        <f t="array" ref="H193">IF(G193&lt;&gt;"",IF(INDEX(techniques[coverage],MATCH(G193,techniques[name],0))&gt;0,INDEX(techniques[coverage],MATCH(G193,techniques[name],0)),""),"")</f>
        <v/>
      </c>
      <c r="I193" s="45" t="n"/>
      <c r="J193" s="62">
        <f t="array" ref="J193">IF(I193&lt;&gt;"",IF(INDEX(techniques[coverage],MATCH(I193,techniques[name],0))&gt;0,INDEX(techniques[coverage],MATCH(I193,techniques[name],0)),""),"")</f>
        <v/>
      </c>
      <c r="K193" s="45" t="n"/>
      <c r="L193" s="62">
        <f t="array" ref="L193">IF(K193&lt;&gt;"",IF(INDEX(techniques[coverage],MATCH(K193,techniques[name],0))&gt;0,INDEX(techniques[coverage],MATCH(K193,techniques[name],0)),""),"")</f>
        <v/>
      </c>
      <c r="M193" s="45" t="n"/>
      <c r="N193" s="62">
        <f t="array" ref="N193">IF(M193&lt;&gt;"",IF(INDEX(techniques[coverage],MATCH(M193,techniques[name],0))&gt;0,INDEX(techniques[coverage],MATCH(M193,techniques[name],0)),""),"")</f>
        <v/>
      </c>
      <c r="O193" s="45" t="n"/>
      <c r="P193" s="62">
        <f t="array" ref="P193">IF(O193&lt;&gt;"",IF(INDEX(techniques[coverage],MATCH(O193,techniques[name],0))&gt;0,INDEX(techniques[coverage],MATCH(O193,techniques[name],0)),""),"")</f>
        <v/>
      </c>
      <c r="Q193" s="45" t="n"/>
      <c r="R193" s="62">
        <f t="array" ref="R193">IF(Q193&lt;&gt;"",IF(INDEX(techniques[coverage],MATCH(Q193,techniques[name],0))&gt;0,INDEX(techniques[coverage],MATCH(Q193,techniques[name],0)),""),"")</f>
        <v/>
      </c>
      <c r="S193" s="45" t="n"/>
      <c r="T193" s="62">
        <f t="array" ref="T193">IF(S193&lt;&gt;"",IF(INDEX(techniques[coverage],MATCH(S193,techniques[name],0))&gt;0,INDEX(techniques[coverage],MATCH(S193,techniques[name],0)),""),"")</f>
        <v/>
      </c>
      <c r="U193" s="45" t="n"/>
      <c r="V193" s="62">
        <f t="array" ref="V193">IF(U193&lt;&gt;"",IF(INDEX(techniques[coverage],MATCH(U193,techniques[name],0))&gt;0,INDEX(techniques[coverage],MATCH(U193,techniques[name],0)),""),"")</f>
        <v/>
      </c>
      <c r="W193" s="45" t="n"/>
      <c r="X193" s="62">
        <f t="array" ref="X193">IF(W193&lt;&gt;"",IF(INDEX(techniques[coverage],MATCH(W193,techniques[name],0))&gt;0,INDEX(techniques[coverage],MATCH(W193,techniques[name],0)),""),"")</f>
        <v/>
      </c>
      <c r="Y193" s="45" t="n"/>
      <c r="Z193" s="62">
        <f t="array" ref="Z193">IF(Y193&lt;&gt;"",IF(INDEX(techniques[coverage],MATCH(Y193,techniques[name],0))&gt;0,INDEX(techniques[coverage],MATCH(Y193,techniques[name],0)),""),"")</f>
        <v/>
      </c>
      <c r="AA193" s="45" t="n"/>
      <c r="AB193" s="62">
        <f t="array" ref="AB193">IF(AA193&lt;&gt;"",IF(INDEX(techniques[coverage],MATCH(AA193,techniques[name],0))&gt;0,INDEX(techniques[coverage],MATCH(AA193,techniques[name],0)),""),"")</f>
        <v/>
      </c>
      <c r="AC193" s="45" t="n"/>
      <c r="AD193" s="62">
        <f t="array" ref="AD193">IF(AC193&lt;&gt;"",IF(INDEX(techniques[coverage],MATCH(AC193,techniques[name],0))&gt;0,INDEX(techniques[coverage],MATCH(AC193,techniques[name],0)),""),"")</f>
        <v/>
      </c>
    </row>
    <row r="194">
      <c r="A194" s="45" t="n"/>
      <c r="B194" s="62">
        <f t="array" ref="B194">IF(A194&lt;&gt;"",IF(INDEX(techniques[coverage],MATCH(A194,techniques[name],0))&gt;0,INDEX(techniques[coverage],MATCH(A194,techniques[name],0)),""),"")</f>
        <v/>
      </c>
      <c r="C194" s="45" t="n"/>
      <c r="D194" s="62">
        <f t="array" ref="D194">IF(C194&lt;&gt;"",IF(INDEX(techniques[coverage],MATCH(C194,techniques[name],0))&gt;0,INDEX(techniques[coverage],MATCH(C194,techniques[name],0)),""),"")</f>
        <v/>
      </c>
      <c r="E194" s="45" t="n"/>
      <c r="F194" s="62">
        <f t="array" ref="F194">IF(E194&lt;&gt;"",IF(INDEX(techniques[coverage],MATCH(E194,techniques[name],0))&gt;0,INDEX(techniques[coverage],MATCH(E194,techniques[name],0)),""),"")</f>
        <v/>
      </c>
      <c r="G194" s="45" t="n"/>
      <c r="H194" s="62">
        <f t="array" ref="H194">IF(G194&lt;&gt;"",IF(INDEX(techniques[coverage],MATCH(G194,techniques[name],0))&gt;0,INDEX(techniques[coverage],MATCH(G194,techniques[name],0)),""),"")</f>
        <v/>
      </c>
      <c r="I194" s="45" t="n"/>
      <c r="J194" s="62">
        <f t="array" ref="J194">IF(I194&lt;&gt;"",IF(INDEX(techniques[coverage],MATCH(I194,techniques[name],0))&gt;0,INDEX(techniques[coverage],MATCH(I194,techniques[name],0)),""),"")</f>
        <v/>
      </c>
      <c r="K194" s="45" t="n"/>
      <c r="L194" s="62">
        <f t="array" ref="L194">IF(K194&lt;&gt;"",IF(INDEX(techniques[coverage],MATCH(K194,techniques[name],0))&gt;0,INDEX(techniques[coverage],MATCH(K194,techniques[name],0)),""),"")</f>
        <v/>
      </c>
      <c r="M194" s="45" t="n"/>
      <c r="N194" s="62">
        <f t="array" ref="N194">IF(M194&lt;&gt;"",IF(INDEX(techniques[coverage],MATCH(M194,techniques[name],0))&gt;0,INDEX(techniques[coverage],MATCH(M194,techniques[name],0)),""),"")</f>
        <v/>
      </c>
      <c r="O194" s="45" t="n"/>
      <c r="P194" s="62">
        <f t="array" ref="P194">IF(O194&lt;&gt;"",IF(INDEX(techniques[coverage],MATCH(O194,techniques[name],0))&gt;0,INDEX(techniques[coverage],MATCH(O194,techniques[name],0)),""),"")</f>
        <v/>
      </c>
      <c r="Q194" s="45" t="n"/>
      <c r="R194" s="62">
        <f t="array" ref="R194">IF(Q194&lt;&gt;"",IF(INDEX(techniques[coverage],MATCH(Q194,techniques[name],0))&gt;0,INDEX(techniques[coverage],MATCH(Q194,techniques[name],0)),""),"")</f>
        <v/>
      </c>
      <c r="S194" s="45" t="n"/>
      <c r="T194" s="62">
        <f t="array" ref="T194">IF(S194&lt;&gt;"",IF(INDEX(techniques[coverage],MATCH(S194,techniques[name],0))&gt;0,INDEX(techniques[coverage],MATCH(S194,techniques[name],0)),""),"")</f>
        <v/>
      </c>
      <c r="U194" s="45" t="n"/>
      <c r="V194" s="62">
        <f t="array" ref="V194">IF(U194&lt;&gt;"",IF(INDEX(techniques[coverage],MATCH(U194,techniques[name],0))&gt;0,INDEX(techniques[coverage],MATCH(U194,techniques[name],0)),""),"")</f>
        <v/>
      </c>
      <c r="W194" s="45" t="n"/>
      <c r="X194" s="62">
        <f t="array" ref="X194">IF(W194&lt;&gt;"",IF(INDEX(techniques[coverage],MATCH(W194,techniques[name],0))&gt;0,INDEX(techniques[coverage],MATCH(W194,techniques[name],0)),""),"")</f>
        <v/>
      </c>
      <c r="Y194" s="45" t="n"/>
      <c r="Z194" s="62">
        <f t="array" ref="Z194">IF(Y194&lt;&gt;"",IF(INDEX(techniques[coverage],MATCH(Y194,techniques[name],0))&gt;0,INDEX(techniques[coverage],MATCH(Y194,techniques[name],0)),""),"")</f>
        <v/>
      </c>
      <c r="AA194" s="45" t="n"/>
      <c r="AB194" s="62">
        <f t="array" ref="AB194">IF(AA194&lt;&gt;"",IF(INDEX(techniques[coverage],MATCH(AA194,techniques[name],0))&gt;0,INDEX(techniques[coverage],MATCH(AA194,techniques[name],0)),""),"")</f>
        <v/>
      </c>
      <c r="AC194" s="45" t="n"/>
      <c r="AD194" s="62">
        <f t="array" ref="AD194">IF(AC194&lt;&gt;"",IF(INDEX(techniques[coverage],MATCH(AC194,techniques[name],0))&gt;0,INDEX(techniques[coverage],MATCH(AC194,techniques[name],0)),""),"")</f>
        <v/>
      </c>
    </row>
    <row r="195">
      <c r="A195" s="45" t="n"/>
      <c r="B195" s="62">
        <f t="array" ref="B195">IF(A195&lt;&gt;"",IF(INDEX(techniques[coverage],MATCH(A195,techniques[name],0))&gt;0,INDEX(techniques[coverage],MATCH(A195,techniques[name],0)),""),"")</f>
        <v/>
      </c>
      <c r="C195" s="45" t="n"/>
      <c r="D195" s="62">
        <f t="array" ref="D195">IF(C195&lt;&gt;"",IF(INDEX(techniques[coverage],MATCH(C195,techniques[name],0))&gt;0,INDEX(techniques[coverage],MATCH(C195,techniques[name],0)),""),"")</f>
        <v/>
      </c>
      <c r="E195" s="45" t="n"/>
      <c r="F195" s="62">
        <f t="array" ref="F195">IF(E195&lt;&gt;"",IF(INDEX(techniques[coverage],MATCH(E195,techniques[name],0))&gt;0,INDEX(techniques[coverage],MATCH(E195,techniques[name],0)),""),"")</f>
        <v/>
      </c>
      <c r="G195" s="45" t="n"/>
      <c r="H195" s="62">
        <f t="array" ref="H195">IF(G195&lt;&gt;"",IF(INDEX(techniques[coverage],MATCH(G195,techniques[name],0))&gt;0,INDEX(techniques[coverage],MATCH(G195,techniques[name],0)),""),"")</f>
        <v/>
      </c>
      <c r="I195" s="45" t="n"/>
      <c r="J195" s="62">
        <f t="array" ref="J195">IF(I195&lt;&gt;"",IF(INDEX(techniques[coverage],MATCH(I195,techniques[name],0))&gt;0,INDEX(techniques[coverage],MATCH(I195,techniques[name],0)),""),"")</f>
        <v/>
      </c>
      <c r="K195" s="45" t="n"/>
      <c r="L195" s="62">
        <f t="array" ref="L195">IF(K195&lt;&gt;"",IF(INDEX(techniques[coverage],MATCH(K195,techniques[name],0))&gt;0,INDEX(techniques[coverage],MATCH(K195,techniques[name],0)),""),"")</f>
        <v/>
      </c>
      <c r="M195" s="45" t="n"/>
      <c r="N195" s="62">
        <f t="array" ref="N195">IF(M195&lt;&gt;"",IF(INDEX(techniques[coverage],MATCH(M195,techniques[name],0))&gt;0,INDEX(techniques[coverage],MATCH(M195,techniques[name],0)),""),"")</f>
        <v/>
      </c>
      <c r="O195" s="45" t="n"/>
      <c r="P195" s="62">
        <f t="array" ref="P195">IF(O195&lt;&gt;"",IF(INDEX(techniques[coverage],MATCH(O195,techniques[name],0))&gt;0,INDEX(techniques[coverage],MATCH(O195,techniques[name],0)),""),"")</f>
        <v/>
      </c>
      <c r="Q195" s="45" t="n"/>
      <c r="R195" s="62">
        <f t="array" ref="R195">IF(Q195&lt;&gt;"",IF(INDEX(techniques[coverage],MATCH(Q195,techniques[name],0))&gt;0,INDEX(techniques[coverage],MATCH(Q195,techniques[name],0)),""),"")</f>
        <v/>
      </c>
      <c r="S195" s="45" t="n"/>
      <c r="T195" s="62">
        <f t="array" ref="T195">IF(S195&lt;&gt;"",IF(INDEX(techniques[coverage],MATCH(S195,techniques[name],0))&gt;0,INDEX(techniques[coverage],MATCH(S195,techniques[name],0)),""),"")</f>
        <v/>
      </c>
      <c r="U195" s="45" t="n"/>
      <c r="V195" s="62">
        <f t="array" ref="V195">IF(U195&lt;&gt;"",IF(INDEX(techniques[coverage],MATCH(U195,techniques[name],0))&gt;0,INDEX(techniques[coverage],MATCH(U195,techniques[name],0)),""),"")</f>
        <v/>
      </c>
      <c r="W195" s="45" t="n"/>
      <c r="X195" s="62">
        <f t="array" ref="X195">IF(W195&lt;&gt;"",IF(INDEX(techniques[coverage],MATCH(W195,techniques[name],0))&gt;0,INDEX(techniques[coverage],MATCH(W195,techniques[name],0)),""),"")</f>
        <v/>
      </c>
      <c r="Y195" s="45" t="n"/>
      <c r="Z195" s="62">
        <f t="array" ref="Z195">IF(Y195&lt;&gt;"",IF(INDEX(techniques[coverage],MATCH(Y195,techniques[name],0))&gt;0,INDEX(techniques[coverage],MATCH(Y195,techniques[name],0)),""),"")</f>
        <v/>
      </c>
      <c r="AA195" s="45" t="n"/>
      <c r="AB195" s="62">
        <f t="array" ref="AB195">IF(AA195&lt;&gt;"",IF(INDEX(techniques[coverage],MATCH(AA195,techniques[name],0))&gt;0,INDEX(techniques[coverage],MATCH(AA195,techniques[name],0)),""),"")</f>
        <v/>
      </c>
      <c r="AC195" s="45" t="n"/>
      <c r="AD195" s="62">
        <f t="array" ref="AD195">IF(AC195&lt;&gt;"",IF(INDEX(techniques[coverage],MATCH(AC195,techniques[name],0))&gt;0,INDEX(techniques[coverage],MATCH(AC195,techniques[name],0)),""),"")</f>
        <v/>
      </c>
    </row>
    <row r="196">
      <c r="A196" s="45" t="n"/>
      <c r="B196" s="62">
        <f t="array" ref="B196">IF(A196&lt;&gt;"",IF(INDEX(techniques[coverage],MATCH(A196,techniques[name],0))&gt;0,INDEX(techniques[coverage],MATCH(A196,techniques[name],0)),""),"")</f>
        <v/>
      </c>
      <c r="C196" s="45" t="n"/>
      <c r="D196" s="62">
        <f t="array" ref="D196">IF(C196&lt;&gt;"",IF(INDEX(techniques[coverage],MATCH(C196,techniques[name],0))&gt;0,INDEX(techniques[coverage],MATCH(C196,techniques[name],0)),""),"")</f>
        <v/>
      </c>
      <c r="E196" s="45" t="n"/>
      <c r="F196" s="62">
        <f t="array" ref="F196">IF(E196&lt;&gt;"",IF(INDEX(techniques[coverage],MATCH(E196,techniques[name],0))&gt;0,INDEX(techniques[coverage],MATCH(E196,techniques[name],0)),""),"")</f>
        <v/>
      </c>
      <c r="G196" s="45" t="n"/>
      <c r="H196" s="62">
        <f t="array" ref="H196">IF(G196&lt;&gt;"",IF(INDEX(techniques[coverage],MATCH(G196,techniques[name],0))&gt;0,INDEX(techniques[coverage],MATCH(G196,techniques[name],0)),""),"")</f>
        <v/>
      </c>
      <c r="I196" s="45" t="n"/>
      <c r="J196" s="62">
        <f t="array" ref="J196">IF(I196&lt;&gt;"",IF(INDEX(techniques[coverage],MATCH(I196,techniques[name],0))&gt;0,INDEX(techniques[coverage],MATCH(I196,techniques[name],0)),""),"")</f>
        <v/>
      </c>
      <c r="K196" s="45" t="n"/>
      <c r="L196" s="62">
        <f t="array" ref="L196">IF(K196&lt;&gt;"",IF(INDEX(techniques[coverage],MATCH(K196,techniques[name],0))&gt;0,INDEX(techniques[coverage],MATCH(K196,techniques[name],0)),""),"")</f>
        <v/>
      </c>
      <c r="M196" s="45" t="n"/>
      <c r="N196" s="62">
        <f t="array" ref="N196">IF(M196&lt;&gt;"",IF(INDEX(techniques[coverage],MATCH(M196,techniques[name],0))&gt;0,INDEX(techniques[coverage],MATCH(M196,techniques[name],0)),""),"")</f>
        <v/>
      </c>
      <c r="O196" s="45" t="n"/>
      <c r="P196" s="62">
        <f t="array" ref="P196">IF(O196&lt;&gt;"",IF(INDEX(techniques[coverage],MATCH(O196,techniques[name],0))&gt;0,INDEX(techniques[coverage],MATCH(O196,techniques[name],0)),""),"")</f>
        <v/>
      </c>
      <c r="Q196" s="45" t="n"/>
      <c r="R196" s="62">
        <f t="array" ref="R196">IF(Q196&lt;&gt;"",IF(INDEX(techniques[coverage],MATCH(Q196,techniques[name],0))&gt;0,INDEX(techniques[coverage],MATCH(Q196,techniques[name],0)),""),"")</f>
        <v/>
      </c>
      <c r="S196" s="45" t="n"/>
      <c r="T196" s="62">
        <f t="array" ref="T196">IF(S196&lt;&gt;"",IF(INDEX(techniques[coverage],MATCH(S196,techniques[name],0))&gt;0,INDEX(techniques[coverage],MATCH(S196,techniques[name],0)),""),"")</f>
        <v/>
      </c>
      <c r="U196" s="45" t="n"/>
      <c r="V196" s="62">
        <f t="array" ref="V196">IF(U196&lt;&gt;"",IF(INDEX(techniques[coverage],MATCH(U196,techniques[name],0))&gt;0,INDEX(techniques[coverage],MATCH(U196,techniques[name],0)),""),"")</f>
        <v/>
      </c>
      <c r="W196" s="45" t="n"/>
      <c r="X196" s="62">
        <f t="array" ref="X196">IF(W196&lt;&gt;"",IF(INDEX(techniques[coverage],MATCH(W196,techniques[name],0))&gt;0,INDEX(techniques[coverage],MATCH(W196,techniques[name],0)),""),"")</f>
        <v/>
      </c>
      <c r="Y196" s="45" t="n"/>
      <c r="Z196" s="62">
        <f t="array" ref="Z196">IF(Y196&lt;&gt;"",IF(INDEX(techniques[coverage],MATCH(Y196,techniques[name],0))&gt;0,INDEX(techniques[coverage],MATCH(Y196,techniques[name],0)),""),"")</f>
        <v/>
      </c>
      <c r="AA196" s="45" t="n"/>
      <c r="AB196" s="62">
        <f t="array" ref="AB196">IF(AA196&lt;&gt;"",IF(INDEX(techniques[coverage],MATCH(AA196,techniques[name],0))&gt;0,INDEX(techniques[coverage],MATCH(AA196,techniques[name],0)),""),"")</f>
        <v/>
      </c>
      <c r="AC196" s="45" t="n"/>
      <c r="AD196" s="62">
        <f t="array" ref="AD196">IF(AC196&lt;&gt;"",IF(INDEX(techniques[coverage],MATCH(AC196,techniques[name],0))&gt;0,INDEX(techniques[coverage],MATCH(AC196,techniques[name],0)),""),"")</f>
        <v/>
      </c>
    </row>
    <row r="197">
      <c r="A197" s="45" t="n"/>
      <c r="B197" s="62">
        <f t="array" ref="B197">IF(A197&lt;&gt;"",IF(INDEX(techniques[coverage],MATCH(A197,techniques[name],0))&gt;0,INDEX(techniques[coverage],MATCH(A197,techniques[name],0)),""),"")</f>
        <v/>
      </c>
      <c r="C197" s="45" t="n"/>
      <c r="D197" s="62">
        <f t="array" ref="D197">IF(C197&lt;&gt;"",IF(INDEX(techniques[coverage],MATCH(C197,techniques[name],0))&gt;0,INDEX(techniques[coverage],MATCH(C197,techniques[name],0)),""),"")</f>
        <v/>
      </c>
      <c r="E197" s="45" t="n"/>
      <c r="F197" s="62">
        <f t="array" ref="F197">IF(E197&lt;&gt;"",IF(INDEX(techniques[coverage],MATCH(E197,techniques[name],0))&gt;0,INDEX(techniques[coverage],MATCH(E197,techniques[name],0)),""),"")</f>
        <v/>
      </c>
      <c r="G197" s="45" t="n"/>
      <c r="H197" s="62">
        <f t="array" ref="H197">IF(G197&lt;&gt;"",IF(INDEX(techniques[coverage],MATCH(G197,techniques[name],0))&gt;0,INDEX(techniques[coverage],MATCH(G197,techniques[name],0)),""),"")</f>
        <v/>
      </c>
      <c r="I197" s="45" t="n"/>
      <c r="J197" s="62">
        <f t="array" ref="J197">IF(I197&lt;&gt;"",IF(INDEX(techniques[coverage],MATCH(I197,techniques[name],0))&gt;0,INDEX(techniques[coverage],MATCH(I197,techniques[name],0)),""),"")</f>
        <v/>
      </c>
      <c r="K197" s="45" t="n"/>
      <c r="L197" s="62">
        <f t="array" ref="L197">IF(K197&lt;&gt;"",IF(INDEX(techniques[coverage],MATCH(K197,techniques[name],0))&gt;0,INDEX(techniques[coverage],MATCH(K197,techniques[name],0)),""),"")</f>
        <v/>
      </c>
      <c r="M197" s="45" t="n"/>
      <c r="N197" s="62">
        <f t="array" ref="N197">IF(M197&lt;&gt;"",IF(INDEX(techniques[coverage],MATCH(M197,techniques[name],0))&gt;0,INDEX(techniques[coverage],MATCH(M197,techniques[name],0)),""),"")</f>
        <v/>
      </c>
      <c r="O197" s="45" t="n"/>
      <c r="P197" s="62">
        <f t="array" ref="P197">IF(O197&lt;&gt;"",IF(INDEX(techniques[coverage],MATCH(O197,techniques[name],0))&gt;0,INDEX(techniques[coverage],MATCH(O197,techniques[name],0)),""),"")</f>
        <v/>
      </c>
      <c r="Q197" s="45" t="n"/>
      <c r="R197" s="62">
        <f t="array" ref="R197">IF(Q197&lt;&gt;"",IF(INDEX(techniques[coverage],MATCH(Q197,techniques[name],0))&gt;0,INDEX(techniques[coverage],MATCH(Q197,techniques[name],0)),""),"")</f>
        <v/>
      </c>
      <c r="S197" s="45" t="n"/>
      <c r="T197" s="62">
        <f t="array" ref="T197">IF(S197&lt;&gt;"",IF(INDEX(techniques[coverage],MATCH(S197,techniques[name],0))&gt;0,INDEX(techniques[coverage],MATCH(S197,techniques[name],0)),""),"")</f>
        <v/>
      </c>
      <c r="U197" s="45" t="n"/>
      <c r="V197" s="62">
        <f t="array" ref="V197">IF(U197&lt;&gt;"",IF(INDEX(techniques[coverage],MATCH(U197,techniques[name],0))&gt;0,INDEX(techniques[coverage],MATCH(U197,techniques[name],0)),""),"")</f>
        <v/>
      </c>
      <c r="W197" s="45" t="n"/>
      <c r="X197" s="62">
        <f t="array" ref="X197">IF(W197&lt;&gt;"",IF(INDEX(techniques[coverage],MATCH(W197,techniques[name],0))&gt;0,INDEX(techniques[coverage],MATCH(W197,techniques[name],0)),""),"")</f>
        <v/>
      </c>
      <c r="Y197" s="45" t="n"/>
      <c r="Z197" s="62">
        <f t="array" ref="Z197">IF(Y197&lt;&gt;"",IF(INDEX(techniques[coverage],MATCH(Y197,techniques[name],0))&gt;0,INDEX(techniques[coverage],MATCH(Y197,techniques[name],0)),""),"")</f>
        <v/>
      </c>
      <c r="AA197" s="45" t="n"/>
      <c r="AB197" s="62">
        <f t="array" ref="AB197">IF(AA197&lt;&gt;"",IF(INDEX(techniques[coverage],MATCH(AA197,techniques[name],0))&gt;0,INDEX(techniques[coverage],MATCH(AA197,techniques[name],0)),""),"")</f>
        <v/>
      </c>
      <c r="AC197" s="45" t="n"/>
      <c r="AD197" s="62">
        <f t="array" ref="AD197">IF(AC197&lt;&gt;"",IF(INDEX(techniques[coverage],MATCH(AC197,techniques[name],0))&gt;0,INDEX(techniques[coverage],MATCH(AC197,techniques[name],0)),""),"")</f>
        <v/>
      </c>
    </row>
    <row r="198">
      <c r="A198" s="45" t="n"/>
      <c r="B198" s="62">
        <f t="array" ref="B198">IF(A198&lt;&gt;"",IF(INDEX(techniques[coverage],MATCH(A198,techniques[name],0))&gt;0,INDEX(techniques[coverage],MATCH(A198,techniques[name],0)),""),"")</f>
        <v/>
      </c>
      <c r="C198" s="45" t="n"/>
      <c r="D198" s="62">
        <f t="array" ref="D198">IF(C198&lt;&gt;"",IF(INDEX(techniques[coverage],MATCH(C198,techniques[name],0))&gt;0,INDEX(techniques[coverage],MATCH(C198,techniques[name],0)),""),"")</f>
        <v/>
      </c>
      <c r="E198" s="45" t="n"/>
      <c r="F198" s="62">
        <f t="array" ref="F198">IF(E198&lt;&gt;"",IF(INDEX(techniques[coverage],MATCH(E198,techniques[name],0))&gt;0,INDEX(techniques[coverage],MATCH(E198,techniques[name],0)),""),"")</f>
        <v/>
      </c>
      <c r="G198" s="45" t="n"/>
      <c r="H198" s="62">
        <f t="array" ref="H198">IF(G198&lt;&gt;"",IF(INDEX(techniques[coverage],MATCH(G198,techniques[name],0))&gt;0,INDEX(techniques[coverage],MATCH(G198,techniques[name],0)),""),"")</f>
        <v/>
      </c>
      <c r="I198" s="45" t="n"/>
      <c r="J198" s="62">
        <f t="array" ref="J198">IF(I198&lt;&gt;"",IF(INDEX(techniques[coverage],MATCH(I198,techniques[name],0))&gt;0,INDEX(techniques[coverage],MATCH(I198,techniques[name],0)),""),"")</f>
        <v/>
      </c>
      <c r="K198" s="45" t="n"/>
      <c r="L198" s="62">
        <f t="array" ref="L198">IF(K198&lt;&gt;"",IF(INDEX(techniques[coverage],MATCH(K198,techniques[name],0))&gt;0,INDEX(techniques[coverage],MATCH(K198,techniques[name],0)),""),"")</f>
        <v/>
      </c>
      <c r="M198" s="45" t="n"/>
      <c r="N198" s="62">
        <f t="array" ref="N198">IF(M198&lt;&gt;"",IF(INDEX(techniques[coverage],MATCH(M198,techniques[name],0))&gt;0,INDEX(techniques[coverage],MATCH(M198,techniques[name],0)),""),"")</f>
        <v/>
      </c>
      <c r="O198" s="45" t="n"/>
      <c r="P198" s="62">
        <f t="array" ref="P198">IF(O198&lt;&gt;"",IF(INDEX(techniques[coverage],MATCH(O198,techniques[name],0))&gt;0,INDEX(techniques[coverage],MATCH(O198,techniques[name],0)),""),"")</f>
        <v/>
      </c>
      <c r="Q198" s="45" t="n"/>
      <c r="R198" s="62">
        <f t="array" ref="R198">IF(Q198&lt;&gt;"",IF(INDEX(techniques[coverage],MATCH(Q198,techniques[name],0))&gt;0,INDEX(techniques[coverage],MATCH(Q198,techniques[name],0)),""),"")</f>
        <v/>
      </c>
      <c r="S198" s="45" t="n"/>
      <c r="T198" s="62">
        <f t="array" ref="T198">IF(S198&lt;&gt;"",IF(INDEX(techniques[coverage],MATCH(S198,techniques[name],0))&gt;0,INDEX(techniques[coverage],MATCH(S198,techniques[name],0)),""),"")</f>
        <v/>
      </c>
      <c r="U198" s="45" t="n"/>
      <c r="V198" s="62">
        <f t="array" ref="V198">IF(U198&lt;&gt;"",IF(INDEX(techniques[coverage],MATCH(U198,techniques[name],0))&gt;0,INDEX(techniques[coverage],MATCH(U198,techniques[name],0)),""),"")</f>
        <v/>
      </c>
      <c r="W198" s="45" t="n"/>
      <c r="X198" s="62">
        <f t="array" ref="X198">IF(W198&lt;&gt;"",IF(INDEX(techniques[coverage],MATCH(W198,techniques[name],0))&gt;0,INDEX(techniques[coverage],MATCH(W198,techniques[name],0)),""),"")</f>
        <v/>
      </c>
      <c r="Y198" s="45" t="n"/>
      <c r="Z198" s="62">
        <f t="array" ref="Z198">IF(Y198&lt;&gt;"",IF(INDEX(techniques[coverage],MATCH(Y198,techniques[name],0))&gt;0,INDEX(techniques[coverage],MATCH(Y198,techniques[name],0)),""),"")</f>
        <v/>
      </c>
      <c r="AA198" s="45" t="n"/>
      <c r="AB198" s="62">
        <f t="array" ref="AB198">IF(AA198&lt;&gt;"",IF(INDEX(techniques[coverage],MATCH(AA198,techniques[name],0))&gt;0,INDEX(techniques[coverage],MATCH(AA198,techniques[name],0)),""),"")</f>
        <v/>
      </c>
      <c r="AC198" s="45" t="n"/>
      <c r="AD198" s="62">
        <f t="array" ref="AD198">IF(AC198&lt;&gt;"",IF(INDEX(techniques[coverage],MATCH(AC198,techniques[name],0))&gt;0,INDEX(techniques[coverage],MATCH(AC198,techniques[name],0)),""),"")</f>
        <v/>
      </c>
    </row>
    <row r="199">
      <c r="A199" s="45" t="n"/>
      <c r="B199" s="62">
        <f t="array" ref="B199">IF(A199&lt;&gt;"",IF(INDEX(techniques[coverage],MATCH(A199,techniques[name],0))&gt;0,INDEX(techniques[coverage],MATCH(A199,techniques[name],0)),""),"")</f>
        <v/>
      </c>
      <c r="C199" s="45" t="n"/>
      <c r="D199" s="62">
        <f t="array" ref="D199">IF(C199&lt;&gt;"",IF(INDEX(techniques[coverage],MATCH(C199,techniques[name],0))&gt;0,INDEX(techniques[coverage],MATCH(C199,techniques[name],0)),""),"")</f>
        <v/>
      </c>
      <c r="E199" s="45" t="n"/>
      <c r="F199" s="62">
        <f t="array" ref="F199">IF(E199&lt;&gt;"",IF(INDEX(techniques[coverage],MATCH(E199,techniques[name],0))&gt;0,INDEX(techniques[coverage],MATCH(E199,techniques[name],0)),""),"")</f>
        <v/>
      </c>
      <c r="G199" s="45" t="n"/>
      <c r="H199" s="62">
        <f t="array" ref="H199">IF(G199&lt;&gt;"",IF(INDEX(techniques[coverage],MATCH(G199,techniques[name],0))&gt;0,INDEX(techniques[coverage],MATCH(G199,techniques[name],0)),""),"")</f>
        <v/>
      </c>
      <c r="I199" s="45" t="n"/>
      <c r="J199" s="62">
        <f t="array" ref="J199">IF(I199&lt;&gt;"",IF(INDEX(techniques[coverage],MATCH(I199,techniques[name],0))&gt;0,INDEX(techniques[coverage],MATCH(I199,techniques[name],0)),""),"")</f>
        <v/>
      </c>
      <c r="K199" s="45" t="n"/>
      <c r="L199" s="62">
        <f t="array" ref="L199">IF(K199&lt;&gt;"",IF(INDEX(techniques[coverage],MATCH(K199,techniques[name],0))&gt;0,INDEX(techniques[coverage],MATCH(K199,techniques[name],0)),""),"")</f>
        <v/>
      </c>
      <c r="M199" s="45" t="n"/>
      <c r="N199" s="62">
        <f t="array" ref="N199">IF(M199&lt;&gt;"",IF(INDEX(techniques[coverage],MATCH(M199,techniques[name],0))&gt;0,INDEX(techniques[coverage],MATCH(M199,techniques[name],0)),""),"")</f>
        <v/>
      </c>
      <c r="O199" s="45" t="n"/>
      <c r="P199" s="62">
        <f t="array" ref="P199">IF(O199&lt;&gt;"",IF(INDEX(techniques[coverage],MATCH(O199,techniques[name],0))&gt;0,INDEX(techniques[coverage],MATCH(O199,techniques[name],0)),""),"")</f>
        <v/>
      </c>
      <c r="Q199" s="45" t="n"/>
      <c r="R199" s="62">
        <f t="array" ref="R199">IF(Q199&lt;&gt;"",IF(INDEX(techniques[coverage],MATCH(Q199,techniques[name],0))&gt;0,INDEX(techniques[coverage],MATCH(Q199,techniques[name],0)),""),"")</f>
        <v/>
      </c>
      <c r="S199" s="45" t="n"/>
      <c r="T199" s="62">
        <f t="array" ref="T199">IF(S199&lt;&gt;"",IF(INDEX(techniques[coverage],MATCH(S199,techniques[name],0))&gt;0,INDEX(techniques[coverage],MATCH(S199,techniques[name],0)),""),"")</f>
        <v/>
      </c>
      <c r="U199" s="45" t="n"/>
      <c r="V199" s="62">
        <f t="array" ref="V199">IF(U199&lt;&gt;"",IF(INDEX(techniques[coverage],MATCH(U199,techniques[name],0))&gt;0,INDEX(techniques[coverage],MATCH(U199,techniques[name],0)),""),"")</f>
        <v/>
      </c>
      <c r="W199" s="45" t="n"/>
      <c r="X199" s="62">
        <f t="array" ref="X199">IF(W199&lt;&gt;"",IF(INDEX(techniques[coverage],MATCH(W199,techniques[name],0))&gt;0,INDEX(techniques[coverage],MATCH(W199,techniques[name],0)),""),"")</f>
        <v/>
      </c>
      <c r="Y199" s="45" t="n"/>
      <c r="Z199" s="62">
        <f t="array" ref="Z199">IF(Y199&lt;&gt;"",IF(INDEX(techniques[coverage],MATCH(Y199,techniques[name],0))&gt;0,INDEX(techniques[coverage],MATCH(Y199,techniques[name],0)),""),"")</f>
        <v/>
      </c>
      <c r="AA199" s="45" t="n"/>
      <c r="AB199" s="62">
        <f t="array" ref="AB199">IF(AA199&lt;&gt;"",IF(INDEX(techniques[coverage],MATCH(AA199,techniques[name],0))&gt;0,INDEX(techniques[coverage],MATCH(AA199,techniques[name],0)),""),"")</f>
        <v/>
      </c>
      <c r="AC199" s="45" t="n"/>
      <c r="AD199" s="62">
        <f t="array" ref="AD199">IF(AC199&lt;&gt;"",IF(INDEX(techniques[coverage],MATCH(AC199,techniques[name],0))&gt;0,INDEX(techniques[coverage],MATCH(AC199,techniques[name],0)),""),"")</f>
        <v/>
      </c>
    </row>
    <row r="200">
      <c r="A200" s="46" t="n"/>
      <c r="B200" s="64">
        <f t="array" ref="B200">IF(A200&lt;&gt;"",IF(INDEX(techniques[coverage],MATCH(A200,techniques[name],0))&gt;0,INDEX(techniques[coverage],MATCH(A200,techniques[name],0)),""),"")</f>
        <v/>
      </c>
      <c r="C200" s="46" t="n"/>
      <c r="D200" s="64">
        <f t="array" ref="D200">IF(C200&lt;&gt;"",IF(INDEX(techniques[coverage],MATCH(C200,techniques[name],0))&gt;0,INDEX(techniques[coverage],MATCH(C200,techniques[name],0)),""),"")</f>
        <v/>
      </c>
      <c r="E200" s="46" t="n"/>
      <c r="F200" s="64">
        <f t="array" ref="F200">IF(E200&lt;&gt;"",IF(INDEX(techniques[coverage],MATCH(E200,techniques[name],0))&gt;0,INDEX(techniques[coverage],MATCH(E200,techniques[name],0)),""),"")</f>
        <v/>
      </c>
      <c r="G200" s="46" t="n"/>
      <c r="H200" s="64">
        <f t="array" ref="H200">IF(G200&lt;&gt;"",IF(INDEX(techniques[coverage],MATCH(G200,techniques[name],0))&gt;0,INDEX(techniques[coverage],MATCH(G200,techniques[name],0)),""),"")</f>
        <v/>
      </c>
      <c r="I200" s="46" t="n"/>
      <c r="J200" s="64">
        <f t="array" ref="J200">IF(I200&lt;&gt;"",IF(INDEX(techniques[coverage],MATCH(I200,techniques[name],0))&gt;0,INDEX(techniques[coverage],MATCH(I200,techniques[name],0)),""),"")</f>
        <v/>
      </c>
      <c r="K200" s="46" t="n"/>
      <c r="L200" s="64">
        <f t="array" ref="L200">IF(K200&lt;&gt;"",IF(INDEX(techniques[coverage],MATCH(K200,techniques[name],0))&gt;0,INDEX(techniques[coverage],MATCH(K200,techniques[name],0)),""),"")</f>
        <v/>
      </c>
      <c r="M200" s="46" t="n"/>
      <c r="N200" s="64">
        <f t="array" ref="N200">IF(M200&lt;&gt;"",IF(INDEX(techniques[coverage],MATCH(M200,techniques[name],0))&gt;0,INDEX(techniques[coverage],MATCH(M200,techniques[name],0)),""),"")</f>
        <v/>
      </c>
      <c r="O200" s="46" t="n"/>
      <c r="P200" s="64">
        <f t="array" ref="P200">IF(O200&lt;&gt;"",IF(INDEX(techniques[coverage],MATCH(O200,techniques[name],0))&gt;0,INDEX(techniques[coverage],MATCH(O200,techniques[name],0)),""),"")</f>
        <v/>
      </c>
      <c r="Q200" s="46" t="n"/>
      <c r="R200" s="64">
        <f t="array" ref="R200">IF(Q200&lt;&gt;"",IF(INDEX(techniques[coverage],MATCH(Q200,techniques[name],0))&gt;0,INDEX(techniques[coverage],MATCH(Q200,techniques[name],0)),""),"")</f>
        <v/>
      </c>
      <c r="S200" s="46" t="n"/>
      <c r="T200" s="64">
        <f t="array" ref="T200">IF(S200&lt;&gt;"",IF(INDEX(techniques[coverage],MATCH(S200,techniques[name],0))&gt;0,INDEX(techniques[coverage],MATCH(S200,techniques[name],0)),""),"")</f>
        <v/>
      </c>
      <c r="U200" s="46" t="n"/>
      <c r="V200" s="64">
        <f t="array" ref="V200">IF(U200&lt;&gt;"",IF(INDEX(techniques[coverage],MATCH(U200,techniques[name],0))&gt;0,INDEX(techniques[coverage],MATCH(U200,techniques[name],0)),""),"")</f>
        <v/>
      </c>
      <c r="W200" s="46" t="n"/>
      <c r="X200" s="64">
        <f t="array" ref="X200">IF(W200&lt;&gt;"",IF(INDEX(techniques[coverage],MATCH(W200,techniques[name],0))&gt;0,INDEX(techniques[coverage],MATCH(W200,techniques[name],0)),""),"")</f>
        <v/>
      </c>
      <c r="Y200" s="46" t="n"/>
      <c r="Z200" s="64">
        <f t="array" ref="Z200">IF(Y200&lt;&gt;"",IF(INDEX(techniques[coverage],MATCH(Y200,techniques[name],0))&gt;0,INDEX(techniques[coverage],MATCH(Y200,techniques[name],0)),""),"")</f>
        <v/>
      </c>
      <c r="AA200" s="46" t="n"/>
      <c r="AB200" s="64">
        <f t="array" ref="AB200">IF(AA200&lt;&gt;"",IF(INDEX(techniques[coverage],MATCH(AA200,techniques[name],0))&gt;0,INDEX(techniques[coverage],MATCH(AA200,techniques[name],0)),""),"")</f>
        <v/>
      </c>
      <c r="AC200" s="46" t="n"/>
      <c r="AD200" s="64">
        <f t="array" ref="AD200">IF(AC200&lt;&gt;"",IF(INDEX(techniques[coverage],MATCH(AC200,techniques[name],0))&gt;0,INDEX(techniques[coverage],MATCH(AC200,techniques[name],0)),""),"")</f>
        <v/>
      </c>
    </row>
  </sheetData>
  <conditionalFormatting sqref="A2:A200 C2:C200 E2:E200 G2:G200 I2:I200 K2:K200 M2:M200 O2:O200 Q2:Q200 S2:S200 U2:U200 W2:W200 Y2:Y200 AA2:AA200 AC2:AC200">
    <cfRule type="expression" priority="1" dxfId="32" stopIfTrue="1">
      <formula>IF(INDEX(INDIRECT("techniques[technique status]"),MATCH(A2,INDIRECT("techniques[name]"),0))="inconsistent",1,0)</formula>
    </cfRule>
    <cfRule type="expression" priority="3" dxfId="52" stopIfTrue="1">
      <formula>IF(INDEX(INDIRECT("techniques[technique status]"),MATCH(A2,INDIRECT("techniques[name]"),0))="disabled",1,0)</formula>
    </cfRule>
  </conditionalFormatting>
  <conditionalFormatting sqref="B2:B200 D2:D200 F2:F200 H2:H200 J2:J200 L2:L200 N2:N200 P2:P200 R2:R200 T2:T200 V2:V200 X2:X200 Z2:Z200 AB2:AB200 AD2:AD200">
    <cfRule type="expression" priority="2" dxfId="32" stopIfTrue="1">
      <formula>IF(INDEX(INDIRECT("techniques[technique status]"),MATCH(A2,INDIRECT("techniques[name]"),0))="inconsistent",1,0)</formula>
    </cfRule>
    <cfRule type="expression" priority="4" dxfId="52" stopIfTrue="1">
      <formula>IF(INDEX(INDIRECT("techniques[technique status]"),MATCH(A2,INDIRECT("techniques[name]"),0))="disabled",1,0)</formula>
    </cfRule>
  </conditionalFormatting>
  <conditionalFormatting sqref="A1:A200 C1:C200 E1:E200 G1:G200 I1:I200 K1:K200 M1:M200 O1:O200 Q1:Q200 S1:S200 U1:U200 W1:W200 Y1:Y200 AA1:AA200 AC1:AC200">
    <cfRule type="expression" priority="5" dxfId="34" stopIfTrue="1">
      <formula>IF(AND(ISNUMBER(B1),B1&gt;=0.8),1,0)</formula>
    </cfRule>
    <cfRule type="expression" priority="7" dxfId="5" stopIfTrue="1">
      <formula>IF(AND(ISNUMBER(B1),B1&gt;=0.6),1,0)</formula>
    </cfRule>
    <cfRule type="expression" priority="9" dxfId="59" stopIfTrue="1">
      <formula>IF(AND(ISNUMBER(B1),B1&gt;=0.4),1,0)</formula>
    </cfRule>
    <cfRule type="expression" priority="11" dxfId="58" stopIfTrue="1">
      <formula>IF(AND(ISNUMBER(B1),B1&gt;=0.2),1,0)</formula>
    </cfRule>
    <cfRule type="expression" priority="13" dxfId="57" stopIfTrue="1">
      <formula>IF(AND(ISNUMBER(B1),B1&gt;=0.1),1,0)</formula>
    </cfRule>
    <cfRule type="expression" priority="15" dxfId="56" stopIfTrue="1">
      <formula>IF(AND(ISNUMBER(B1),B1&gt;=0.001),1,0)</formula>
    </cfRule>
  </conditionalFormatting>
  <conditionalFormatting sqref="B1:B200 D1:D200 F1:F200 H1:H200 J1:J200 L1:L200 N1:N200 P1:P200 R1:R200 T1:T200 V1:V200 X1:X200 Z1:Z200 AB1:AB200 AD1:AD200">
    <cfRule type="expression" priority="6" dxfId="34" stopIfTrue="1">
      <formula>IF(AND(ISNUMBER(B1),B1&gt;=0.8),1,0)</formula>
    </cfRule>
    <cfRule type="expression" priority="8" dxfId="5" stopIfTrue="1">
      <formula>IF(AND(ISNUMBER(B1),B1&gt;=0.6),1,0)</formula>
    </cfRule>
    <cfRule type="expression" priority="10" dxfId="59" stopIfTrue="1">
      <formula>IF(AND(ISNUMBER(B1),B1&gt;=0.4),1,0)</formula>
    </cfRule>
    <cfRule type="expression" priority="12" dxfId="58" stopIfTrue="1">
      <formula>IF(AND(ISNUMBER(B1),B1&gt;=0.2),1,0)</formula>
    </cfRule>
    <cfRule type="expression" priority="14" dxfId="57" stopIfTrue="1">
      <formula>IF(AND(ISNUMBER(B1),B1&gt;=0.1),1,0)</formula>
    </cfRule>
    <cfRule type="expression" priority="16" dxfId="56" stopIfTrue="1">
      <formula>IF(AND(ISNUMBER(B1),B1&gt;=0.001),1,0)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00"/>
  <sheetViews>
    <sheetView topLeftCell="E1" workbookViewId="0">
      <pane ySplit="1" topLeftCell="A2" activePane="bottomLeft" state="frozen"/>
      <selection pane="bottomLeft" activeCell="W2" sqref="W2:W39"/>
    </sheetView>
  </sheetViews>
  <sheetFormatPr baseColWidth="8" defaultRowHeight="11.25"/>
  <cols>
    <col width="20" customWidth="1" style="35" min="1" max="1"/>
    <col width="5" customWidth="1" style="35" min="2" max="2"/>
    <col width="20" customWidth="1" style="40" min="3" max="3"/>
    <col width="5" customWidth="1" style="35" min="4" max="4"/>
    <col width="20" customWidth="1" style="40" min="5" max="5"/>
    <col width="5" customWidth="1" style="35" min="6" max="6"/>
    <col width="20" customWidth="1" style="39" min="7" max="7"/>
    <col width="5" customWidth="1" style="35" min="8" max="8"/>
    <col width="20" customWidth="1" style="39" min="9" max="9"/>
    <col width="5" customWidth="1" style="35" min="10" max="10"/>
    <col width="20" customWidth="1" style="40" min="11" max="11"/>
    <col width="5" bestFit="1" customWidth="1" style="35" min="12" max="12"/>
    <col width="20" customWidth="1" style="39" min="13" max="13"/>
    <col width="5" customWidth="1" style="35" min="14" max="14"/>
    <col width="20" customWidth="1" style="39" min="15" max="15"/>
    <col width="5" customWidth="1" style="35" min="16" max="16"/>
    <col width="20" customWidth="1" style="39" min="17" max="17"/>
    <col width="5" customWidth="1" style="35" min="18" max="18"/>
    <col width="20" customWidth="1" style="39" min="19" max="19"/>
    <col width="5" customWidth="1" style="35" min="20" max="20"/>
    <col width="20" customWidth="1" style="39" min="21" max="21"/>
    <col width="5" customWidth="1" style="35" min="22" max="22"/>
    <col width="20" customWidth="1" style="39" min="23" max="23"/>
    <col width="5" customWidth="1" style="35" min="24" max="24"/>
    <col width="20" customWidth="1" style="39" min="25" max="25"/>
    <col width="5" customWidth="1" style="35" min="26" max="26"/>
    <col width="20" customWidth="1" style="39" min="27" max="27"/>
    <col width="5" customWidth="1" style="35" min="28" max="28"/>
    <col width="20" customWidth="1" style="39" min="29" max="16384"/>
    <col width="5" customWidth="1" min="30" max="30"/>
  </cols>
  <sheetData>
    <row r="1" ht="12.75" customFormat="1" customHeight="1" s="36">
      <c r="A1" s="56" t="inlineStr">
        <is>
          <t>Reconnaissance</t>
        </is>
      </c>
      <c r="B1" s="57">
        <f>SUM(B2:B200)</f>
        <v/>
      </c>
      <c r="C1" s="56" t="inlineStr">
        <is>
          <t>Resource Development</t>
        </is>
      </c>
      <c r="D1" s="57">
        <f>SUM(D2:D200)</f>
        <v/>
      </c>
      <c r="E1" s="56" t="inlineStr">
        <is>
          <t>Initial Access</t>
        </is>
      </c>
      <c r="F1" s="57">
        <f>SUM(F2:F200)</f>
        <v/>
      </c>
      <c r="G1" s="56" t="inlineStr">
        <is>
          <t>Execution</t>
        </is>
      </c>
      <c r="H1" s="57">
        <f>SUM(H2:H200)</f>
        <v/>
      </c>
      <c r="I1" s="56" t="inlineStr">
        <is>
          <t>Persistence</t>
        </is>
      </c>
      <c r="J1" s="57">
        <f>SUM(J2:J200)</f>
        <v/>
      </c>
      <c r="K1" s="56" t="inlineStr">
        <is>
          <t>Privilege Escalation</t>
        </is>
      </c>
      <c r="L1" s="57">
        <f>SUM(L2:L200)</f>
        <v/>
      </c>
      <c r="M1" s="56" t="inlineStr">
        <is>
          <t>Stealth</t>
        </is>
      </c>
      <c r="N1" s="57">
        <f>SUM(N2:N200)</f>
        <v/>
      </c>
      <c r="O1" s="56" t="inlineStr">
        <is>
          <t>Defense Impairment</t>
        </is>
      </c>
      <c r="P1" s="57">
        <f>SUM(P2:P200)</f>
        <v/>
      </c>
      <c r="Q1" s="56" t="inlineStr">
        <is>
          <t>Credential Access</t>
        </is>
      </c>
      <c r="R1" s="57">
        <f>SUM(R2:R200)</f>
        <v/>
      </c>
      <c r="S1" s="56" t="inlineStr">
        <is>
          <t>Discovery</t>
        </is>
      </c>
      <c r="T1" s="57">
        <f>SUM(T2:T200)</f>
        <v/>
      </c>
      <c r="U1" s="56" t="inlineStr">
        <is>
          <t>Lateral Movement</t>
        </is>
      </c>
      <c r="V1" s="57">
        <f>SUM(V2:V200)</f>
        <v/>
      </c>
      <c r="W1" s="56" t="inlineStr">
        <is>
          <t>Collection</t>
        </is>
      </c>
      <c r="X1" s="57">
        <f>SUM(X2:X200)</f>
        <v/>
      </c>
      <c r="Y1" s="56" t="inlineStr">
        <is>
          <t>Command &amp; Control</t>
        </is>
      </c>
      <c r="Z1" s="57">
        <f>SUM(Z2:Z200)</f>
        <v/>
      </c>
      <c r="AA1" s="56" t="inlineStr">
        <is>
          <t>Exfiltration</t>
        </is>
      </c>
      <c r="AB1" s="57">
        <f>SUM(AB2:AB200)</f>
        <v/>
      </c>
      <c r="AC1" s="56" t="inlineStr">
        <is>
          <t>Impact</t>
        </is>
      </c>
      <c r="AD1" s="57">
        <f>SUM(AD2:AD200)</f>
        <v/>
      </c>
    </row>
    <row r="2" ht="22.5" customHeight="1">
      <c r="A2" s="47" t="inlineStr">
        <is>
          <t>Gather Victim Identity Information (T1589)</t>
        </is>
      </c>
      <c r="B2" s="54">
        <f t="array" ref="B2">IF(A2&lt;&gt;"",IF(INDEX(techniques[detection rules for techique],MATCH(A2,techniques[name],0))&gt;=1,INDEX(techniques[detection rules for techique],MATCH(A2,techniques[name],0)),""),"")</f>
        <v/>
      </c>
      <c r="C2" s="47" t="inlineStr">
        <is>
          <t>Acquire Infrastructure (T1583)</t>
        </is>
      </c>
      <c r="D2" s="54">
        <f t="array" ref="D2">IF(C2&lt;&gt;"",IF(INDEX(techniques[detection rules for techique],MATCH(C2,techniques[name],0))&gt;=1,INDEX(techniques[detection rules for techique],MATCH(C2,techniques[name],0)),""),"")</f>
        <v/>
      </c>
      <c r="E2" s="47" t="inlineStr">
        <is>
          <t>Valid Accounts (T1078)</t>
        </is>
      </c>
      <c r="F2" s="54">
        <f t="array" ref="F2">IF(E2&lt;&gt;"",IF(INDEX(techniques[detection rules for techique],MATCH(E2,techniques[name],0))&gt;=1,INDEX(techniques[detection rules for techique],MATCH(E2,techniques[name],0)),""),"")</f>
        <v/>
      </c>
      <c r="G2" s="47" t="inlineStr">
        <is>
          <t>Windows Management Instrumentation (T1047)</t>
        </is>
      </c>
      <c r="H2" s="54">
        <f t="array" ref="H2">IF(G2&lt;&gt;"",IF(INDEX(techniques[detection rules for techique],MATCH(G2,techniques[name],0))&gt;=1,INDEX(techniques[detection rules for techique],MATCH(G2,techniques[name],0)),""),"")</f>
        <v/>
      </c>
      <c r="I2" s="47" t="inlineStr">
        <is>
          <t>Boot or Logon Initialization Scripts (T1037)</t>
        </is>
      </c>
      <c r="J2" s="54">
        <f t="array" ref="J2">IF(I2&lt;&gt;"",IF(INDEX(techniques[detection rules for techique],MATCH(I2,techniques[name],0))&gt;=1,INDEX(techniques[detection rules for techique],MATCH(I2,techniques[name],0)),""),"")</f>
        <v/>
      </c>
      <c r="K2" s="47" t="inlineStr">
        <is>
          <t>Boot or Logon Initialization Scripts (T1037)</t>
        </is>
      </c>
      <c r="L2" s="54">
        <f t="array" ref="L2">IF(K2&lt;&gt;"",IF(INDEX(techniques[detection rules for techique],MATCH(K2,techniques[name],0))&gt;=1,INDEX(techniques[detection rules for techique],MATCH(K2,techniques[name],0)),""),"")</f>
        <v/>
      </c>
      <c r="M2" s="47" t="inlineStr">
        <is>
          <t>Direct Volume Access (T1006)</t>
        </is>
      </c>
      <c r="N2" s="54">
        <f t="array" ref="N2">IF(M2&lt;&gt;"",IF(INDEX(techniques[detection rules for techique],MATCH(M2,techniques[name],0))&gt;=1,INDEX(techniques[detection rules for techique],MATCH(M2,techniques[name],0)),""),"")</f>
        <v/>
      </c>
      <c r="O2" s="47" t="inlineStr">
        <is>
          <t>Modify Registry (T1112)</t>
        </is>
      </c>
      <c r="P2" s="54">
        <f t="array" ref="P2">IF(O2&lt;&gt;"",IF(INDEX(techniques[detection rules for techique],MATCH(O2,techniques[name],0))&gt;=1,INDEX(techniques[detection rules for techique],MATCH(O2,techniques[name],0)),""),"")</f>
        <v/>
      </c>
      <c r="Q2" s="47" t="inlineStr">
        <is>
          <t>OS Credential Dumping (T1003)</t>
        </is>
      </c>
      <c r="R2" s="54">
        <f t="array" ref="R2">IF(Q2&lt;&gt;"",IF(INDEX(techniques[detection rules for techique],MATCH(Q2,techniques[name],0))&gt;=1,INDEX(techniques[detection rules for techique],MATCH(Q2,techniques[name],0)),""),"")</f>
        <v/>
      </c>
      <c r="S2" s="47" t="inlineStr">
        <is>
          <t>System Service Discovery (T1007)</t>
        </is>
      </c>
      <c r="T2" s="54">
        <f t="array" ref="T2">IF(S2&lt;&gt;"",IF(INDEX(techniques[detection rules for techique],MATCH(S2,techniques[name],0))&gt;=1,INDEX(techniques[detection rules for techique],MATCH(S2,techniques[name],0)),""),"")</f>
        <v/>
      </c>
      <c r="U2" s="47" t="inlineStr">
        <is>
          <t>Remote Services (T1021)</t>
        </is>
      </c>
      <c r="V2" s="54">
        <f t="array" ref="V2">IF(U2&lt;&gt;"",IF(INDEX(techniques[detection rules for techique],MATCH(U2,techniques[name],0))&gt;=1,INDEX(techniques[detection rules for techique],MATCH(U2,techniques[name],0)),""),"")</f>
        <v/>
      </c>
      <c r="W2" s="47" t="inlineStr">
        <is>
          <t>Data from Local System (T1005)</t>
        </is>
      </c>
      <c r="X2" s="54">
        <f t="array" ref="X2">IF(W2&lt;&gt;"",IF(INDEX(techniques[detection rules for techique],MATCH(W2,techniques[name],0))&gt;=1,INDEX(techniques[detection rules for techique],MATCH(W2,techniques[name],0)),""),"")</f>
        <v/>
      </c>
      <c r="Y2" s="47" t="inlineStr">
        <is>
          <t>Data Obfuscation (T1001)</t>
        </is>
      </c>
      <c r="Z2" s="54">
        <f t="array" ref="Z2">IF(Y2&lt;&gt;"",IF(INDEX(techniques[detection rules for techique],MATCH(Y2,techniques[name],0))&gt;=1,INDEX(techniques[detection rules for techique],MATCH(Y2,techniques[name],0)),""),"")</f>
        <v/>
      </c>
      <c r="AA2" s="47" t="inlineStr">
        <is>
          <t>Exfiltration Over Other Network Medium (T1011)</t>
        </is>
      </c>
      <c r="AB2" s="54">
        <f t="array" ref="AB2">IF(AA2&lt;&gt;"",IF(INDEX(techniques[detection rules for techique],MATCH(AA2,techniques[name],0))&gt;=1,INDEX(techniques[detection rules for techique],MATCH(AA2,techniques[name],0)),""),"")</f>
        <v/>
      </c>
      <c r="AC2" s="47" t="inlineStr">
        <is>
          <t>Data Destruction (T1485)</t>
        </is>
      </c>
      <c r="AD2" s="54">
        <f t="array" ref="AD2">IF(AC2&lt;&gt;"",IF(INDEX(techniques[detection rules for techique],MATCH(AC2,techniques[name],0))&gt;=1,INDEX(techniques[detection rules for techique],MATCH(AC2,techniques[name],0)),""),"")</f>
        <v/>
      </c>
    </row>
    <row r="3" ht="22.5" customHeight="1">
      <c r="A3" s="47" t="inlineStr">
        <is>
          <t>Credentials (T1589.001)</t>
        </is>
      </c>
      <c r="B3" s="54">
        <f t="array" ref="B3">IF(A3&lt;&gt;"",IF(INDEX(techniques[detection rules for techique],MATCH(A3,techniques[name],0))&gt;=1,INDEX(techniques[detection rules for techique],MATCH(A3,techniques[name],0)),""),"")</f>
        <v/>
      </c>
      <c r="C3" s="47" t="inlineStr">
        <is>
          <t>Domains (T1583.001)</t>
        </is>
      </c>
      <c r="D3" s="54">
        <f t="array" ref="D3">IF(C3&lt;&gt;"",IF(INDEX(techniques[detection rules for techique],MATCH(C3,techniques[name],0))&gt;=1,INDEX(techniques[detection rules for techique],MATCH(C3,techniques[name],0)),""),"")</f>
        <v/>
      </c>
      <c r="E3" s="47" t="inlineStr">
        <is>
          <t>Default Accounts (T1078.001)</t>
        </is>
      </c>
      <c r="F3" s="54">
        <f t="array" ref="F3">IF(E3&lt;&gt;"",IF(INDEX(techniques[detection rules for techique],MATCH(E3,techniques[name],0))&gt;=1,INDEX(techniques[detection rules for techique],MATCH(E3,techniques[name],0)),""),"")</f>
        <v/>
      </c>
      <c r="G3" s="47" t="inlineStr">
        <is>
          <t>Scheduled Task/Job (T1053)</t>
        </is>
      </c>
      <c r="H3" s="54">
        <f t="array" ref="H3">IF(G3&lt;&gt;"",IF(INDEX(techniques[detection rules for techique],MATCH(G3,techniques[name],0))&gt;=1,INDEX(techniques[detection rules for techique],MATCH(G3,techniques[name],0)),""),"")</f>
        <v/>
      </c>
      <c r="I3" s="47" t="inlineStr">
        <is>
          <t>Logon Script (Windows) (T1037.001)</t>
        </is>
      </c>
      <c r="J3" s="54">
        <f t="array" ref="J3">IF(I3&lt;&gt;"",IF(INDEX(techniques[detection rules for techique],MATCH(I3,techniques[name],0))&gt;=1,INDEX(techniques[detection rules for techique],MATCH(I3,techniques[name],0)),""),"")</f>
        <v/>
      </c>
      <c r="K3" s="47" t="inlineStr">
        <is>
          <t>Logon Script (Windows) (T1037.001)</t>
        </is>
      </c>
      <c r="L3" s="54">
        <f t="array" ref="L3">IF(K3&lt;&gt;"",IF(INDEX(techniques[detection rules for techique],MATCH(K3,techniques[name],0))&gt;=1,INDEX(techniques[detection rules for techique],MATCH(K3,techniques[name],0)),""),"")</f>
        <v/>
      </c>
      <c r="M3" s="47" t="inlineStr">
        <is>
          <t>Rootkit (T1014)</t>
        </is>
      </c>
      <c r="N3" s="54">
        <f t="array" ref="N3">IF(M3&lt;&gt;"",IF(INDEX(techniques[detection rules for techique],MATCH(M3,techniques[name],0))&gt;=1,INDEX(techniques[detection rules for techique],MATCH(M3,techniques[name],0)),""),"")</f>
        <v/>
      </c>
      <c r="O3" s="47" t="inlineStr">
        <is>
          <t>Rogue Domain Controller (T1207)</t>
        </is>
      </c>
      <c r="P3" s="54">
        <f t="array" ref="P3">IF(O3&lt;&gt;"",IF(INDEX(techniques[detection rules for techique],MATCH(O3,techniques[name],0))&gt;=1,INDEX(techniques[detection rules for techique],MATCH(O3,techniques[name],0)),""),"")</f>
        <v/>
      </c>
      <c r="Q3" s="47" t="inlineStr">
        <is>
          <t>LSASS Memory (T1003.001)</t>
        </is>
      </c>
      <c r="R3" s="54">
        <f t="array" ref="R3">IF(Q3&lt;&gt;"",IF(INDEX(techniques[detection rules for techique],MATCH(Q3,techniques[name],0))&gt;=1,INDEX(techniques[detection rules for techique],MATCH(Q3,techniques[name],0)),""),"")</f>
        <v/>
      </c>
      <c r="S3" s="47" t="inlineStr">
        <is>
          <t>Application Window Discovery (T1010)</t>
        </is>
      </c>
      <c r="T3" s="54">
        <f t="array" ref="T3">IF(S3&lt;&gt;"",IF(INDEX(techniques[detection rules for techique],MATCH(S3,techniques[name],0))&gt;=1,INDEX(techniques[detection rules for techique],MATCH(S3,techniques[name],0)),""),"")</f>
        <v/>
      </c>
      <c r="U3" s="47" t="inlineStr">
        <is>
          <t>Remote Desktop Protocol (T1021.001)</t>
        </is>
      </c>
      <c r="V3" s="54">
        <f t="array" ref="V3">IF(U3&lt;&gt;"",IF(INDEX(techniques[detection rules for techique],MATCH(U3,techniques[name],0))&gt;=1,INDEX(techniques[detection rules for techique],MATCH(U3,techniques[name],0)),""),"")</f>
        <v/>
      </c>
      <c r="W3" s="47" t="inlineStr">
        <is>
          <t>Data from Removable Media (T1025)</t>
        </is>
      </c>
      <c r="X3" s="54">
        <f t="array" ref="X3">IF(W3&lt;&gt;"",IF(INDEX(techniques[detection rules for techique],MATCH(W3,techniques[name],0))&gt;=1,INDEX(techniques[detection rules for techique],MATCH(W3,techniques[name],0)),""),"")</f>
        <v/>
      </c>
      <c r="Y3" s="47" t="inlineStr">
        <is>
          <t>Junk Data (T1001.001)</t>
        </is>
      </c>
      <c r="Z3" s="54">
        <f t="array" ref="Z3">IF(Y3&lt;&gt;"",IF(INDEX(techniques[detection rules for techique],MATCH(Y3,techniques[name],0))&gt;=1,INDEX(techniques[detection rules for techique],MATCH(Y3,techniques[name],0)),""),"")</f>
        <v/>
      </c>
      <c r="AA3" s="47" t="inlineStr">
        <is>
          <t>Exfiltration Over Bluetooth (T1011.001)</t>
        </is>
      </c>
      <c r="AB3" s="54">
        <f t="array" ref="AB3">IF(AA3&lt;&gt;"",IF(INDEX(techniques[detection rules for techique],MATCH(AA3,techniques[name],0))&gt;=1,INDEX(techniques[detection rules for techique],MATCH(AA3,techniques[name],0)),""),"")</f>
        <v/>
      </c>
      <c r="AC3" s="47" t="inlineStr">
        <is>
          <t>Lifecycle-Triggered Deletion (T1485.001)</t>
        </is>
      </c>
      <c r="AD3" s="54">
        <f t="array" ref="AD3">IF(AC3&lt;&gt;"",IF(INDEX(techniques[detection rules for techique],MATCH(AC3,techniques[name],0))&gt;=1,INDEX(techniques[detection rules for techique],MATCH(AC3,techniques[name],0)),""),"")</f>
        <v/>
      </c>
    </row>
    <row r="4" ht="22.5" customHeight="1">
      <c r="A4" s="47" t="inlineStr">
        <is>
          <t>Email Addresses (T1589.002)</t>
        </is>
      </c>
      <c r="B4" s="54">
        <f t="array" ref="B4">IF(A4&lt;&gt;"",IF(INDEX(techniques[detection rules for techique],MATCH(A4,techniques[name],0))&gt;=1,INDEX(techniques[detection rules for techique],MATCH(A4,techniques[name],0)),""),"")</f>
        <v/>
      </c>
      <c r="C4" s="47" t="inlineStr">
        <is>
          <t>DNS Server (T1583.002)</t>
        </is>
      </c>
      <c r="D4" s="54">
        <f t="array" ref="D4">IF(C4&lt;&gt;"",IF(INDEX(techniques[detection rules for techique],MATCH(C4,techniques[name],0))&gt;=1,INDEX(techniques[detection rules for techique],MATCH(C4,techniques[name],0)),""),"")</f>
        <v/>
      </c>
      <c r="E4" s="47" t="inlineStr">
        <is>
          <t>Domain Accounts (T1078.002)</t>
        </is>
      </c>
      <c r="F4" s="54">
        <f t="array" ref="F4">IF(E4&lt;&gt;"",IF(INDEX(techniques[detection rules for techique],MATCH(E4,techniques[name],0))&gt;=1,INDEX(techniques[detection rules for techique],MATCH(E4,techniques[name],0)),""),"")</f>
        <v/>
      </c>
      <c r="G4" s="47" t="inlineStr">
        <is>
          <t>At (T1053.002)</t>
        </is>
      </c>
      <c r="H4" s="54">
        <f t="array" ref="H4">IF(G4&lt;&gt;"",IF(INDEX(techniques[detection rules for techique],MATCH(G4,techniques[name],0))&gt;=1,INDEX(techniques[detection rules for techique],MATCH(G4,techniques[name],0)),""),"")</f>
        <v/>
      </c>
      <c r="I4" s="47" t="inlineStr">
        <is>
          <t>Login Hook (T1037.002)</t>
        </is>
      </c>
      <c r="J4" s="54">
        <f t="array" ref="J4">IF(I4&lt;&gt;"",IF(INDEX(techniques[detection rules for techique],MATCH(I4,techniques[name],0))&gt;=1,INDEX(techniques[detection rules for techique],MATCH(I4,techniques[name],0)),""),"")</f>
        <v/>
      </c>
      <c r="K4" s="47" t="inlineStr">
        <is>
          <t>Login Hook (T1037.002)</t>
        </is>
      </c>
      <c r="L4" s="54">
        <f t="array" ref="L4">IF(K4&lt;&gt;"",IF(INDEX(techniques[detection rules for techique],MATCH(K4,techniques[name],0))&gt;=1,INDEX(techniques[detection rules for techique],MATCH(K4,techniques[name],0)),""),"")</f>
        <v/>
      </c>
      <c r="M4" s="47" t="inlineStr">
        <is>
          <t>Obfuscated Files or Information (T1027)</t>
        </is>
      </c>
      <c r="N4" s="54">
        <f t="array" ref="N4">IF(M4&lt;&gt;"",IF(INDEX(techniques[detection rules for techique],MATCH(M4,techniques[name],0))&gt;=1,INDEX(techniques[detection rules for techique],MATCH(M4,techniques[name],0)),""),"")</f>
        <v/>
      </c>
      <c r="O4" s="47" t="inlineStr">
        <is>
          <t>File and Directory Permissions Modification (T1222)</t>
        </is>
      </c>
      <c r="P4" s="54">
        <f t="array" ref="P4">IF(O4&lt;&gt;"",IF(INDEX(techniques[detection rules for techique],MATCH(O4,techniques[name],0))&gt;=1,INDEX(techniques[detection rules for techique],MATCH(O4,techniques[name],0)),""),"")</f>
        <v/>
      </c>
      <c r="Q4" s="47" t="inlineStr">
        <is>
          <t>Security Account Manager (T1003.002)</t>
        </is>
      </c>
      <c r="R4" s="54">
        <f t="array" ref="R4">IF(Q4&lt;&gt;"",IF(INDEX(techniques[detection rules for techique],MATCH(Q4,techniques[name],0))&gt;=1,INDEX(techniques[detection rules for techique],MATCH(Q4,techniques[name],0)),""),"")</f>
        <v/>
      </c>
      <c r="S4" s="47" t="inlineStr">
        <is>
          <t>Query Registry (T1012)</t>
        </is>
      </c>
      <c r="T4" s="54">
        <f t="array" ref="T4">IF(S4&lt;&gt;"",IF(INDEX(techniques[detection rules for techique],MATCH(S4,techniques[name],0))&gt;=1,INDEX(techniques[detection rules for techique],MATCH(S4,techniques[name],0)),""),"")</f>
        <v/>
      </c>
      <c r="U4" s="47" t="inlineStr">
        <is>
          <t>SMB/Windows Admin Shares (T1021.002)</t>
        </is>
      </c>
      <c r="V4" s="54">
        <f t="array" ref="V4">IF(U4&lt;&gt;"",IF(INDEX(techniques[detection rules for techique],MATCH(U4,techniques[name],0))&gt;=1,INDEX(techniques[detection rules for techique],MATCH(U4,techniques[name],0)),""),"")</f>
        <v/>
      </c>
      <c r="W4" s="47" t="inlineStr">
        <is>
          <t>Data from Network Shared Drive (T1039)</t>
        </is>
      </c>
      <c r="X4" s="54">
        <f t="array" ref="X4">IF(W4&lt;&gt;"",IF(INDEX(techniques[detection rules for techique],MATCH(W4,techniques[name],0))&gt;=1,INDEX(techniques[detection rules for techique],MATCH(W4,techniques[name],0)),""),"")</f>
        <v/>
      </c>
      <c r="Y4" s="47" t="inlineStr">
        <is>
          <t>Steganography (T1001.002)</t>
        </is>
      </c>
      <c r="Z4" s="54">
        <f t="array" ref="Z4">IF(Y4&lt;&gt;"",IF(INDEX(techniques[detection rules for techique],MATCH(Y4,techniques[name],0))&gt;=1,INDEX(techniques[detection rules for techique],MATCH(Y4,techniques[name],0)),""),"")</f>
        <v/>
      </c>
      <c r="AA4" s="47" t="inlineStr">
        <is>
          <t>Automated Exfiltration (T1020)</t>
        </is>
      </c>
      <c r="AB4" s="54">
        <f t="array" ref="AB4">IF(AA4&lt;&gt;"",IF(INDEX(techniques[detection rules for techique],MATCH(AA4,techniques[name],0))&gt;=1,INDEX(techniques[detection rules for techique],MATCH(AA4,techniques[name],0)),""),"")</f>
        <v/>
      </c>
      <c r="AC4" s="47" t="inlineStr">
        <is>
          <t>Data Encrypted for Impact (T1486)</t>
        </is>
      </c>
      <c r="AD4" s="54">
        <f t="array" ref="AD4">IF(AC4&lt;&gt;"",IF(INDEX(techniques[detection rules for techique],MATCH(AC4,techniques[name],0))&gt;=1,INDEX(techniques[detection rules for techique],MATCH(AC4,techniques[name],0)),""),"")</f>
        <v/>
      </c>
    </row>
    <row r="5" ht="33.75" customHeight="1">
      <c r="A5" s="47" t="inlineStr">
        <is>
          <t>Employee Names (T1589.003)</t>
        </is>
      </c>
      <c r="B5" s="54">
        <f t="array" ref="B5">IF(A5&lt;&gt;"",IF(INDEX(techniques[detection rules for techique],MATCH(A5,techniques[name],0))&gt;=1,INDEX(techniques[detection rules for techique],MATCH(A5,techniques[name],0)),""),"")</f>
        <v/>
      </c>
      <c r="C5" s="47" t="inlineStr">
        <is>
          <t>Virtual Private Server (T1583.003)</t>
        </is>
      </c>
      <c r="D5" s="54">
        <f t="array" ref="D5">IF(C5&lt;&gt;"",IF(INDEX(techniques[detection rules for techique],MATCH(C5,techniques[name],0))&gt;=1,INDEX(techniques[detection rules for techique],MATCH(C5,techniques[name],0)),""),"")</f>
        <v/>
      </c>
      <c r="E5" s="47" t="inlineStr">
        <is>
          <t>Local Accounts (T1078.003)</t>
        </is>
      </c>
      <c r="F5" s="54">
        <f t="array" ref="F5">IF(E5&lt;&gt;"",IF(INDEX(techniques[detection rules for techique],MATCH(E5,techniques[name],0))&gt;=1,INDEX(techniques[detection rules for techique],MATCH(E5,techniques[name],0)),""),"")</f>
        <v/>
      </c>
      <c r="G5" s="47" t="inlineStr">
        <is>
          <t>Cron (T1053.003)</t>
        </is>
      </c>
      <c r="H5" s="54">
        <f t="array" ref="H5">IF(G5&lt;&gt;"",IF(INDEX(techniques[detection rules for techique],MATCH(G5,techniques[name],0))&gt;=1,INDEX(techniques[detection rules for techique],MATCH(G5,techniques[name],0)),""),"")</f>
        <v/>
      </c>
      <c r="I5" s="47" t="inlineStr">
        <is>
          <t>Network Logon Script (T1037.003)</t>
        </is>
      </c>
      <c r="J5" s="54">
        <f t="array" ref="J5">IF(I5&lt;&gt;"",IF(INDEX(techniques[detection rules for techique],MATCH(I5,techniques[name],0))&gt;=1,INDEX(techniques[detection rules for techique],MATCH(I5,techniques[name],0)),""),"")</f>
        <v/>
      </c>
      <c r="K5" s="47" t="inlineStr">
        <is>
          <t>Network Logon Script (T1037.003)</t>
        </is>
      </c>
      <c r="L5" s="54">
        <f t="array" ref="L5">IF(K5&lt;&gt;"",IF(INDEX(techniques[detection rules for techique],MATCH(K5,techniques[name],0))&gt;=1,INDEX(techniques[detection rules for techique],MATCH(K5,techniques[name],0)),""),"")</f>
        <v/>
      </c>
      <c r="M5" s="47" t="inlineStr">
        <is>
          <t>Binary Padding (T1027.001)</t>
        </is>
      </c>
      <c r="N5" s="54">
        <f t="array" ref="N5">IF(M5&lt;&gt;"",IF(INDEX(techniques[detection rules for techique],MATCH(M5,techniques[name],0))&gt;=1,INDEX(techniques[detection rules for techique],MATCH(M5,techniques[name],0)),""),"")</f>
        <v/>
      </c>
      <c r="O5" s="47" t="inlineStr">
        <is>
          <t>Windows Permissions (T1222.001)</t>
        </is>
      </c>
      <c r="P5" s="54">
        <f t="array" ref="P5">IF(O5&lt;&gt;"",IF(INDEX(techniques[detection rules for techique],MATCH(O5,techniques[name],0))&gt;=1,INDEX(techniques[detection rules for techique],MATCH(O5,techniques[name],0)),""),"")</f>
        <v/>
      </c>
      <c r="Q5" s="47" t="inlineStr">
        <is>
          <t>NTDS (T1003.003)</t>
        </is>
      </c>
      <c r="R5" s="54">
        <f t="array" ref="R5">IF(Q5&lt;&gt;"",IF(INDEX(techniques[detection rules for techique],MATCH(Q5,techniques[name],0))&gt;=1,INDEX(techniques[detection rules for techique],MATCH(Q5,techniques[name],0)),""),"")</f>
        <v/>
      </c>
      <c r="S5" s="47" t="inlineStr">
        <is>
          <t>System Network Configuration Discovery (T1016)</t>
        </is>
      </c>
      <c r="T5" s="54">
        <f t="array" ref="T5">IF(S5&lt;&gt;"",IF(INDEX(techniques[detection rules for techique],MATCH(S5,techniques[name],0))&gt;=1,INDEX(techniques[detection rules for techique],MATCH(S5,techniques[name],0)),""),"")</f>
        <v/>
      </c>
      <c r="U5" s="47" t="inlineStr">
        <is>
          <t>Distributed Component Object Model (T1021.003)</t>
        </is>
      </c>
      <c r="V5" s="54">
        <f t="array" ref="V5">IF(U5&lt;&gt;"",IF(INDEX(techniques[detection rules for techique],MATCH(U5,techniques[name],0))&gt;=1,INDEX(techniques[detection rules for techique],MATCH(U5,techniques[name],0)),""),"")</f>
        <v/>
      </c>
      <c r="W5" s="47" t="inlineStr">
        <is>
          <t>Input Capture (T1056)</t>
        </is>
      </c>
      <c r="X5" s="54">
        <f t="array" ref="X5">IF(W5&lt;&gt;"",IF(INDEX(techniques[detection rules for techique],MATCH(W5,techniques[name],0))&gt;=1,INDEX(techniques[detection rules for techique],MATCH(W5,techniques[name],0)),""),"")</f>
        <v/>
      </c>
      <c r="Y5" s="47" t="inlineStr">
        <is>
          <t>Protocol or Service Impersonation (T1001.003)</t>
        </is>
      </c>
      <c r="Z5" s="54">
        <f t="array" ref="Z5">IF(Y5&lt;&gt;"",IF(INDEX(techniques[detection rules for techique],MATCH(Y5,techniques[name],0))&gt;=1,INDEX(techniques[detection rules for techique],MATCH(Y5,techniques[name],0)),""),"")</f>
        <v/>
      </c>
      <c r="AA5" s="47" t="inlineStr">
        <is>
          <t>Traffic Duplication (T1020.001)</t>
        </is>
      </c>
      <c r="AB5" s="54">
        <f t="array" ref="AB5">IF(AA5&lt;&gt;"",IF(INDEX(techniques[detection rules for techique],MATCH(AA5,techniques[name],0))&gt;=1,INDEX(techniques[detection rules for techique],MATCH(AA5,techniques[name],0)),""),"")</f>
        <v/>
      </c>
      <c r="AC5" s="47" t="inlineStr">
        <is>
          <t>Service Stop (T1489)</t>
        </is>
      </c>
      <c r="AD5" s="54">
        <f t="array" ref="AD5">IF(AC5&lt;&gt;"",IF(INDEX(techniques[detection rules for techique],MATCH(AC5,techniques[name],0))&gt;=1,INDEX(techniques[detection rules for techique],MATCH(AC5,techniques[name],0)),""),"")</f>
        <v/>
      </c>
    </row>
    <row r="6" ht="22.5" customHeight="1">
      <c r="A6" s="47" t="inlineStr">
        <is>
          <t>Gather Victim Network Information (T1590)</t>
        </is>
      </c>
      <c r="B6" s="54">
        <f t="array" ref="B6">IF(A6&lt;&gt;"",IF(INDEX(techniques[detection rules for techique],MATCH(A6,techniques[name],0))&gt;=1,INDEX(techniques[detection rules for techique],MATCH(A6,techniques[name],0)),""),"")</f>
        <v/>
      </c>
      <c r="C6" s="47" t="inlineStr">
        <is>
          <t>Server (T1583.004)</t>
        </is>
      </c>
      <c r="D6" s="54">
        <f t="array" ref="D6">IF(C6&lt;&gt;"",IF(INDEX(techniques[detection rules for techique],MATCH(C6,techniques[name],0))&gt;=1,INDEX(techniques[detection rules for techique],MATCH(C6,techniques[name],0)),""),"")</f>
        <v/>
      </c>
      <c r="E6" s="47" t="inlineStr">
        <is>
          <t>Cloud Accounts (T1078.004)</t>
        </is>
      </c>
      <c r="F6" s="54">
        <f t="array" ref="F6">IF(E6&lt;&gt;"",IF(INDEX(techniques[detection rules for techique],MATCH(E6,techniques[name],0))&gt;=1,INDEX(techniques[detection rules for techique],MATCH(E6,techniques[name],0)),""),"")</f>
        <v/>
      </c>
      <c r="G6" s="47" t="inlineStr">
        <is>
          <t>Scheduled Task (T1053.005)</t>
        </is>
      </c>
      <c r="H6" s="54">
        <f t="array" ref="H6">IF(G6&lt;&gt;"",IF(INDEX(techniques[detection rules for techique],MATCH(G6,techniques[name],0))&gt;=1,INDEX(techniques[detection rules for techique],MATCH(G6,techniques[name],0)),""),"")</f>
        <v/>
      </c>
      <c r="I6" s="47" t="inlineStr">
        <is>
          <t>RC Scripts (T1037.004)</t>
        </is>
      </c>
      <c r="J6" s="54">
        <f t="array" ref="J6">IF(I6&lt;&gt;"",IF(INDEX(techniques[detection rules for techique],MATCH(I6,techniques[name],0))&gt;=1,INDEX(techniques[detection rules for techique],MATCH(I6,techniques[name],0)),""),"")</f>
        <v/>
      </c>
      <c r="K6" s="47" t="inlineStr">
        <is>
          <t>RC Scripts (T1037.004)</t>
        </is>
      </c>
      <c r="L6" s="54">
        <f t="array" ref="L6">IF(K6&lt;&gt;"",IF(INDEX(techniques[detection rules for techique],MATCH(K6,techniques[name],0))&gt;=1,INDEX(techniques[detection rules for techique],MATCH(K6,techniques[name],0)),""),"")</f>
        <v/>
      </c>
      <c r="M6" s="47" t="inlineStr">
        <is>
          <t>Software Packing (T1027.002)</t>
        </is>
      </c>
      <c r="N6" s="54">
        <f t="array" ref="N6">IF(M6&lt;&gt;"",IF(INDEX(techniques[detection rules for techique],MATCH(M6,techniques[name],0))&gt;=1,INDEX(techniques[detection rules for techique],MATCH(M6,techniques[name],0)),""),"")</f>
        <v/>
      </c>
      <c r="O6" s="47" t="inlineStr">
        <is>
          <t>Linux and Mac Permissions (T1222.002)</t>
        </is>
      </c>
      <c r="P6" s="54">
        <f t="array" ref="P6">IF(O6&lt;&gt;"",IF(INDEX(techniques[detection rules for techique],MATCH(O6,techniques[name],0))&gt;=1,INDEX(techniques[detection rules for techique],MATCH(O6,techniques[name],0)),""),"")</f>
        <v/>
      </c>
      <c r="Q6" s="47" t="inlineStr">
        <is>
          <t>LSA Secrets (T1003.004)</t>
        </is>
      </c>
      <c r="R6" s="54">
        <f t="array" ref="R6">IF(Q6&lt;&gt;"",IF(INDEX(techniques[detection rules for techique],MATCH(Q6,techniques[name],0))&gt;=1,INDEX(techniques[detection rules for techique],MATCH(Q6,techniques[name],0)),""),"")</f>
        <v/>
      </c>
      <c r="S6" s="47" t="inlineStr">
        <is>
          <t>Internet Connection Discovery (T1016.001)</t>
        </is>
      </c>
      <c r="T6" s="54">
        <f t="array" ref="T6">IF(S6&lt;&gt;"",IF(INDEX(techniques[detection rules for techique],MATCH(S6,techniques[name],0))&gt;=1,INDEX(techniques[detection rules for techique],MATCH(S6,techniques[name],0)),""),"")</f>
        <v/>
      </c>
      <c r="U6" s="47" t="inlineStr">
        <is>
          <t>SSH (T1021.004)</t>
        </is>
      </c>
      <c r="V6" s="54">
        <f t="array" ref="V6">IF(U6&lt;&gt;"",IF(INDEX(techniques[detection rules for techique],MATCH(U6,techniques[name],0))&gt;=1,INDEX(techniques[detection rules for techique],MATCH(U6,techniques[name],0)),""),"")</f>
        <v/>
      </c>
      <c r="W6" s="47" t="inlineStr">
        <is>
          <t>Keylogging (T1056.001)</t>
        </is>
      </c>
      <c r="X6" s="54">
        <f t="array" ref="X6">IF(W6&lt;&gt;"",IF(INDEX(techniques[detection rules for techique],MATCH(W6,techniques[name],0))&gt;=1,INDEX(techniques[detection rules for techique],MATCH(W6,techniques[name],0)),""),"")</f>
        <v/>
      </c>
      <c r="Y6" s="47" t="inlineStr">
        <is>
          <t>Fallback Channels (T1008)</t>
        </is>
      </c>
      <c r="Z6" s="54">
        <f t="array" ref="Z6">IF(Y6&lt;&gt;"",IF(INDEX(techniques[detection rules for techique],MATCH(Y6,techniques[name],0))&gt;=1,INDEX(techniques[detection rules for techique],MATCH(Y6,techniques[name],0)),""),"")</f>
        <v/>
      </c>
      <c r="AA6" s="47" t="inlineStr">
        <is>
          <t>Scheduled Transfer (T1029)</t>
        </is>
      </c>
      <c r="AB6" s="54">
        <f t="array" ref="AB6">IF(AA6&lt;&gt;"",IF(INDEX(techniques[detection rules for techique],MATCH(AA6,techniques[name],0))&gt;=1,INDEX(techniques[detection rules for techique],MATCH(AA6,techniques[name],0)),""),"")</f>
        <v/>
      </c>
      <c r="AC6" s="47" t="inlineStr">
        <is>
          <t>Inhibit System Recovery (T1490)</t>
        </is>
      </c>
      <c r="AD6" s="54">
        <f t="array" ref="AD6">IF(AC6&lt;&gt;"",IF(INDEX(techniques[detection rules for techique],MATCH(AC6,techniques[name],0))&gt;=1,INDEX(techniques[detection rules for techique],MATCH(AC6,techniques[name],0)),""),"")</f>
        <v/>
      </c>
    </row>
    <row r="7" ht="22.5" customHeight="1">
      <c r="A7" s="47" t="inlineStr">
        <is>
          <t>Domain Properties (T1590.001)</t>
        </is>
      </c>
      <c r="B7" s="54">
        <f t="array" ref="B7">IF(A7&lt;&gt;"",IF(INDEX(techniques[detection rules for techique],MATCH(A7,techniques[name],0))&gt;=1,INDEX(techniques[detection rules for techique],MATCH(A7,techniques[name],0)),""),"")</f>
        <v/>
      </c>
      <c r="C7" s="47" t="inlineStr">
        <is>
          <t>Botnet (T1583.005)</t>
        </is>
      </c>
      <c r="D7" s="54">
        <f t="array" ref="D7">IF(C7&lt;&gt;"",IF(INDEX(techniques[detection rules for techique],MATCH(C7,techniques[name],0))&gt;=1,INDEX(techniques[detection rules for techique],MATCH(C7,techniques[name],0)),""),"")</f>
        <v/>
      </c>
      <c r="E7" s="47" t="inlineStr">
        <is>
          <t>Replication Through Removable Media (T1091)</t>
        </is>
      </c>
      <c r="F7" s="54">
        <f t="array" ref="F7">IF(E7&lt;&gt;"",IF(INDEX(techniques[detection rules for techique],MATCH(E7,techniques[name],0))&gt;=1,INDEX(techniques[detection rules for techique],MATCH(E7,techniques[name],0)),""),"")</f>
        <v/>
      </c>
      <c r="G7" s="47" t="inlineStr">
        <is>
          <t>Systemd Timers (T1053.006)</t>
        </is>
      </c>
      <c r="H7" s="54">
        <f t="array" ref="H7">IF(G7&lt;&gt;"",IF(INDEX(techniques[detection rules for techique],MATCH(G7,techniques[name],0))&gt;=1,INDEX(techniques[detection rules for techique],MATCH(G7,techniques[name],0)),""),"")</f>
        <v/>
      </c>
      <c r="I7" s="47" t="inlineStr">
        <is>
          <t>Startup Items (T1037.005)</t>
        </is>
      </c>
      <c r="J7" s="54">
        <f t="array" ref="J7">IF(I7&lt;&gt;"",IF(INDEX(techniques[detection rules for techique],MATCH(I7,techniques[name],0))&gt;=1,INDEX(techniques[detection rules for techique],MATCH(I7,techniques[name],0)),""),"")</f>
        <v/>
      </c>
      <c r="K7" s="47" t="inlineStr">
        <is>
          <t>Startup Items (T1037.005)</t>
        </is>
      </c>
      <c r="L7" s="54">
        <f t="array" ref="L7">IF(K7&lt;&gt;"",IF(INDEX(techniques[detection rules for techique],MATCH(K7,techniques[name],0))&gt;=1,INDEX(techniques[detection rules for techique],MATCH(K7,techniques[name],0)),""),"")</f>
        <v/>
      </c>
      <c r="M7" s="47" t="inlineStr">
        <is>
          <t>Steganography (T1027.003)</t>
        </is>
      </c>
      <c r="N7" s="54">
        <f t="array" ref="N7">IF(M7&lt;&gt;"",IF(INDEX(techniques[detection rules for techique],MATCH(M7,techniques[name],0))&gt;=1,INDEX(techniques[detection rules for techique],MATCH(M7,techniques[name],0)),""),"")</f>
        <v/>
      </c>
      <c r="O7" s="47" t="inlineStr">
        <is>
          <t>Domain or Tenant Policy Modification (T1484)</t>
        </is>
      </c>
      <c r="P7" s="54">
        <f t="array" ref="P7">IF(O7&lt;&gt;"",IF(INDEX(techniques[detection rules for techique],MATCH(O7,techniques[name],0))&gt;=1,INDEX(techniques[detection rules for techique],MATCH(O7,techniques[name],0)),""),"")</f>
        <v/>
      </c>
      <c r="Q7" s="47" t="inlineStr">
        <is>
          <t>Cached Domain Credentials (T1003.005)</t>
        </is>
      </c>
      <c r="R7" s="54">
        <f t="array" ref="R7">IF(Q7&lt;&gt;"",IF(INDEX(techniques[detection rules for techique],MATCH(Q7,techniques[name],0))&gt;=1,INDEX(techniques[detection rules for techique],MATCH(Q7,techniques[name],0)),""),"")</f>
        <v/>
      </c>
      <c r="S7" s="47" t="inlineStr">
        <is>
          <t>Wi-Fi Discovery (T1016.002)</t>
        </is>
      </c>
      <c r="T7" s="54">
        <f t="array" ref="T7">IF(S7&lt;&gt;"",IF(INDEX(techniques[detection rules for techique],MATCH(S7,techniques[name],0))&gt;=1,INDEX(techniques[detection rules for techique],MATCH(S7,techniques[name],0)),""),"")</f>
        <v/>
      </c>
      <c r="U7" s="47" t="inlineStr">
        <is>
          <t>VNC (T1021.005)</t>
        </is>
      </c>
      <c r="V7" s="54">
        <f t="array" ref="V7">IF(U7&lt;&gt;"",IF(INDEX(techniques[detection rules for techique],MATCH(U7,techniques[name],0))&gt;=1,INDEX(techniques[detection rules for techique],MATCH(U7,techniques[name],0)),""),"")</f>
        <v/>
      </c>
      <c r="W7" s="47" t="inlineStr">
        <is>
          <t>GUI Input Capture (T1056.002)</t>
        </is>
      </c>
      <c r="X7" s="54">
        <f t="array" ref="X7">IF(W7&lt;&gt;"",IF(INDEX(techniques[detection rules for techique],MATCH(W7,techniques[name],0))&gt;=1,INDEX(techniques[detection rules for techique],MATCH(W7,techniques[name],0)),""),"")</f>
        <v/>
      </c>
      <c r="Y7" s="47" t="inlineStr">
        <is>
          <t>Application Layer Protocol (T1071)</t>
        </is>
      </c>
      <c r="Z7" s="54">
        <f t="array" ref="Z7">IF(Y7&lt;&gt;"",IF(INDEX(techniques[detection rules for techique],MATCH(Y7,techniques[name],0))&gt;=1,INDEX(techniques[detection rules for techique],MATCH(Y7,techniques[name],0)),""),"")</f>
        <v/>
      </c>
      <c r="AA7" s="47" t="inlineStr">
        <is>
          <t>Data Transfer Size Limits (T1030)</t>
        </is>
      </c>
      <c r="AB7" s="54">
        <f t="array" ref="AB7">IF(AA7&lt;&gt;"",IF(INDEX(techniques[detection rules for techique],MATCH(AA7,techniques[name],0))&gt;=1,INDEX(techniques[detection rules for techique],MATCH(AA7,techniques[name],0)),""),"")</f>
        <v/>
      </c>
      <c r="AC7" s="47" t="inlineStr">
        <is>
          <t>Defacement (T1491)</t>
        </is>
      </c>
      <c r="AD7" s="54">
        <f t="array" ref="AD7">IF(AC7&lt;&gt;"",IF(INDEX(techniques[detection rules for techique],MATCH(AC7,techniques[name],0))&gt;=1,INDEX(techniques[detection rules for techique],MATCH(AC7,techniques[name],0)),""),"")</f>
        <v/>
      </c>
    </row>
    <row r="8" ht="22.5" customHeight="1">
      <c r="A8" s="47" t="inlineStr">
        <is>
          <t>DNS (T1590.002)</t>
        </is>
      </c>
      <c r="B8" s="54">
        <f t="array" ref="B8">IF(A8&lt;&gt;"",IF(INDEX(techniques[detection rules for techique],MATCH(A8,techniques[name],0))&gt;=1,INDEX(techniques[detection rules for techique],MATCH(A8,techniques[name],0)),""),"")</f>
        <v/>
      </c>
      <c r="C8" s="47" t="inlineStr">
        <is>
          <t>Web Services (T1583.006)</t>
        </is>
      </c>
      <c r="D8" s="54">
        <f t="array" ref="D8">IF(C8&lt;&gt;"",IF(INDEX(techniques[detection rules for techique],MATCH(C8,techniques[name],0))&gt;=1,INDEX(techniques[detection rules for techique],MATCH(C8,techniques[name],0)),""),"")</f>
        <v/>
      </c>
      <c r="E8" s="47" t="inlineStr">
        <is>
          <t>External Remote Services (T1133)</t>
        </is>
      </c>
      <c r="F8" s="54">
        <f t="array" ref="F8">IF(E8&lt;&gt;"",IF(INDEX(techniques[detection rules for techique],MATCH(E8,techniques[name],0))&gt;=1,INDEX(techniques[detection rules for techique],MATCH(E8,techniques[name],0)),""),"")</f>
        <v/>
      </c>
      <c r="G8" s="47" t="inlineStr">
        <is>
          <t>Container Orchestration Job (T1053.007)</t>
        </is>
      </c>
      <c r="H8" s="54">
        <f t="array" ref="H8">IF(G8&lt;&gt;"",IF(INDEX(techniques[detection rules for techique],MATCH(G8,techniques[name],0))&gt;=1,INDEX(techniques[detection rules for techique],MATCH(G8,techniques[name],0)),""),"")</f>
        <v/>
      </c>
      <c r="I8" s="47" t="inlineStr">
        <is>
          <t>Scheduled Task/Job (T1053)</t>
        </is>
      </c>
      <c r="J8" s="54">
        <f t="array" ref="J8">IF(I8&lt;&gt;"",IF(INDEX(techniques[detection rules for techique],MATCH(I8,techniques[name],0))&gt;=1,INDEX(techniques[detection rules for techique],MATCH(I8,techniques[name],0)),""),"")</f>
        <v/>
      </c>
      <c r="K8" s="47" t="inlineStr">
        <is>
          <t>Scheduled Task/Job (T1053)</t>
        </is>
      </c>
      <c r="L8" s="54">
        <f t="array" ref="L8">IF(K8&lt;&gt;"",IF(INDEX(techniques[detection rules for techique],MATCH(K8,techniques[name],0))&gt;=1,INDEX(techniques[detection rules for techique],MATCH(K8,techniques[name],0)),""),"")</f>
        <v/>
      </c>
      <c r="M8" s="47" t="inlineStr">
        <is>
          <t>Compile After Delivery (T1027.004)</t>
        </is>
      </c>
      <c r="N8" s="54">
        <f t="array" ref="N8">IF(M8&lt;&gt;"",IF(INDEX(techniques[detection rules for techique],MATCH(M8,techniques[name],0))&gt;=1,INDEX(techniques[detection rules for techique],MATCH(M8,techniques[name],0)),""),"")</f>
        <v/>
      </c>
      <c r="O8" s="47" t="inlineStr">
        <is>
          <t>Group Policy Modification (T1484.001)</t>
        </is>
      </c>
      <c r="P8" s="54">
        <f t="array" ref="P8">IF(O8&lt;&gt;"",IF(INDEX(techniques[detection rules for techique],MATCH(O8,techniques[name],0))&gt;=1,INDEX(techniques[detection rules for techique],MATCH(O8,techniques[name],0)),""),"")</f>
        <v/>
      </c>
      <c r="Q8" s="47" t="inlineStr">
        <is>
          <t>DCSync (T1003.006)</t>
        </is>
      </c>
      <c r="R8" s="54">
        <f t="array" ref="R8">IF(Q8&lt;&gt;"",IF(INDEX(techniques[detection rules for techique],MATCH(Q8,techniques[name],0))&gt;=1,INDEX(techniques[detection rules for techique],MATCH(Q8,techniques[name],0)),""),"")</f>
        <v/>
      </c>
      <c r="S8" s="47" t="inlineStr">
        <is>
          <t>Remote System Discovery (T1018)</t>
        </is>
      </c>
      <c r="T8" s="54">
        <f t="array" ref="T8">IF(S8&lt;&gt;"",IF(INDEX(techniques[detection rules for techique],MATCH(S8,techniques[name],0))&gt;=1,INDEX(techniques[detection rules for techique],MATCH(S8,techniques[name],0)),""),"")</f>
        <v/>
      </c>
      <c r="U8" s="47" t="inlineStr">
        <is>
          <t>Windows Remote Management (T1021.006)</t>
        </is>
      </c>
      <c r="V8" s="54">
        <f t="array" ref="V8">IF(U8&lt;&gt;"",IF(INDEX(techniques[detection rules for techique],MATCH(U8,techniques[name],0))&gt;=1,INDEX(techniques[detection rules for techique],MATCH(U8,techniques[name],0)),""),"")</f>
        <v/>
      </c>
      <c r="W8" s="47" t="inlineStr">
        <is>
          <t>Web Portal Capture (T1056.003)</t>
        </is>
      </c>
      <c r="X8" s="54">
        <f t="array" ref="X8">IF(W8&lt;&gt;"",IF(INDEX(techniques[detection rules for techique],MATCH(W8,techniques[name],0))&gt;=1,INDEX(techniques[detection rules for techique],MATCH(W8,techniques[name],0)),""),"")</f>
        <v/>
      </c>
      <c r="Y8" s="47" t="inlineStr">
        <is>
          <t>Web Protocols (T1071.001)</t>
        </is>
      </c>
      <c r="Z8" s="54">
        <f t="array" ref="Z8">IF(Y8&lt;&gt;"",IF(INDEX(techniques[detection rules for techique],MATCH(Y8,techniques[name],0))&gt;=1,INDEX(techniques[detection rules for techique],MATCH(Y8,techniques[name],0)),""),"")</f>
        <v/>
      </c>
      <c r="AA8" s="47" t="inlineStr">
        <is>
          <t>Exfiltration Over C2 Channel (T1041)</t>
        </is>
      </c>
      <c r="AB8" s="54">
        <f t="array" ref="AB8">IF(AA8&lt;&gt;"",IF(INDEX(techniques[detection rules for techique],MATCH(AA8,techniques[name],0))&gt;=1,INDEX(techniques[detection rules for techique],MATCH(AA8,techniques[name],0)),""),"")</f>
        <v/>
      </c>
      <c r="AC8" s="47" t="inlineStr">
        <is>
          <t>Internal Defacement (T1491.001)</t>
        </is>
      </c>
      <c r="AD8" s="54">
        <f t="array" ref="AD8">IF(AC8&lt;&gt;"",IF(INDEX(techniques[detection rules for techique],MATCH(AC8,techniques[name],0))&gt;=1,INDEX(techniques[detection rules for techique],MATCH(AC8,techniques[name],0)),""),"")</f>
        <v/>
      </c>
    </row>
    <row r="9" ht="22.5" customHeight="1">
      <c r="A9" s="47" t="inlineStr">
        <is>
          <t>Network Trust Dependencies (T1590.003)</t>
        </is>
      </c>
      <c r="B9" s="54">
        <f t="array" ref="B9">IF(A9&lt;&gt;"",IF(INDEX(techniques[detection rules for techique],MATCH(A9,techniques[name],0))&gt;=1,INDEX(techniques[detection rules for techique],MATCH(A9,techniques[name],0)),""),"")</f>
        <v/>
      </c>
      <c r="C9" s="47" t="inlineStr">
        <is>
          <t>Serverless (T1583.007)</t>
        </is>
      </c>
      <c r="D9" s="54">
        <f t="array" ref="D9">IF(C9&lt;&gt;"",IF(INDEX(techniques[detection rules for techique],MATCH(C9,techniques[name],0))&gt;=1,INDEX(techniques[detection rules for techique],MATCH(C9,techniques[name],0)),""),"")</f>
        <v/>
      </c>
      <c r="E9" s="47" t="inlineStr">
        <is>
          <t>Drive-by Compromise (T1189)</t>
        </is>
      </c>
      <c r="F9" s="54">
        <f t="array" ref="F9">IF(E9&lt;&gt;"",IF(INDEX(techniques[detection rules for techique],MATCH(E9,techniques[name],0))&gt;=1,INDEX(techniques[detection rules for techique],MATCH(E9,techniques[name],0)),""),"")</f>
        <v/>
      </c>
      <c r="G9" s="47" t="inlineStr">
        <is>
          <t>Command and Scripting Interpreter (T1059)</t>
        </is>
      </c>
      <c r="H9" s="54">
        <f t="array" ref="H9">IF(G9&lt;&gt;"",IF(INDEX(techniques[detection rules for techique],MATCH(G9,techniques[name],0))&gt;=1,INDEX(techniques[detection rules for techique],MATCH(G9,techniques[name],0)),""),"")</f>
        <v/>
      </c>
      <c r="I9" s="47" t="inlineStr">
        <is>
          <t>At (T1053.002)</t>
        </is>
      </c>
      <c r="J9" s="54">
        <f t="array" ref="J9">IF(I9&lt;&gt;"",IF(INDEX(techniques[detection rules for techique],MATCH(I9,techniques[name],0))&gt;=1,INDEX(techniques[detection rules for techique],MATCH(I9,techniques[name],0)),""),"")</f>
        <v/>
      </c>
      <c r="K9" s="47" t="inlineStr">
        <is>
          <t>At (T1053.002)</t>
        </is>
      </c>
      <c r="L9" s="54">
        <f t="array" ref="L9">IF(K9&lt;&gt;"",IF(INDEX(techniques[detection rules for techique],MATCH(K9,techniques[name],0))&gt;=1,INDEX(techniques[detection rules for techique],MATCH(K9,techniques[name],0)),""),"")</f>
        <v/>
      </c>
      <c r="M9" s="47" t="inlineStr">
        <is>
          <t>Indicator Removal from Tools (T1027.005)</t>
        </is>
      </c>
      <c r="N9" s="54">
        <f t="array" ref="N9">IF(M9&lt;&gt;"",IF(INDEX(techniques[detection rules for techique],MATCH(M9,techniques[name],0))&gt;=1,INDEX(techniques[detection rules for techique],MATCH(M9,techniques[name],0)),""),"")</f>
        <v/>
      </c>
      <c r="O9" s="47" t="inlineStr">
        <is>
          <t>Trust Modification (T1484.002)</t>
        </is>
      </c>
      <c r="P9" s="54">
        <f t="array" ref="P9">IF(O9&lt;&gt;"",IF(INDEX(techniques[detection rules for techique],MATCH(O9,techniques[name],0))&gt;=1,INDEX(techniques[detection rules for techique],MATCH(O9,techniques[name],0)),""),"")</f>
        <v/>
      </c>
      <c r="Q9" s="47" t="inlineStr">
        <is>
          <t>Proc Filesystem (T1003.007)</t>
        </is>
      </c>
      <c r="R9" s="54">
        <f t="array" ref="R9">IF(Q9&lt;&gt;"",IF(INDEX(techniques[detection rules for techique],MATCH(Q9,techniques[name],0))&gt;=1,INDEX(techniques[detection rules for techique],MATCH(Q9,techniques[name],0)),""),"")</f>
        <v/>
      </c>
      <c r="S9" s="47" t="inlineStr">
        <is>
          <t>System Owner/User Discovery (T1033)</t>
        </is>
      </c>
      <c r="T9" s="54">
        <f t="array" ref="T9">IF(S9&lt;&gt;"",IF(INDEX(techniques[detection rules for techique],MATCH(S9,techniques[name],0))&gt;=1,INDEX(techniques[detection rules for techique],MATCH(S9,techniques[name],0)),""),"")</f>
        <v/>
      </c>
      <c r="U9" s="47" t="inlineStr">
        <is>
          <t>Cloud Services (T1021.007)</t>
        </is>
      </c>
      <c r="V9" s="54">
        <f t="array" ref="V9">IF(U9&lt;&gt;"",IF(INDEX(techniques[detection rules for techique],MATCH(U9,techniques[name],0))&gt;=1,INDEX(techniques[detection rules for techique],MATCH(U9,techniques[name],0)),""),"")</f>
        <v/>
      </c>
      <c r="W9" s="47" t="inlineStr">
        <is>
          <t>Credential API Hooking (T1056.004)</t>
        </is>
      </c>
      <c r="X9" s="54">
        <f t="array" ref="X9">IF(W9&lt;&gt;"",IF(INDEX(techniques[detection rules for techique],MATCH(W9,techniques[name],0))&gt;=1,INDEX(techniques[detection rules for techique],MATCH(W9,techniques[name],0)),""),"")</f>
        <v/>
      </c>
      <c r="Y9" s="47" t="inlineStr">
        <is>
          <t>File Transfer Protocols (T1071.002)</t>
        </is>
      </c>
      <c r="Z9" s="54">
        <f t="array" ref="Z9">IF(Y9&lt;&gt;"",IF(INDEX(techniques[detection rules for techique],MATCH(Y9,techniques[name],0))&gt;=1,INDEX(techniques[detection rules for techique],MATCH(Y9,techniques[name],0)),""),"")</f>
        <v/>
      </c>
      <c r="AA9" s="47" t="inlineStr">
        <is>
          <t>Exfiltration Over Alternative Protocol (T1048)</t>
        </is>
      </c>
      <c r="AB9" s="54">
        <f t="array" ref="AB9">IF(AA9&lt;&gt;"",IF(INDEX(techniques[detection rules for techique],MATCH(AA9,techniques[name],0))&gt;=1,INDEX(techniques[detection rules for techique],MATCH(AA9,techniques[name],0)),""),"")</f>
        <v/>
      </c>
      <c r="AC9" s="47" t="inlineStr">
        <is>
          <t>External Defacement (T1491.002)</t>
        </is>
      </c>
      <c r="AD9" s="54">
        <f t="array" ref="AD9">IF(AC9&lt;&gt;"",IF(INDEX(techniques[detection rules for techique],MATCH(AC9,techniques[name],0))&gt;=1,INDEX(techniques[detection rules for techique],MATCH(AC9,techniques[name],0)),""),"")</f>
        <v/>
      </c>
    </row>
    <row r="10" ht="33.75" customHeight="1">
      <c r="A10" s="47" t="inlineStr">
        <is>
          <t>Network Topology (T1590.004)</t>
        </is>
      </c>
      <c r="B10" s="54">
        <f t="array" ref="B10">IF(A10&lt;&gt;"",IF(INDEX(techniques[detection rules for techique],MATCH(A10,techniques[name],0))&gt;=1,INDEX(techniques[detection rules for techique],MATCH(A10,techniques[name],0)),""),"")</f>
        <v/>
      </c>
      <c r="C10" s="47" t="inlineStr">
        <is>
          <t>Malvertising (T1583.008)</t>
        </is>
      </c>
      <c r="D10" s="54">
        <f t="array" ref="D10">IF(C10&lt;&gt;"",IF(INDEX(techniques[detection rules for techique],MATCH(C10,techniques[name],0))&gt;=1,INDEX(techniques[detection rules for techique],MATCH(C10,techniques[name],0)),""),"")</f>
        <v/>
      </c>
      <c r="E10" s="47" t="inlineStr">
        <is>
          <t>Exploit Public-Facing Application (T1190)</t>
        </is>
      </c>
      <c r="F10" s="54">
        <f t="array" ref="F10">IF(E10&lt;&gt;"",IF(INDEX(techniques[detection rules for techique],MATCH(E10,techniques[name],0))&gt;=1,INDEX(techniques[detection rules for techique],MATCH(E10,techniques[name],0)),""),"")</f>
        <v/>
      </c>
      <c r="G10" s="47" t="inlineStr">
        <is>
          <t>PowerShell (T1059.001)</t>
        </is>
      </c>
      <c r="H10" s="54">
        <f t="array" ref="H10">IF(G10&lt;&gt;"",IF(INDEX(techniques[detection rules for techique],MATCH(G10,techniques[name],0))&gt;=1,INDEX(techniques[detection rules for techique],MATCH(G10,techniques[name],0)),""),"")</f>
        <v/>
      </c>
      <c r="I10" s="47" t="inlineStr">
        <is>
          <t>Cron (T1053.003)</t>
        </is>
      </c>
      <c r="J10" s="54">
        <f t="array" ref="J10">IF(I10&lt;&gt;"",IF(INDEX(techniques[detection rules for techique],MATCH(I10,techniques[name],0))&gt;=1,INDEX(techniques[detection rules for techique],MATCH(I10,techniques[name],0)),""),"")</f>
        <v/>
      </c>
      <c r="K10" s="47" t="inlineStr">
        <is>
          <t>Cron (T1053.003)</t>
        </is>
      </c>
      <c r="L10" s="54">
        <f t="array" ref="L10">IF(K10&lt;&gt;"",IF(INDEX(techniques[detection rules for techique],MATCH(K10,techniques[name],0))&gt;=1,INDEX(techniques[detection rules for techique],MATCH(K10,techniques[name],0)),""),"")</f>
        <v/>
      </c>
      <c r="M10" s="47" t="inlineStr">
        <is>
          <t>HTML Smuggling (T1027.006)</t>
        </is>
      </c>
      <c r="N10" s="54">
        <f t="array" ref="N10">IF(M10&lt;&gt;"",IF(INDEX(techniques[detection rules for techique],MATCH(M10,techniques[name],0))&gt;=1,INDEX(techniques[detection rules for techique],MATCH(M10,techniques[name],0)),""),"")</f>
        <v/>
      </c>
      <c r="O10" s="47" t="inlineStr">
        <is>
          <t>Subvert Trust Controls (T1553)</t>
        </is>
      </c>
      <c r="P10" s="54">
        <f t="array" ref="P10">IF(O10&lt;&gt;"",IF(INDEX(techniques[detection rules for techique],MATCH(O10,techniques[name],0))&gt;=1,INDEX(techniques[detection rules for techique],MATCH(O10,techniques[name],0)),""),"")</f>
        <v/>
      </c>
      <c r="Q10" s="47" t="inlineStr">
        <is>
          <t>/etc/passwd and /etc/shadow (T1003.008)</t>
        </is>
      </c>
      <c r="R10" s="54">
        <f t="array" ref="R10">IF(Q10&lt;&gt;"",IF(INDEX(techniques[detection rules for techique],MATCH(Q10,techniques[name],0))&gt;=1,INDEX(techniques[detection rules for techique],MATCH(Q10,techniques[name],0)),""),"")</f>
        <v/>
      </c>
      <c r="S10" s="47" t="inlineStr">
        <is>
          <t>Network Sniffing (T1040)</t>
        </is>
      </c>
      <c r="T10" s="54">
        <f t="array" ref="T10">IF(S10&lt;&gt;"",IF(INDEX(techniques[detection rules for techique],MATCH(S10,techniques[name],0))&gt;=1,INDEX(techniques[detection rules for techique],MATCH(S10,techniques[name],0)),""),"")</f>
        <v/>
      </c>
      <c r="U10" s="47" t="inlineStr">
        <is>
          <t>Direct Cloud VM Connections (T1021.008)</t>
        </is>
      </c>
      <c r="V10" s="54">
        <f t="array" ref="V10">IF(U10&lt;&gt;"",IF(INDEX(techniques[detection rules for techique],MATCH(U10,techniques[name],0))&gt;=1,INDEX(techniques[detection rules for techique],MATCH(U10,techniques[name],0)),""),"")</f>
        <v/>
      </c>
      <c r="W10" s="47" t="inlineStr">
        <is>
          <t>Data Staged (T1074)</t>
        </is>
      </c>
      <c r="X10" s="54">
        <f t="array" ref="X10">IF(W10&lt;&gt;"",IF(INDEX(techniques[detection rules for techique],MATCH(W10,techniques[name],0))&gt;=1,INDEX(techniques[detection rules for techique],MATCH(W10,techniques[name],0)),""),"")</f>
        <v/>
      </c>
      <c r="Y10" s="47" t="inlineStr">
        <is>
          <t>Mail Protocols (T1071.003)</t>
        </is>
      </c>
      <c r="Z10" s="54">
        <f t="array" ref="Z10">IF(Y10&lt;&gt;"",IF(INDEX(techniques[detection rules for techique],MATCH(Y10,techniques[name],0))&gt;=1,INDEX(techniques[detection rules for techique],MATCH(Y10,techniques[name],0)),""),"")</f>
        <v/>
      </c>
      <c r="AA10" s="47" t="inlineStr">
        <is>
          <t>Exfiltration Over Symmetric Encrypted Non-C2 Protocol (T1048.001)</t>
        </is>
      </c>
      <c r="AB10" s="54">
        <f t="array" ref="AB10">IF(AA10&lt;&gt;"",IF(INDEX(techniques[detection rules for techique],MATCH(AA10,techniques[name],0))&gt;=1,INDEX(techniques[detection rules for techique],MATCH(AA10,techniques[name],0)),""),"")</f>
        <v/>
      </c>
      <c r="AC10" s="47" t="inlineStr">
        <is>
          <t>Firmware Corruption (T1495)</t>
        </is>
      </c>
      <c r="AD10" s="54">
        <f t="array" ref="AD10">IF(AC10&lt;&gt;"",IF(INDEX(techniques[detection rules for techique],MATCH(AC10,techniques[name],0))&gt;=1,INDEX(techniques[detection rules for techique],MATCH(AC10,techniques[name],0)),""),"")</f>
        <v/>
      </c>
    </row>
    <row r="11" ht="33.75" customHeight="1">
      <c r="A11" s="47" t="inlineStr">
        <is>
          <t>IP Addresses (T1590.005)</t>
        </is>
      </c>
      <c r="B11" s="54">
        <f t="array" ref="B11">IF(A11&lt;&gt;"",IF(INDEX(techniques[detection rules for techique],MATCH(A11,techniques[name],0))&gt;=1,INDEX(techniques[detection rules for techique],MATCH(A11,techniques[name],0)),""),"")</f>
        <v/>
      </c>
      <c r="C11" s="47" t="inlineStr">
        <is>
          <t>Compromise Infrastructure (T1584)</t>
        </is>
      </c>
      <c r="D11" s="54">
        <f t="array" ref="D11">IF(C11&lt;&gt;"",IF(INDEX(techniques[detection rules for techique],MATCH(C11,techniques[name],0))&gt;=1,INDEX(techniques[detection rules for techique],MATCH(C11,techniques[name],0)),""),"")</f>
        <v/>
      </c>
      <c r="E11" s="47" t="inlineStr">
        <is>
          <t>Supply Chain Compromise (T1195)</t>
        </is>
      </c>
      <c r="F11" s="54">
        <f t="array" ref="F11">IF(E11&lt;&gt;"",IF(INDEX(techniques[detection rules for techique],MATCH(E11,techniques[name],0))&gt;=1,INDEX(techniques[detection rules for techique],MATCH(E11,techniques[name],0)),""),"")</f>
        <v/>
      </c>
      <c r="G11" s="47" t="inlineStr">
        <is>
          <t>AppleScript (T1059.002)</t>
        </is>
      </c>
      <c r="H11" s="54">
        <f t="array" ref="H11">IF(G11&lt;&gt;"",IF(INDEX(techniques[detection rules for techique],MATCH(G11,techniques[name],0))&gt;=1,INDEX(techniques[detection rules for techique],MATCH(G11,techniques[name],0)),""),"")</f>
        <v/>
      </c>
      <c r="I11" s="47" t="inlineStr">
        <is>
          <t>Scheduled Task (T1053.005)</t>
        </is>
      </c>
      <c r="J11" s="54">
        <f t="array" ref="J11">IF(I11&lt;&gt;"",IF(INDEX(techniques[detection rules for techique],MATCH(I11,techniques[name],0))&gt;=1,INDEX(techniques[detection rules for techique],MATCH(I11,techniques[name],0)),""),"")</f>
        <v/>
      </c>
      <c r="K11" s="47" t="inlineStr">
        <is>
          <t>Scheduled Task (T1053.005)</t>
        </is>
      </c>
      <c r="L11" s="54">
        <f t="array" ref="L11">IF(K11&lt;&gt;"",IF(INDEX(techniques[detection rules for techique],MATCH(K11,techniques[name],0))&gt;=1,INDEX(techniques[detection rules for techique],MATCH(K11,techniques[name],0)),""),"")</f>
        <v/>
      </c>
      <c r="M11" s="47" t="inlineStr">
        <is>
          <t>Dynamic API Resolution (T1027.007)</t>
        </is>
      </c>
      <c r="N11" s="54">
        <f t="array" ref="N11">IF(M11&lt;&gt;"",IF(INDEX(techniques[detection rules for techique],MATCH(M11,techniques[name],0))&gt;=1,INDEX(techniques[detection rules for techique],MATCH(M11,techniques[name],0)),""),"")</f>
        <v/>
      </c>
      <c r="O11" s="47" t="inlineStr">
        <is>
          <t>Gatekeeper Bypass (T1553.001)</t>
        </is>
      </c>
      <c r="P11" s="54">
        <f t="array" ref="P11">IF(O11&lt;&gt;"",IF(INDEX(techniques[detection rules for techique],MATCH(O11,techniques[name],0))&gt;=1,INDEX(techniques[detection rules for techique],MATCH(O11,techniques[name],0)),""),"")</f>
        <v/>
      </c>
      <c r="Q11" s="47" t="inlineStr">
        <is>
          <t>Network Sniffing (T1040)</t>
        </is>
      </c>
      <c r="R11" s="54">
        <f t="array" ref="R11">IF(Q11&lt;&gt;"",IF(INDEX(techniques[detection rules for techique],MATCH(Q11,techniques[name],0))&gt;=1,INDEX(techniques[detection rules for techique],MATCH(Q11,techniques[name],0)),""),"")</f>
        <v/>
      </c>
      <c r="S11" s="47" t="inlineStr">
        <is>
          <t>Network Service Discovery (T1046)</t>
        </is>
      </c>
      <c r="T11" s="54">
        <f t="array" ref="T11">IF(S11&lt;&gt;"",IF(INDEX(techniques[detection rules for techique],MATCH(S11,techniques[name],0))&gt;=1,INDEX(techniques[detection rules for techique],MATCH(S11,techniques[name],0)),""),"")</f>
        <v/>
      </c>
      <c r="U11" s="47" t="inlineStr">
        <is>
          <t>Software Deployment Tools (T1072)</t>
        </is>
      </c>
      <c r="V11" s="54">
        <f t="array" ref="V11">IF(U11&lt;&gt;"",IF(INDEX(techniques[detection rules for techique],MATCH(U11,techniques[name],0))&gt;=1,INDEX(techniques[detection rules for techique],MATCH(U11,techniques[name],0)),""),"")</f>
        <v/>
      </c>
      <c r="W11" s="47" t="inlineStr">
        <is>
          <t>Local Data Staging (T1074.001)</t>
        </is>
      </c>
      <c r="X11" s="54">
        <f t="array" ref="X11">IF(W11&lt;&gt;"",IF(INDEX(techniques[detection rules for techique],MATCH(W11,techniques[name],0))&gt;=1,INDEX(techniques[detection rules for techique],MATCH(W11,techniques[name],0)),""),"")</f>
        <v/>
      </c>
      <c r="Y11" s="47" t="inlineStr">
        <is>
          <t>DNS (T1071.004)</t>
        </is>
      </c>
      <c r="Z11" s="54">
        <f t="array" ref="Z11">IF(Y11&lt;&gt;"",IF(INDEX(techniques[detection rules for techique],MATCH(Y11,techniques[name],0))&gt;=1,INDEX(techniques[detection rules for techique],MATCH(Y11,techniques[name],0)),""),"")</f>
        <v/>
      </c>
      <c r="AA11" s="47" t="inlineStr">
        <is>
          <t>Exfiltration Over Asymmetric Encrypted Non-C2 Protocol (T1048.002)</t>
        </is>
      </c>
      <c r="AB11" s="54">
        <f t="array" ref="AB11">IF(AA11&lt;&gt;"",IF(INDEX(techniques[detection rules for techique],MATCH(AA11,techniques[name],0))&gt;=1,INDEX(techniques[detection rules for techique],MATCH(AA11,techniques[name],0)),""),"")</f>
        <v/>
      </c>
      <c r="AC11" s="47" t="inlineStr">
        <is>
          <t>Resource Hijacking (T1496)</t>
        </is>
      </c>
      <c r="AD11" s="54">
        <f t="array" ref="AD11">IF(AC11&lt;&gt;"",IF(INDEX(techniques[detection rules for techique],MATCH(AC11,techniques[name],0))&gt;=1,INDEX(techniques[detection rules for techique],MATCH(AC11,techniques[name],0)),""),"")</f>
        <v/>
      </c>
    </row>
    <row r="12" ht="45" customHeight="1">
      <c r="A12" s="47" t="inlineStr">
        <is>
          <t>Network Security Appliances (T1590.006)</t>
        </is>
      </c>
      <c r="B12" s="54">
        <f t="array" ref="B12">IF(A12&lt;&gt;"",IF(INDEX(techniques[detection rules for techique],MATCH(A12,techniques[name],0))&gt;=1,INDEX(techniques[detection rules for techique],MATCH(A12,techniques[name],0)),""),"")</f>
        <v/>
      </c>
      <c r="C12" s="47" t="inlineStr">
        <is>
          <t>Domains (T1584.001)</t>
        </is>
      </c>
      <c r="D12" s="54">
        <f t="array" ref="D12">IF(C12&lt;&gt;"",IF(INDEX(techniques[detection rules for techique],MATCH(C12,techniques[name],0))&gt;=1,INDEX(techniques[detection rules for techique],MATCH(C12,techniques[name],0)),""),"")</f>
        <v/>
      </c>
      <c r="E12" s="47" t="inlineStr">
        <is>
          <t>Compromise Software Dependencies and Development Tools (T1195.001)</t>
        </is>
      </c>
      <c r="F12" s="54">
        <f t="array" ref="F12">IF(E12&lt;&gt;"",IF(INDEX(techniques[detection rules for techique],MATCH(E12,techniques[name],0))&gt;=1,INDEX(techniques[detection rules for techique],MATCH(E12,techniques[name],0)),""),"")</f>
        <v/>
      </c>
      <c r="G12" s="47" t="inlineStr">
        <is>
          <t>Windows Command Shell (T1059.003)</t>
        </is>
      </c>
      <c r="H12" s="54">
        <f t="array" ref="H12">IF(G12&lt;&gt;"",IF(INDEX(techniques[detection rules for techique],MATCH(G12,techniques[name],0))&gt;=1,INDEX(techniques[detection rules for techique],MATCH(G12,techniques[name],0)),""),"")</f>
        <v/>
      </c>
      <c r="I12" s="47" t="inlineStr">
        <is>
          <t>Systemd Timers (T1053.006)</t>
        </is>
      </c>
      <c r="J12" s="54">
        <f t="array" ref="J12">IF(I12&lt;&gt;"",IF(INDEX(techniques[detection rules for techique],MATCH(I12,techniques[name],0))&gt;=1,INDEX(techniques[detection rules for techique],MATCH(I12,techniques[name],0)),""),"")</f>
        <v/>
      </c>
      <c r="K12" s="47" t="inlineStr">
        <is>
          <t>Systemd Timers (T1053.006)</t>
        </is>
      </c>
      <c r="L12" s="54">
        <f t="array" ref="L12">IF(K12&lt;&gt;"",IF(INDEX(techniques[detection rules for techique],MATCH(K12,techniques[name],0))&gt;=1,INDEX(techniques[detection rules for techique],MATCH(K12,techniques[name],0)),""),"")</f>
        <v/>
      </c>
      <c r="M12" s="47" t="inlineStr">
        <is>
          <t>Stripped Payloads (T1027.008)</t>
        </is>
      </c>
      <c r="N12" s="54">
        <f t="array" ref="N12">IF(M12&lt;&gt;"",IF(INDEX(techniques[detection rules for techique],MATCH(M12,techniques[name],0))&gt;=1,INDEX(techniques[detection rules for techique],MATCH(M12,techniques[name],0)),""),"")</f>
        <v/>
      </c>
      <c r="O12" s="47" t="inlineStr">
        <is>
          <t>Code Signing (T1553.002)</t>
        </is>
      </c>
      <c r="P12" s="54">
        <f t="array" ref="P12">IF(O12&lt;&gt;"",IF(INDEX(techniques[detection rules for techique],MATCH(O12,techniques[name],0))&gt;=1,INDEX(techniques[detection rules for techique],MATCH(O12,techniques[name],0)),""),"")</f>
        <v/>
      </c>
      <c r="Q12" s="47" t="inlineStr">
        <is>
          <t>Input Capture (T1056)</t>
        </is>
      </c>
      <c r="R12" s="54">
        <f t="array" ref="R12">IF(Q12&lt;&gt;"",IF(INDEX(techniques[detection rules for techique],MATCH(Q12,techniques[name],0))&gt;=1,INDEX(techniques[detection rules for techique],MATCH(Q12,techniques[name],0)),""),"")</f>
        <v/>
      </c>
      <c r="S12" s="47" t="inlineStr">
        <is>
          <t>System Network Connections Discovery (T1049)</t>
        </is>
      </c>
      <c r="T12" s="54">
        <f t="array" ref="T12">IF(S12&lt;&gt;"",IF(INDEX(techniques[detection rules for techique],MATCH(S12,techniques[name],0))&gt;=1,INDEX(techniques[detection rules for techique],MATCH(S12,techniques[name],0)),""),"")</f>
        <v/>
      </c>
      <c r="U12" s="47" t="inlineStr">
        <is>
          <t>Taint Shared Content (T1080)</t>
        </is>
      </c>
      <c r="V12" s="54">
        <f t="array" ref="V12">IF(U12&lt;&gt;"",IF(INDEX(techniques[detection rules for techique],MATCH(U12,techniques[name],0))&gt;=1,INDEX(techniques[detection rules for techique],MATCH(U12,techniques[name],0)),""),"")</f>
        <v/>
      </c>
      <c r="W12" s="47" t="inlineStr">
        <is>
          <t>Remote Data Staging (T1074.002)</t>
        </is>
      </c>
      <c r="X12" s="54">
        <f t="array" ref="X12">IF(W12&lt;&gt;"",IF(INDEX(techniques[detection rules for techique],MATCH(W12,techniques[name],0))&gt;=1,INDEX(techniques[detection rules for techique],MATCH(W12,techniques[name],0)),""),"")</f>
        <v/>
      </c>
      <c r="Y12" s="47" t="inlineStr">
        <is>
          <t>Publish/Subscribe Protocols (T1071.005)</t>
        </is>
      </c>
      <c r="Z12" s="54">
        <f t="array" ref="Z12">IF(Y12&lt;&gt;"",IF(INDEX(techniques[detection rules for techique],MATCH(Y12,techniques[name],0))&gt;=1,INDEX(techniques[detection rules for techique],MATCH(Y12,techniques[name],0)),""),"")</f>
        <v/>
      </c>
      <c r="AA12" s="47" t="inlineStr">
        <is>
          <t>Exfiltration Over Unencrypted Non-C2 Protocol (T1048.003)</t>
        </is>
      </c>
      <c r="AB12" s="54">
        <f t="array" ref="AB12">IF(AA12&lt;&gt;"",IF(INDEX(techniques[detection rules for techique],MATCH(AA12,techniques[name],0))&gt;=1,INDEX(techniques[detection rules for techique],MATCH(AA12,techniques[name],0)),""),"")</f>
        <v/>
      </c>
      <c r="AC12" s="47" t="inlineStr">
        <is>
          <t>Compute Hijacking (T1496.001)</t>
        </is>
      </c>
      <c r="AD12" s="54">
        <f t="array" ref="AD12">IF(AC12&lt;&gt;"",IF(INDEX(techniques[detection rules for techique],MATCH(AC12,techniques[name],0))&gt;=1,INDEX(techniques[detection rules for techique],MATCH(AC12,techniques[name],0)),""),"")</f>
        <v/>
      </c>
    </row>
    <row r="13" ht="22.5" customHeight="1">
      <c r="A13" s="47" t="inlineStr">
        <is>
          <t>Gather Victim Org Information (T1591)</t>
        </is>
      </c>
      <c r="B13" s="54">
        <f t="array" ref="B13">IF(A13&lt;&gt;"",IF(INDEX(techniques[detection rules for techique],MATCH(A13,techniques[name],0))&gt;=1,INDEX(techniques[detection rules for techique],MATCH(A13,techniques[name],0)),""),"")</f>
        <v/>
      </c>
      <c r="C13" s="47" t="inlineStr">
        <is>
          <t>DNS Server (T1584.002)</t>
        </is>
      </c>
      <c r="D13" s="54">
        <f t="array" ref="D13">IF(C13&lt;&gt;"",IF(INDEX(techniques[detection rules for techique],MATCH(C13,techniques[name],0))&gt;=1,INDEX(techniques[detection rules for techique],MATCH(C13,techniques[name],0)),""),"")</f>
        <v/>
      </c>
      <c r="E13" s="47" t="inlineStr">
        <is>
          <t>Compromise Software Supply Chain (T1195.002)</t>
        </is>
      </c>
      <c r="F13" s="54">
        <f t="array" ref="F13">IF(E13&lt;&gt;"",IF(INDEX(techniques[detection rules for techique],MATCH(E13,techniques[name],0))&gt;=1,INDEX(techniques[detection rules for techique],MATCH(E13,techniques[name],0)),""),"")</f>
        <v/>
      </c>
      <c r="G13" s="47" t="inlineStr">
        <is>
          <t>Unix Shell (T1059.004)</t>
        </is>
      </c>
      <c r="H13" s="54">
        <f t="array" ref="H13">IF(G13&lt;&gt;"",IF(INDEX(techniques[detection rules for techique],MATCH(G13,techniques[name],0))&gt;=1,INDEX(techniques[detection rules for techique],MATCH(G13,techniques[name],0)),""),"")</f>
        <v/>
      </c>
      <c r="I13" s="47" t="inlineStr">
        <is>
          <t>Container Orchestration Job (T1053.007)</t>
        </is>
      </c>
      <c r="J13" s="54">
        <f t="array" ref="J13">IF(I13&lt;&gt;"",IF(INDEX(techniques[detection rules for techique],MATCH(I13,techniques[name],0))&gt;=1,INDEX(techniques[detection rules for techique],MATCH(I13,techniques[name],0)),""),"")</f>
        <v/>
      </c>
      <c r="K13" s="47" t="inlineStr">
        <is>
          <t>Container Orchestration Job (T1053.007)</t>
        </is>
      </c>
      <c r="L13" s="54">
        <f t="array" ref="L13">IF(K13&lt;&gt;"",IF(INDEX(techniques[detection rules for techique],MATCH(K13,techniques[name],0))&gt;=1,INDEX(techniques[detection rules for techique],MATCH(K13,techniques[name],0)),""),"")</f>
        <v/>
      </c>
      <c r="M13" s="47" t="inlineStr">
        <is>
          <t>Embedded Payloads (T1027.009)</t>
        </is>
      </c>
      <c r="N13" s="54">
        <f t="array" ref="N13">IF(M13&lt;&gt;"",IF(INDEX(techniques[detection rules for techique],MATCH(M13,techniques[name],0))&gt;=1,INDEX(techniques[detection rules for techique],MATCH(M13,techniques[name],0)),""),"")</f>
        <v/>
      </c>
      <c r="O13" s="47" t="inlineStr">
        <is>
          <t>SIP and Trust Provider Hijacking (T1553.003)</t>
        </is>
      </c>
      <c r="P13" s="54">
        <f t="array" ref="P13">IF(O13&lt;&gt;"",IF(INDEX(techniques[detection rules for techique],MATCH(O13,techniques[name],0))&gt;=1,INDEX(techniques[detection rules for techique],MATCH(O13,techniques[name],0)),""),"")</f>
        <v/>
      </c>
      <c r="Q13" s="47" t="inlineStr">
        <is>
          <t>Keylogging (T1056.001)</t>
        </is>
      </c>
      <c r="R13" s="54">
        <f t="array" ref="R13">IF(Q13&lt;&gt;"",IF(INDEX(techniques[detection rules for techique],MATCH(Q13,techniques[name],0))&gt;=1,INDEX(techniques[detection rules for techique],MATCH(Q13,techniques[name],0)),""),"")</f>
        <v/>
      </c>
      <c r="S13" s="47" t="inlineStr">
        <is>
          <t>Process Discovery (T1057)</t>
        </is>
      </c>
      <c r="T13" s="54">
        <f t="array" ref="T13">IF(S13&lt;&gt;"",IF(INDEX(techniques[detection rules for techique],MATCH(S13,techniques[name],0))&gt;=1,INDEX(techniques[detection rules for techique],MATCH(S13,techniques[name],0)),""),"")</f>
        <v/>
      </c>
      <c r="U13" s="47" t="inlineStr">
        <is>
          <t>Replication Through Removable Media (T1091)</t>
        </is>
      </c>
      <c r="V13" s="54">
        <f t="array" ref="V13">IF(U13&lt;&gt;"",IF(INDEX(techniques[detection rules for techique],MATCH(U13,techniques[name],0))&gt;=1,INDEX(techniques[detection rules for techique],MATCH(U13,techniques[name],0)),""),"")</f>
        <v/>
      </c>
      <c r="W13" s="47" t="inlineStr">
        <is>
          <t>Screen Capture (T1113)</t>
        </is>
      </c>
      <c r="X13" s="54">
        <f t="array" ref="X13">IF(W13&lt;&gt;"",IF(INDEX(techniques[detection rules for techique],MATCH(W13,techniques[name],0))&gt;=1,INDEX(techniques[detection rules for techique],MATCH(W13,techniques[name],0)),""),"")</f>
        <v/>
      </c>
      <c r="Y13" s="47" t="inlineStr">
        <is>
          <t>Proxy (T1090)</t>
        </is>
      </c>
      <c r="Z13" s="54">
        <f t="array" ref="Z13">IF(Y13&lt;&gt;"",IF(INDEX(techniques[detection rules for techique],MATCH(Y13,techniques[name],0))&gt;=1,INDEX(techniques[detection rules for techique],MATCH(Y13,techniques[name],0)),""),"")</f>
        <v/>
      </c>
      <c r="AA13" s="47" t="inlineStr">
        <is>
          <t>Exfiltration Over Physical Medium (T1052)</t>
        </is>
      </c>
      <c r="AB13" s="54">
        <f t="array" ref="AB13">IF(AA13&lt;&gt;"",IF(INDEX(techniques[detection rules for techique],MATCH(AA13,techniques[name],0))&gt;=1,INDEX(techniques[detection rules for techique],MATCH(AA13,techniques[name],0)),""),"")</f>
        <v/>
      </c>
      <c r="AC13" s="47" t="inlineStr">
        <is>
          <t>Bandwidth Hijacking (T1496.002)</t>
        </is>
      </c>
      <c r="AD13" s="54">
        <f t="array" ref="AD13">IF(AC13&lt;&gt;"",IF(INDEX(techniques[detection rules for techique],MATCH(AC13,techniques[name],0))&gt;=1,INDEX(techniques[detection rules for techique],MATCH(AC13,techniques[name],0)),""),"")</f>
        <v/>
      </c>
    </row>
    <row r="14" ht="33.75" customHeight="1">
      <c r="A14" s="47" t="inlineStr">
        <is>
          <t>Determine Physical Locations (T1591.001)</t>
        </is>
      </c>
      <c r="B14" s="54">
        <f t="array" ref="B14">IF(A14&lt;&gt;"",IF(INDEX(techniques[detection rules for techique],MATCH(A14,techniques[name],0))&gt;=1,INDEX(techniques[detection rules for techique],MATCH(A14,techniques[name],0)),""),"")</f>
        <v/>
      </c>
      <c r="C14" s="47" t="inlineStr">
        <is>
          <t>Virtual Private Server (T1584.003)</t>
        </is>
      </c>
      <c r="D14" s="54">
        <f t="array" ref="D14">IF(C14&lt;&gt;"",IF(INDEX(techniques[detection rules for techique],MATCH(C14,techniques[name],0))&gt;=1,INDEX(techniques[detection rules for techique],MATCH(C14,techniques[name],0)),""),"")</f>
        <v/>
      </c>
      <c r="E14" s="47" t="inlineStr">
        <is>
          <t>Compromise Hardware Supply Chain (T1195.003)</t>
        </is>
      </c>
      <c r="F14" s="54">
        <f t="array" ref="F14">IF(E14&lt;&gt;"",IF(INDEX(techniques[detection rules for techique],MATCH(E14,techniques[name],0))&gt;=1,INDEX(techniques[detection rules for techique],MATCH(E14,techniques[name],0)),""),"")</f>
        <v/>
      </c>
      <c r="G14" s="47" t="inlineStr">
        <is>
          <t>Visual Basic (T1059.005)</t>
        </is>
      </c>
      <c r="H14" s="54">
        <f t="array" ref="H14">IF(G14&lt;&gt;"",IF(INDEX(techniques[detection rules for techique],MATCH(G14,techniques[name],0))&gt;=1,INDEX(techniques[detection rules for techique],MATCH(G14,techniques[name],0)),""),"")</f>
        <v/>
      </c>
      <c r="I14" s="47" t="inlineStr">
        <is>
          <t>Valid Accounts (T1078)</t>
        </is>
      </c>
      <c r="J14" s="54">
        <f t="array" ref="J14">IF(I14&lt;&gt;"",IF(INDEX(techniques[detection rules for techique],MATCH(I14,techniques[name],0))&gt;=1,INDEX(techniques[detection rules for techique],MATCH(I14,techniques[name],0)),""),"")</f>
        <v/>
      </c>
      <c r="K14" s="47" t="inlineStr">
        <is>
          <t>Process Injection (T1055)</t>
        </is>
      </c>
      <c r="L14" s="54">
        <f t="array" ref="L14">IF(K14&lt;&gt;"",IF(INDEX(techniques[detection rules for techique],MATCH(K14,techniques[name],0))&gt;=1,INDEX(techniques[detection rules for techique],MATCH(K14,techniques[name],0)),""),"")</f>
        <v/>
      </c>
      <c r="M14" s="47" t="inlineStr">
        <is>
          <t>Command Obfuscation (T1027.010)</t>
        </is>
      </c>
      <c r="N14" s="54">
        <f t="array" ref="N14">IF(M14&lt;&gt;"",IF(INDEX(techniques[detection rules for techique],MATCH(M14,techniques[name],0))&gt;=1,INDEX(techniques[detection rules for techique],MATCH(M14,techniques[name],0)),""),"")</f>
        <v/>
      </c>
      <c r="O14" s="47" t="inlineStr">
        <is>
          <t>Install Root Certificate (T1553.004)</t>
        </is>
      </c>
      <c r="P14" s="54">
        <f t="array" ref="P14">IF(O14&lt;&gt;"",IF(INDEX(techniques[detection rules for techique],MATCH(O14,techniques[name],0))&gt;=1,INDEX(techniques[detection rules for techique],MATCH(O14,techniques[name],0)),""),"")</f>
        <v/>
      </c>
      <c r="Q14" s="47" t="inlineStr">
        <is>
          <t>GUI Input Capture (T1056.002)</t>
        </is>
      </c>
      <c r="R14" s="54">
        <f t="array" ref="R14">IF(Q14&lt;&gt;"",IF(INDEX(techniques[detection rules for techique],MATCH(Q14,techniques[name],0))&gt;=1,INDEX(techniques[detection rules for techique],MATCH(Q14,techniques[name],0)),""),"")</f>
        <v/>
      </c>
      <c r="S14" s="47" t="inlineStr">
        <is>
          <t>Permission Groups Discovery (T1069)</t>
        </is>
      </c>
      <c r="T14" s="54">
        <f t="array" ref="T14">IF(S14&lt;&gt;"",IF(INDEX(techniques[detection rules for techique],MATCH(S14,techniques[name],0))&gt;=1,INDEX(techniques[detection rules for techique],MATCH(S14,techniques[name],0)),""),"")</f>
        <v/>
      </c>
      <c r="U14" s="47" t="inlineStr">
        <is>
          <t>Exploitation of Remote Services (T1210)</t>
        </is>
      </c>
      <c r="V14" s="54">
        <f t="array" ref="V14">IF(U14&lt;&gt;"",IF(INDEX(techniques[detection rules for techique],MATCH(U14,techniques[name],0))&gt;=1,INDEX(techniques[detection rules for techique],MATCH(U14,techniques[name],0)),""),"")</f>
        <v/>
      </c>
      <c r="W14" s="47" t="inlineStr">
        <is>
          <t>Email Collection (T1114)</t>
        </is>
      </c>
      <c r="X14" s="54">
        <f t="array" ref="X14">IF(W14&lt;&gt;"",IF(INDEX(techniques[detection rules for techique],MATCH(W14,techniques[name],0))&gt;=1,INDEX(techniques[detection rules for techique],MATCH(W14,techniques[name],0)),""),"")</f>
        <v/>
      </c>
      <c r="Y14" s="47" t="inlineStr">
        <is>
          <t>Internal Proxy (T1090.001)</t>
        </is>
      </c>
      <c r="Z14" s="54">
        <f t="array" ref="Z14">IF(Y14&lt;&gt;"",IF(INDEX(techniques[detection rules for techique],MATCH(Y14,techniques[name],0))&gt;=1,INDEX(techniques[detection rules for techique],MATCH(Y14,techniques[name],0)),""),"")</f>
        <v/>
      </c>
      <c r="AA14" s="47" t="inlineStr">
        <is>
          <t>Exfiltration over USB (T1052.001)</t>
        </is>
      </c>
      <c r="AB14" s="54">
        <f t="array" ref="AB14">IF(AA14&lt;&gt;"",IF(INDEX(techniques[detection rules for techique],MATCH(AA14,techniques[name],0))&gt;=1,INDEX(techniques[detection rules for techique],MATCH(AA14,techniques[name],0)),""),"")</f>
        <v/>
      </c>
      <c r="AC14" s="47" t="inlineStr">
        <is>
          <t>SMS Pumping (T1496.003)</t>
        </is>
      </c>
      <c r="AD14" s="54">
        <f t="array" ref="AD14">IF(AC14&lt;&gt;"",IF(INDEX(techniques[detection rules for techique],MATCH(AC14,techniques[name],0))&gt;=1,INDEX(techniques[detection rules for techique],MATCH(AC14,techniques[name],0)),""),"")</f>
        <v/>
      </c>
    </row>
    <row r="15" ht="22.5" customHeight="1">
      <c r="A15" s="47" t="inlineStr">
        <is>
          <t>Business Relationships (T1591.002)</t>
        </is>
      </c>
      <c r="B15" s="54">
        <f t="array" ref="B15">IF(A15&lt;&gt;"",IF(INDEX(techniques[detection rules for techique],MATCH(A15,techniques[name],0))&gt;=1,INDEX(techniques[detection rules for techique],MATCH(A15,techniques[name],0)),""),"")</f>
        <v/>
      </c>
      <c r="C15" s="47" t="inlineStr">
        <is>
          <t>Server (T1584.004)</t>
        </is>
      </c>
      <c r="D15" s="54">
        <f t="array" ref="D15">IF(C15&lt;&gt;"",IF(INDEX(techniques[detection rules for techique],MATCH(C15,techniques[name],0))&gt;=1,INDEX(techniques[detection rules for techique],MATCH(C15,techniques[name],0)),""),"")</f>
        <v/>
      </c>
      <c r="E15" s="47" t="inlineStr">
        <is>
          <t>Trusted Relationship (T1199)</t>
        </is>
      </c>
      <c r="F15" s="54">
        <f t="array" ref="F15">IF(E15&lt;&gt;"",IF(INDEX(techniques[detection rules for techique],MATCH(E15,techniques[name],0))&gt;=1,INDEX(techniques[detection rules for techique],MATCH(E15,techniques[name],0)),""),"")</f>
        <v/>
      </c>
      <c r="G15" s="47" t="inlineStr">
        <is>
          <t>Python (T1059.006)</t>
        </is>
      </c>
      <c r="H15" s="54">
        <f t="array" ref="H15">IF(G15&lt;&gt;"",IF(INDEX(techniques[detection rules for techique],MATCH(G15,techniques[name],0))&gt;=1,INDEX(techniques[detection rules for techique],MATCH(G15,techniques[name],0)),""),"")</f>
        <v/>
      </c>
      <c r="I15" s="47" t="inlineStr">
        <is>
          <t>Default Accounts (T1078.001)</t>
        </is>
      </c>
      <c r="J15" s="54">
        <f t="array" ref="J15">IF(I15&lt;&gt;"",IF(INDEX(techniques[detection rules for techique],MATCH(I15,techniques[name],0))&gt;=1,INDEX(techniques[detection rules for techique],MATCH(I15,techniques[name],0)),""),"")</f>
        <v/>
      </c>
      <c r="K15" s="47" t="inlineStr">
        <is>
          <t>Dynamic-link Library Injection (T1055.001)</t>
        </is>
      </c>
      <c r="L15" s="54">
        <f t="array" ref="L15">IF(K15&lt;&gt;"",IF(INDEX(techniques[detection rules for techique],MATCH(K15,techniques[name],0))&gt;=1,INDEX(techniques[detection rules for techique],MATCH(K15,techniques[name],0)),""),"")</f>
        <v/>
      </c>
      <c r="M15" s="47" t="inlineStr">
        <is>
          <t>Fileless Storage (T1027.011)</t>
        </is>
      </c>
      <c r="N15" s="54">
        <f t="array" ref="N15">IF(M15&lt;&gt;"",IF(INDEX(techniques[detection rules for techique],MATCH(M15,techniques[name],0))&gt;=1,INDEX(techniques[detection rules for techique],MATCH(M15,techniques[name],0)),""),"")</f>
        <v/>
      </c>
      <c r="O15" s="47" t="inlineStr">
        <is>
          <t>Mark-of-the-Web Bypass (T1553.005)</t>
        </is>
      </c>
      <c r="P15" s="54">
        <f t="array" ref="P15">IF(O15&lt;&gt;"",IF(INDEX(techniques[detection rules for techique],MATCH(O15,techniques[name],0))&gt;=1,INDEX(techniques[detection rules for techique],MATCH(O15,techniques[name],0)),""),"")</f>
        <v/>
      </c>
      <c r="Q15" s="47" t="inlineStr">
        <is>
          <t>Web Portal Capture (T1056.003)</t>
        </is>
      </c>
      <c r="R15" s="54">
        <f t="array" ref="R15">IF(Q15&lt;&gt;"",IF(INDEX(techniques[detection rules for techique],MATCH(Q15,techniques[name],0))&gt;=1,INDEX(techniques[detection rules for techique],MATCH(Q15,techniques[name],0)),""),"")</f>
        <v/>
      </c>
      <c r="S15" s="47" t="inlineStr">
        <is>
          <t>Local Groups (T1069.001)</t>
        </is>
      </c>
      <c r="T15" s="54">
        <f t="array" ref="T15">IF(S15&lt;&gt;"",IF(INDEX(techniques[detection rules for techique],MATCH(S15,techniques[name],0))&gt;=1,INDEX(techniques[detection rules for techique],MATCH(S15,techniques[name],0)),""),"")</f>
        <v/>
      </c>
      <c r="U15" s="47" t="inlineStr">
        <is>
          <t>Internal Spearphishing (T1534)</t>
        </is>
      </c>
      <c r="V15" s="54">
        <f t="array" ref="V15">IF(U15&lt;&gt;"",IF(INDEX(techniques[detection rules for techique],MATCH(U15,techniques[name],0))&gt;=1,INDEX(techniques[detection rules for techique],MATCH(U15,techniques[name],0)),""),"")</f>
        <v/>
      </c>
      <c r="W15" s="47" t="inlineStr">
        <is>
          <t>Local Email Collection (T1114.001)</t>
        </is>
      </c>
      <c r="X15" s="54">
        <f t="array" ref="X15">IF(W15&lt;&gt;"",IF(INDEX(techniques[detection rules for techique],MATCH(W15,techniques[name],0))&gt;=1,INDEX(techniques[detection rules for techique],MATCH(W15,techniques[name],0)),""),"")</f>
        <v/>
      </c>
      <c r="Y15" s="47" t="inlineStr">
        <is>
          <t>External Proxy (T1090.002)</t>
        </is>
      </c>
      <c r="Z15" s="54">
        <f t="array" ref="Z15">IF(Y15&lt;&gt;"",IF(INDEX(techniques[detection rules for techique],MATCH(Y15,techniques[name],0))&gt;=1,INDEX(techniques[detection rules for techique],MATCH(Y15,techniques[name],0)),""),"")</f>
        <v/>
      </c>
      <c r="AA15" s="47" t="inlineStr">
        <is>
          <t>Transfer Data to Cloud Account (T1537)</t>
        </is>
      </c>
      <c r="AB15" s="54">
        <f t="array" ref="AB15">IF(AA15&lt;&gt;"",IF(INDEX(techniques[detection rules for techique],MATCH(AA15,techniques[name],0))&gt;=1,INDEX(techniques[detection rules for techique],MATCH(AA15,techniques[name],0)),""),"")</f>
        <v/>
      </c>
      <c r="AC15" s="47" t="inlineStr">
        <is>
          <t>Cloud Service Hijacking (T1496.004)</t>
        </is>
      </c>
      <c r="AD15" s="54">
        <f t="array" ref="AD15">IF(AC15&lt;&gt;"",IF(INDEX(techniques[detection rules for techique],MATCH(AC15,techniques[name],0))&gt;=1,INDEX(techniques[detection rules for techique],MATCH(AC15,techniques[name],0)),""),"")</f>
        <v/>
      </c>
    </row>
    <row r="16" ht="22.5" customHeight="1">
      <c r="A16" s="47" t="inlineStr">
        <is>
          <t>Identify Business Tempo (T1591.003)</t>
        </is>
      </c>
      <c r="B16" s="54">
        <f t="array" ref="B16">IF(A16&lt;&gt;"",IF(INDEX(techniques[detection rules for techique],MATCH(A16,techniques[name],0))&gt;=1,INDEX(techniques[detection rules for techique],MATCH(A16,techniques[name],0)),""),"")</f>
        <v/>
      </c>
      <c r="C16" s="47" t="inlineStr">
        <is>
          <t>Botnet (T1584.005)</t>
        </is>
      </c>
      <c r="D16" s="54">
        <f t="array" ref="D16">IF(C16&lt;&gt;"",IF(INDEX(techniques[detection rules for techique],MATCH(C16,techniques[name],0))&gt;=1,INDEX(techniques[detection rules for techique],MATCH(C16,techniques[name],0)),""),"")</f>
        <v/>
      </c>
      <c r="E16" s="47" t="inlineStr">
        <is>
          <t>Hardware Additions (T1200)</t>
        </is>
      </c>
      <c r="F16" s="54">
        <f t="array" ref="F16">IF(E16&lt;&gt;"",IF(INDEX(techniques[detection rules for techique],MATCH(E16,techniques[name],0))&gt;=1,INDEX(techniques[detection rules for techique],MATCH(E16,techniques[name],0)),""),"")</f>
        <v/>
      </c>
      <c r="G16" s="47" t="inlineStr">
        <is>
          <t>JavaScript (T1059.007)</t>
        </is>
      </c>
      <c r="H16" s="54">
        <f t="array" ref="H16">IF(G16&lt;&gt;"",IF(INDEX(techniques[detection rules for techique],MATCH(G16,techniques[name],0))&gt;=1,INDEX(techniques[detection rules for techique],MATCH(G16,techniques[name],0)),""),"")</f>
        <v/>
      </c>
      <c r="I16" s="47" t="inlineStr">
        <is>
          <t>Domain Accounts (T1078.002)</t>
        </is>
      </c>
      <c r="J16" s="54">
        <f t="array" ref="J16">IF(I16&lt;&gt;"",IF(INDEX(techniques[detection rules for techique],MATCH(I16,techniques[name],0))&gt;=1,INDEX(techniques[detection rules for techique],MATCH(I16,techniques[name],0)),""),"")</f>
        <v/>
      </c>
      <c r="K16" s="47" t="inlineStr">
        <is>
          <t>Portable Executable Injection (T1055.002)</t>
        </is>
      </c>
      <c r="L16" s="54">
        <f t="array" ref="L16">IF(K16&lt;&gt;"",IF(INDEX(techniques[detection rules for techique],MATCH(K16,techniques[name],0))&gt;=1,INDEX(techniques[detection rules for techique],MATCH(K16,techniques[name],0)),""),"")</f>
        <v/>
      </c>
      <c r="M16" s="47" t="inlineStr">
        <is>
          <t>LNK Icon Smuggling (T1027.012)</t>
        </is>
      </c>
      <c r="N16" s="54">
        <f t="array" ref="N16">IF(M16&lt;&gt;"",IF(INDEX(techniques[detection rules for techique],MATCH(M16,techniques[name],0))&gt;=1,INDEX(techniques[detection rules for techique],MATCH(M16,techniques[name],0)),""),"")</f>
        <v/>
      </c>
      <c r="O16" s="47" t="inlineStr">
        <is>
          <t>Code Signing Policy Modification (T1553.006)</t>
        </is>
      </c>
      <c r="P16" s="54">
        <f t="array" ref="P16">IF(O16&lt;&gt;"",IF(INDEX(techniques[detection rules for techique],MATCH(O16,techniques[name],0))&gt;=1,INDEX(techniques[detection rules for techique],MATCH(O16,techniques[name],0)),""),"")</f>
        <v/>
      </c>
      <c r="Q16" s="47" t="inlineStr">
        <is>
          <t>Credential API Hooking (T1056.004)</t>
        </is>
      </c>
      <c r="R16" s="54">
        <f t="array" ref="R16">IF(Q16&lt;&gt;"",IF(INDEX(techniques[detection rules for techique],MATCH(Q16,techniques[name],0))&gt;=1,INDEX(techniques[detection rules for techique],MATCH(Q16,techniques[name],0)),""),"")</f>
        <v/>
      </c>
      <c r="S16" s="47" t="inlineStr">
        <is>
          <t>Domain Groups (T1069.002)</t>
        </is>
      </c>
      <c r="T16" s="54">
        <f t="array" ref="T16">IF(S16&lt;&gt;"",IF(INDEX(techniques[detection rules for techique],MATCH(S16,techniques[name],0))&gt;=1,INDEX(techniques[detection rules for techique],MATCH(S16,techniques[name],0)),""),"")</f>
        <v/>
      </c>
      <c r="U16" s="47" t="inlineStr">
        <is>
          <t>Use Alternate Authentication Material (T1550)</t>
        </is>
      </c>
      <c r="V16" s="54">
        <f t="array" ref="V16">IF(U16&lt;&gt;"",IF(INDEX(techniques[detection rules for techique],MATCH(U16,techniques[name],0))&gt;=1,INDEX(techniques[detection rules for techique],MATCH(U16,techniques[name],0)),""),"")</f>
        <v/>
      </c>
      <c r="W16" s="47" t="inlineStr">
        <is>
          <t>Remote Email Collection (T1114.002)</t>
        </is>
      </c>
      <c r="X16" s="54">
        <f t="array" ref="X16">IF(W16&lt;&gt;"",IF(INDEX(techniques[detection rules for techique],MATCH(W16,techniques[name],0))&gt;=1,INDEX(techniques[detection rules for techique],MATCH(W16,techniques[name],0)),""),"")</f>
        <v/>
      </c>
      <c r="Y16" s="47" t="inlineStr">
        <is>
          <t>Multi-hop Proxy (T1090.003)</t>
        </is>
      </c>
      <c r="Z16" s="54">
        <f t="array" ref="Z16">IF(Y16&lt;&gt;"",IF(INDEX(techniques[detection rules for techique],MATCH(Y16,techniques[name],0))&gt;=1,INDEX(techniques[detection rules for techique],MATCH(Y16,techniques[name],0)),""),"")</f>
        <v/>
      </c>
      <c r="AA16" s="47" t="inlineStr">
        <is>
          <t>Exfiltration Over Web Service (T1567)</t>
        </is>
      </c>
      <c r="AB16" s="54">
        <f t="array" ref="AB16">IF(AA16&lt;&gt;"",IF(INDEX(techniques[detection rules for techique],MATCH(AA16,techniques[name],0))&gt;=1,INDEX(techniques[detection rules for techique],MATCH(AA16,techniques[name],0)),""),"")</f>
        <v/>
      </c>
      <c r="AC16" s="47" t="inlineStr">
        <is>
          <t>Network Denial of Service (T1498)</t>
        </is>
      </c>
      <c r="AD16" s="54">
        <f t="array" ref="AD16">IF(AC16&lt;&gt;"",IF(INDEX(techniques[detection rules for techique],MATCH(AC16,techniques[name],0))&gt;=1,INDEX(techniques[detection rules for techique],MATCH(AC16,techniques[name],0)),""),"")</f>
        <v/>
      </c>
    </row>
    <row r="17" ht="22.5" customHeight="1">
      <c r="A17" s="47" t="inlineStr">
        <is>
          <t>Identify Roles (T1591.004)</t>
        </is>
      </c>
      <c r="B17" s="54">
        <f t="array" ref="B17">IF(A17&lt;&gt;"",IF(INDEX(techniques[detection rules for techique],MATCH(A17,techniques[name],0))&gt;=1,INDEX(techniques[detection rules for techique],MATCH(A17,techniques[name],0)),""),"")</f>
        <v/>
      </c>
      <c r="C17" s="47" t="inlineStr">
        <is>
          <t>Web Services (T1584.006)</t>
        </is>
      </c>
      <c r="D17" s="54">
        <f t="array" ref="D17">IF(C17&lt;&gt;"",IF(INDEX(techniques[detection rules for techique],MATCH(C17,techniques[name],0))&gt;=1,INDEX(techniques[detection rules for techique],MATCH(C17,techniques[name],0)),""),"")</f>
        <v/>
      </c>
      <c r="E17" s="47" t="inlineStr">
        <is>
          <t>Phishing (T1566)</t>
        </is>
      </c>
      <c r="F17" s="54">
        <f t="array" ref="F17">IF(E17&lt;&gt;"",IF(INDEX(techniques[detection rules for techique],MATCH(E17,techniques[name],0))&gt;=1,INDEX(techniques[detection rules for techique],MATCH(E17,techniques[name],0)),""),"")</f>
        <v/>
      </c>
      <c r="G17" s="47" t="inlineStr">
        <is>
          <t>Network Device CLI (T1059.008)</t>
        </is>
      </c>
      <c r="H17" s="54">
        <f t="array" ref="H17">IF(G17&lt;&gt;"",IF(INDEX(techniques[detection rules for techique],MATCH(G17,techniques[name],0))&gt;=1,INDEX(techniques[detection rules for techique],MATCH(G17,techniques[name],0)),""),"")</f>
        <v/>
      </c>
      <c r="I17" s="47" t="inlineStr">
        <is>
          <t>Local Accounts (T1078.003)</t>
        </is>
      </c>
      <c r="J17" s="54">
        <f t="array" ref="J17">IF(I17&lt;&gt;"",IF(INDEX(techniques[detection rules for techique],MATCH(I17,techniques[name],0))&gt;=1,INDEX(techniques[detection rules for techique],MATCH(I17,techniques[name],0)),""),"")</f>
        <v/>
      </c>
      <c r="K17" s="47" t="inlineStr">
        <is>
          <t>Thread Execution Hijacking (T1055.003)</t>
        </is>
      </c>
      <c r="L17" s="54">
        <f t="array" ref="L17">IF(K17&lt;&gt;"",IF(INDEX(techniques[detection rules for techique],MATCH(K17,techniques[name],0))&gt;=1,INDEX(techniques[detection rules for techique],MATCH(K17,techniques[name],0)),""),"")</f>
        <v/>
      </c>
      <c r="M17" s="47" t="inlineStr">
        <is>
          <t>Encrypted/Encoded File (T1027.013)</t>
        </is>
      </c>
      <c r="N17" s="54">
        <f t="array" ref="N17">IF(M17&lt;&gt;"",IF(INDEX(techniques[detection rules for techique],MATCH(M17,techniques[name],0))&gt;=1,INDEX(techniques[detection rules for techique],MATCH(M17,techniques[name],0)),""),"")</f>
        <v/>
      </c>
      <c r="O17" s="47" t="inlineStr">
        <is>
          <t>Modify Authentication Process (T1556)</t>
        </is>
      </c>
      <c r="P17" s="54">
        <f t="array" ref="P17">IF(O17&lt;&gt;"",IF(INDEX(techniques[detection rules for techique],MATCH(O17,techniques[name],0))&gt;=1,INDEX(techniques[detection rules for techique],MATCH(O17,techniques[name],0)),""),"")</f>
        <v/>
      </c>
      <c r="Q17" s="47" t="inlineStr">
        <is>
          <t>Brute Force (T1110)</t>
        </is>
      </c>
      <c r="R17" s="54">
        <f t="array" ref="R17">IF(Q17&lt;&gt;"",IF(INDEX(techniques[detection rules for techique],MATCH(Q17,techniques[name],0))&gt;=1,INDEX(techniques[detection rules for techique],MATCH(Q17,techniques[name],0)),""),"")</f>
        <v/>
      </c>
      <c r="S17" s="47" t="inlineStr">
        <is>
          <t>Cloud Groups (T1069.003)</t>
        </is>
      </c>
      <c r="T17" s="54">
        <f t="array" ref="T17">IF(S17&lt;&gt;"",IF(INDEX(techniques[detection rules for techique],MATCH(S17,techniques[name],0))&gt;=1,INDEX(techniques[detection rules for techique],MATCH(S17,techniques[name],0)),""),"")</f>
        <v/>
      </c>
      <c r="U17" s="47" t="inlineStr">
        <is>
          <t>Application Access Token (T1550.001)</t>
        </is>
      </c>
      <c r="V17" s="54">
        <f t="array" ref="V17">IF(U17&lt;&gt;"",IF(INDEX(techniques[detection rules for techique],MATCH(U17,techniques[name],0))&gt;=1,INDEX(techniques[detection rules for techique],MATCH(U17,techniques[name],0)),""),"")</f>
        <v/>
      </c>
      <c r="W17" s="47" t="inlineStr">
        <is>
          <t>Email Forwarding Rule (T1114.003)</t>
        </is>
      </c>
      <c r="X17" s="54">
        <f t="array" ref="X17">IF(W17&lt;&gt;"",IF(INDEX(techniques[detection rules for techique],MATCH(W17,techniques[name],0))&gt;=1,INDEX(techniques[detection rules for techique],MATCH(W17,techniques[name],0)),""),"")</f>
        <v/>
      </c>
      <c r="Y17" s="47" t="inlineStr">
        <is>
          <t>Domain Fronting (T1090.004)</t>
        </is>
      </c>
      <c r="Z17" s="54">
        <f t="array" ref="Z17">IF(Y17&lt;&gt;"",IF(INDEX(techniques[detection rules for techique],MATCH(Y17,techniques[name],0))&gt;=1,INDEX(techniques[detection rules for techique],MATCH(Y17,techniques[name],0)),""),"")</f>
        <v/>
      </c>
      <c r="AA17" s="47" t="inlineStr">
        <is>
          <t>Exfiltration to Code Repository (T1567.001)</t>
        </is>
      </c>
      <c r="AB17" s="54">
        <f t="array" ref="AB17">IF(AA17&lt;&gt;"",IF(INDEX(techniques[detection rules for techique],MATCH(AA17,techniques[name],0))&gt;=1,INDEX(techniques[detection rules for techique],MATCH(AA17,techniques[name],0)),""),"")</f>
        <v/>
      </c>
      <c r="AC17" s="47" t="inlineStr">
        <is>
          <t>Direct Network Flood (T1498.001)</t>
        </is>
      </c>
      <c r="AD17" s="54">
        <f t="array" ref="AD17">IF(AC17&lt;&gt;"",IF(INDEX(techniques[detection rules for techique],MATCH(AC17,techniques[name],0))&gt;=1,INDEX(techniques[detection rules for techique],MATCH(AC17,techniques[name],0)),""),"")</f>
        <v/>
      </c>
    </row>
    <row r="18" ht="22.5" customHeight="1">
      <c r="A18" s="47" t="inlineStr">
        <is>
          <t>Gather Victim Host Information (T1592)</t>
        </is>
      </c>
      <c r="B18" s="54">
        <f t="array" ref="B18">IF(A18&lt;&gt;"",IF(INDEX(techniques[detection rules for techique],MATCH(A18,techniques[name],0))&gt;=1,INDEX(techniques[detection rules for techique],MATCH(A18,techniques[name],0)),""),"")</f>
        <v/>
      </c>
      <c r="C18" s="47" t="inlineStr">
        <is>
          <t>Serverless (T1584.007)</t>
        </is>
      </c>
      <c r="D18" s="54">
        <f t="array" ref="D18">IF(C18&lt;&gt;"",IF(INDEX(techniques[detection rules for techique],MATCH(C18,techniques[name],0))&gt;=1,INDEX(techniques[detection rules for techique],MATCH(C18,techniques[name],0)),""),"")</f>
        <v/>
      </c>
      <c r="E18" s="47" t="inlineStr">
        <is>
          <t>Spearphishing Attachment (T1566.001)</t>
        </is>
      </c>
      <c r="F18" s="54">
        <f t="array" ref="F18">IF(E18&lt;&gt;"",IF(INDEX(techniques[detection rules for techique],MATCH(E18,techniques[name],0))&gt;=1,INDEX(techniques[detection rules for techique],MATCH(E18,techniques[name],0)),""),"")</f>
        <v/>
      </c>
      <c r="G18" s="47" t="inlineStr">
        <is>
          <t>Cloud API (T1059.009)</t>
        </is>
      </c>
      <c r="H18" s="54">
        <f t="array" ref="H18">IF(G18&lt;&gt;"",IF(INDEX(techniques[detection rules for techique],MATCH(G18,techniques[name],0))&gt;=1,INDEX(techniques[detection rules for techique],MATCH(G18,techniques[name],0)),""),"")</f>
        <v/>
      </c>
      <c r="I18" s="47" t="inlineStr">
        <is>
          <t>Cloud Accounts (T1078.004)</t>
        </is>
      </c>
      <c r="J18" s="54">
        <f t="array" ref="J18">IF(I18&lt;&gt;"",IF(INDEX(techniques[detection rules for techique],MATCH(I18,techniques[name],0))&gt;=1,INDEX(techniques[detection rules for techique],MATCH(I18,techniques[name],0)),""),"")</f>
        <v/>
      </c>
      <c r="K18" s="47" t="inlineStr">
        <is>
          <t>Asynchronous Procedure Call (T1055.004)</t>
        </is>
      </c>
      <c r="L18" s="54">
        <f t="array" ref="L18">IF(K18&lt;&gt;"",IF(INDEX(techniques[detection rules for techique],MATCH(K18,techniques[name],0))&gt;=1,INDEX(techniques[detection rules for techique],MATCH(K18,techniques[name],0)),""),"")</f>
        <v/>
      </c>
      <c r="M18" s="47" t="inlineStr">
        <is>
          <t>Polymorphic Code (T1027.014)</t>
        </is>
      </c>
      <c r="N18" s="54">
        <f t="array" ref="N18">IF(M18&lt;&gt;"",IF(INDEX(techniques[detection rules for techique],MATCH(M18,techniques[name],0))&gt;=1,INDEX(techniques[detection rules for techique],MATCH(M18,techniques[name],0)),""),"")</f>
        <v/>
      </c>
      <c r="O18" s="47" t="inlineStr">
        <is>
          <t>Domain Controller Authentication (T1556.001)</t>
        </is>
      </c>
      <c r="P18" s="54">
        <f t="array" ref="P18">IF(O18&lt;&gt;"",IF(INDEX(techniques[detection rules for techique],MATCH(O18,techniques[name],0))&gt;=1,INDEX(techniques[detection rules for techique],MATCH(O18,techniques[name],0)),""),"")</f>
        <v/>
      </c>
      <c r="Q18" s="47" t="inlineStr">
        <is>
          <t>Password Guessing (T1110.001)</t>
        </is>
      </c>
      <c r="R18" s="54">
        <f t="array" ref="R18">IF(Q18&lt;&gt;"",IF(INDEX(techniques[detection rules for techique],MATCH(Q18,techniques[name],0))&gt;=1,INDEX(techniques[detection rules for techique],MATCH(Q18,techniques[name],0)),""),"")</f>
        <v/>
      </c>
      <c r="S18" s="47" t="inlineStr">
        <is>
          <t>System Information Discovery (T1082)</t>
        </is>
      </c>
      <c r="T18" s="54">
        <f t="array" ref="T18">IF(S18&lt;&gt;"",IF(INDEX(techniques[detection rules for techique],MATCH(S18,techniques[name],0))&gt;=1,INDEX(techniques[detection rules for techique],MATCH(S18,techniques[name],0)),""),"")</f>
        <v/>
      </c>
      <c r="U18" s="47" t="inlineStr">
        <is>
          <t>Pass the Hash (T1550.002)</t>
        </is>
      </c>
      <c r="V18" s="54">
        <f t="array" ref="V18">IF(U18&lt;&gt;"",IF(INDEX(techniques[detection rules for techique],MATCH(U18,techniques[name],0))&gt;=1,INDEX(techniques[detection rules for techique],MATCH(U18,techniques[name],0)),""),"")</f>
        <v/>
      </c>
      <c r="W18" s="47" t="inlineStr">
        <is>
          <t>Clipboard Data (T1115)</t>
        </is>
      </c>
      <c r="X18" s="54">
        <f t="array" ref="X18">IF(W18&lt;&gt;"",IF(INDEX(techniques[detection rules for techique],MATCH(W18,techniques[name],0))&gt;=1,INDEX(techniques[detection rules for techique],MATCH(W18,techniques[name],0)),""),"")</f>
        <v/>
      </c>
      <c r="Y18" s="47" t="inlineStr">
        <is>
          <t>Communication Through Removable Media (T1092)</t>
        </is>
      </c>
      <c r="Z18" s="54">
        <f t="array" ref="Z18">IF(Y18&lt;&gt;"",IF(INDEX(techniques[detection rules for techique],MATCH(Y18,techniques[name],0))&gt;=1,INDEX(techniques[detection rules for techique],MATCH(Y18,techniques[name],0)),""),"")</f>
        <v/>
      </c>
      <c r="AA18" s="47" t="inlineStr">
        <is>
          <t>Exfiltration to Cloud Storage (T1567.002)</t>
        </is>
      </c>
      <c r="AB18" s="54">
        <f t="array" ref="AB18">IF(AA18&lt;&gt;"",IF(INDEX(techniques[detection rules for techique],MATCH(AA18,techniques[name],0))&gt;=1,INDEX(techniques[detection rules for techique],MATCH(AA18,techniques[name],0)),""),"")</f>
        <v/>
      </c>
      <c r="AC18" s="47" t="inlineStr">
        <is>
          <t>Reflection Amplification (T1498.002)</t>
        </is>
      </c>
      <c r="AD18" s="54">
        <f t="array" ref="AD18">IF(AC18&lt;&gt;"",IF(INDEX(techniques[detection rules for techique],MATCH(AC18,techniques[name],0))&gt;=1,INDEX(techniques[detection rules for techique],MATCH(AC18,techniques[name],0)),""),"")</f>
        <v/>
      </c>
    </row>
    <row r="19" ht="22.5" customHeight="1">
      <c r="A19" s="47" t="inlineStr">
        <is>
          <t>Hardware (T1592.001)</t>
        </is>
      </c>
      <c r="B19" s="54">
        <f t="array" ref="B19">IF(A19&lt;&gt;"",IF(INDEX(techniques[detection rules for techique],MATCH(A19,techniques[name],0))&gt;=1,INDEX(techniques[detection rules for techique],MATCH(A19,techniques[name],0)),""),"")</f>
        <v/>
      </c>
      <c r="C19" s="47" t="inlineStr">
        <is>
          <t>Network Devices (T1584.008)</t>
        </is>
      </c>
      <c r="D19" s="54">
        <f t="array" ref="D19">IF(C19&lt;&gt;"",IF(INDEX(techniques[detection rules for techique],MATCH(C19,techniques[name],0))&gt;=1,INDEX(techniques[detection rules for techique],MATCH(C19,techniques[name],0)),""),"")</f>
        <v/>
      </c>
      <c r="E19" s="47" t="inlineStr">
        <is>
          <t>Spearphishing Link (T1566.002)</t>
        </is>
      </c>
      <c r="F19" s="54">
        <f t="array" ref="F19">IF(E19&lt;&gt;"",IF(INDEX(techniques[detection rules for techique],MATCH(E19,techniques[name],0))&gt;=1,INDEX(techniques[detection rules for techique],MATCH(E19,techniques[name],0)),""),"")</f>
        <v/>
      </c>
      <c r="G19" s="47" t="inlineStr">
        <is>
          <t>AutoHotKey &amp; AutoIT (T1059.010)</t>
        </is>
      </c>
      <c r="H19" s="54">
        <f t="array" ref="H19">IF(G19&lt;&gt;"",IF(INDEX(techniques[detection rules for techique],MATCH(G19,techniques[name],0))&gt;=1,INDEX(techniques[detection rules for techique],MATCH(G19,techniques[name],0)),""),"")</f>
        <v/>
      </c>
      <c r="I19" s="47" t="inlineStr">
        <is>
          <t>Account Manipulation (T1098)</t>
        </is>
      </c>
      <c r="J19" s="54">
        <f t="array" ref="J19">IF(I19&lt;&gt;"",IF(INDEX(techniques[detection rules for techique],MATCH(I19,techniques[name],0))&gt;=1,INDEX(techniques[detection rules for techique],MATCH(I19,techniques[name],0)),""),"")</f>
        <v/>
      </c>
      <c r="K19" s="47" t="inlineStr">
        <is>
          <t>Thread Local Storage (T1055.005)</t>
        </is>
      </c>
      <c r="L19" s="54">
        <f t="array" ref="L19">IF(K19&lt;&gt;"",IF(INDEX(techniques[detection rules for techique],MATCH(K19,techniques[name],0))&gt;=1,INDEX(techniques[detection rules for techique],MATCH(K19,techniques[name],0)),""),"")</f>
        <v/>
      </c>
      <c r="M19" s="47" t="inlineStr">
        <is>
          <t>Compression (T1027.015)</t>
        </is>
      </c>
      <c r="N19" s="54">
        <f t="array" ref="N19">IF(M19&lt;&gt;"",IF(INDEX(techniques[detection rules for techique],MATCH(M19,techniques[name],0))&gt;=1,INDEX(techniques[detection rules for techique],MATCH(M19,techniques[name],0)),""),"")</f>
        <v/>
      </c>
      <c r="O19" s="47" t="inlineStr">
        <is>
          <t>Password Filter DLL (T1556.002)</t>
        </is>
      </c>
      <c r="P19" s="54">
        <f t="array" ref="P19">IF(O19&lt;&gt;"",IF(INDEX(techniques[detection rules for techique],MATCH(O19,techniques[name],0))&gt;=1,INDEX(techniques[detection rules for techique],MATCH(O19,techniques[name],0)),""),"")</f>
        <v/>
      </c>
      <c r="Q19" s="47" t="inlineStr">
        <is>
          <t>Password Cracking (T1110.002)</t>
        </is>
      </c>
      <c r="R19" s="54">
        <f t="array" ref="R19">IF(Q19&lt;&gt;"",IF(INDEX(techniques[detection rules for techique],MATCH(Q19,techniques[name],0))&gt;=1,INDEX(techniques[detection rules for techique],MATCH(Q19,techniques[name],0)),""),"")</f>
        <v/>
      </c>
      <c r="S19" s="47" t="inlineStr">
        <is>
          <t>File and Directory Discovery (T1083)</t>
        </is>
      </c>
      <c r="T19" s="54">
        <f t="array" ref="T19">IF(S19&lt;&gt;"",IF(INDEX(techniques[detection rules for techique],MATCH(S19,techniques[name],0))&gt;=1,INDEX(techniques[detection rules for techique],MATCH(S19,techniques[name],0)),""),"")</f>
        <v/>
      </c>
      <c r="U19" s="47" t="inlineStr">
        <is>
          <t>Pass the Ticket (T1550.003)</t>
        </is>
      </c>
      <c r="V19" s="54">
        <f t="array" ref="V19">IF(U19&lt;&gt;"",IF(INDEX(techniques[detection rules for techique],MATCH(U19,techniques[name],0))&gt;=1,INDEX(techniques[detection rules for techique],MATCH(U19,techniques[name],0)),""),"")</f>
        <v/>
      </c>
      <c r="W19" s="47" t="inlineStr">
        <is>
          <t>Automated Collection (T1119)</t>
        </is>
      </c>
      <c r="X19" s="54">
        <f t="array" ref="X19">IF(W19&lt;&gt;"",IF(INDEX(techniques[detection rules for techique],MATCH(W19,techniques[name],0))&gt;=1,INDEX(techniques[detection rules for techique],MATCH(W19,techniques[name],0)),""),"")</f>
        <v/>
      </c>
      <c r="Y19" s="47" t="inlineStr">
        <is>
          <t>Non-Application Layer Protocol (T1095)</t>
        </is>
      </c>
      <c r="Z19" s="54">
        <f t="array" ref="Z19">IF(Y19&lt;&gt;"",IF(INDEX(techniques[detection rules for techique],MATCH(Y19,techniques[name],0))&gt;=1,INDEX(techniques[detection rules for techique],MATCH(Y19,techniques[name],0)),""),"")</f>
        <v/>
      </c>
      <c r="AA19" s="47" t="inlineStr">
        <is>
          <t>Exfiltration to Text Storage Sites (T1567.003)</t>
        </is>
      </c>
      <c r="AB19" s="54">
        <f t="array" ref="AB19">IF(AA19&lt;&gt;"",IF(INDEX(techniques[detection rules for techique],MATCH(AA19,techniques[name],0))&gt;=1,INDEX(techniques[detection rules for techique],MATCH(AA19,techniques[name],0)),""),"")</f>
        <v/>
      </c>
      <c r="AC19" s="47" t="inlineStr">
        <is>
          <t>Endpoint Denial of Service (T1499)</t>
        </is>
      </c>
      <c r="AD19" s="54">
        <f t="array" ref="AD19">IF(AC19&lt;&gt;"",IF(INDEX(techniques[detection rules for techique],MATCH(AC19,techniques[name],0))&gt;=1,INDEX(techniques[detection rules for techique],MATCH(AC19,techniques[name],0)),""),"")</f>
        <v/>
      </c>
    </row>
    <row r="20" ht="22.5" customHeight="1">
      <c r="A20" s="47" t="inlineStr">
        <is>
          <t>Software (T1592.002)</t>
        </is>
      </c>
      <c r="B20" s="54">
        <f t="array" ref="B20">IF(A20&lt;&gt;"",IF(INDEX(techniques[detection rules for techique],MATCH(A20,techniques[name],0))&gt;=1,INDEX(techniques[detection rules for techique],MATCH(A20,techniques[name],0)),""),"")</f>
        <v/>
      </c>
      <c r="C20" s="47" t="inlineStr">
        <is>
          <t>Establish Accounts (T1585)</t>
        </is>
      </c>
      <c r="D20" s="54">
        <f t="array" ref="D20">IF(C20&lt;&gt;"",IF(INDEX(techniques[detection rules for techique],MATCH(C20,techniques[name],0))&gt;=1,INDEX(techniques[detection rules for techique],MATCH(C20,techniques[name],0)),""),"")</f>
        <v/>
      </c>
      <c r="E20" s="47" t="inlineStr">
        <is>
          <t>Spearphishing via Service (T1566.003)</t>
        </is>
      </c>
      <c r="F20" s="54">
        <f t="array" ref="F20">IF(E20&lt;&gt;"",IF(INDEX(techniques[detection rules for techique],MATCH(E20,techniques[name],0))&gt;=1,INDEX(techniques[detection rules for techique],MATCH(E20,techniques[name],0)),""),"")</f>
        <v/>
      </c>
      <c r="G20" s="47" t="inlineStr">
        <is>
          <t>Lua (T1059.011)</t>
        </is>
      </c>
      <c r="H20" s="54">
        <f t="array" ref="H20">IF(G20&lt;&gt;"",IF(INDEX(techniques[detection rules for techique],MATCH(G20,techniques[name],0))&gt;=1,INDEX(techniques[detection rules for techique],MATCH(G20,techniques[name],0)),""),"")</f>
        <v/>
      </c>
      <c r="I20" s="47" t="inlineStr">
        <is>
          <t>Additional Cloud Credentials (T1098.001)</t>
        </is>
      </c>
      <c r="J20" s="54">
        <f t="array" ref="J20">IF(I20&lt;&gt;"",IF(INDEX(techniques[detection rules for techique],MATCH(I20,techniques[name],0))&gt;=1,INDEX(techniques[detection rules for techique],MATCH(I20,techniques[name],0)),""),"")</f>
        <v/>
      </c>
      <c r="K20" s="47" t="inlineStr">
        <is>
          <t>Ptrace System Calls (T1055.008)</t>
        </is>
      </c>
      <c r="L20" s="54">
        <f t="array" ref="L20">IF(K20&lt;&gt;"",IF(INDEX(techniques[detection rules for techique],MATCH(K20,techniques[name],0))&gt;=1,INDEX(techniques[detection rules for techique],MATCH(K20,techniques[name],0)),""),"")</f>
        <v/>
      </c>
      <c r="M20" s="47" t="inlineStr">
        <is>
          <t>Junk Code Insertion (T1027.016)</t>
        </is>
      </c>
      <c r="N20" s="54">
        <f t="array" ref="N20">IF(M20&lt;&gt;"",IF(INDEX(techniques[detection rules for techique],MATCH(M20,techniques[name],0))&gt;=1,INDEX(techniques[detection rules for techique],MATCH(M20,techniques[name],0)),""),"")</f>
        <v/>
      </c>
      <c r="O20" s="47" t="inlineStr">
        <is>
          <t>Pluggable Authentication Modules (T1556.003)</t>
        </is>
      </c>
      <c r="P20" s="54">
        <f t="array" ref="P20">IF(O20&lt;&gt;"",IF(INDEX(techniques[detection rules for techique],MATCH(O20,techniques[name],0))&gt;=1,INDEX(techniques[detection rules for techique],MATCH(O20,techniques[name],0)),""),"")</f>
        <v/>
      </c>
      <c r="Q20" s="47" t="inlineStr">
        <is>
          <t>Password Spraying (T1110.003)</t>
        </is>
      </c>
      <c r="R20" s="54">
        <f t="array" ref="R20">IF(Q20&lt;&gt;"",IF(INDEX(techniques[detection rules for techique],MATCH(Q20,techniques[name],0))&gt;=1,INDEX(techniques[detection rules for techique],MATCH(Q20,techniques[name],0)),""),"")</f>
        <v/>
      </c>
      <c r="S20" s="47" t="inlineStr">
        <is>
          <t>Account Discovery (T1087)</t>
        </is>
      </c>
      <c r="T20" s="54">
        <f t="array" ref="T20">IF(S20&lt;&gt;"",IF(INDEX(techniques[detection rules for techique],MATCH(S20,techniques[name],0))&gt;=1,INDEX(techniques[detection rules for techique],MATCH(S20,techniques[name],0)),""),"")</f>
        <v/>
      </c>
      <c r="U20" s="47" t="inlineStr">
        <is>
          <t>Web Session Cookie (T1550.004)</t>
        </is>
      </c>
      <c r="V20" s="54">
        <f t="array" ref="V20">IF(U20&lt;&gt;"",IF(INDEX(techniques[detection rules for techique],MATCH(U20,techniques[name],0))&gt;=1,INDEX(techniques[detection rules for techique],MATCH(U20,techniques[name],0)),""),"")</f>
        <v/>
      </c>
      <c r="W20" s="47" t="inlineStr">
        <is>
          <t>Audio Capture (T1123)</t>
        </is>
      </c>
      <c r="X20" s="54">
        <f t="array" ref="X20">IF(W20&lt;&gt;"",IF(INDEX(techniques[detection rules for techique],MATCH(W20,techniques[name],0))&gt;=1,INDEX(techniques[detection rules for techique],MATCH(W20,techniques[name],0)),""),"")</f>
        <v/>
      </c>
      <c r="Y20" s="47" t="inlineStr">
        <is>
          <t>Web Service (T1102)</t>
        </is>
      </c>
      <c r="Z20" s="54">
        <f t="array" ref="Z20">IF(Y20&lt;&gt;"",IF(INDEX(techniques[detection rules for techique],MATCH(Y20,techniques[name],0))&gt;=1,INDEX(techniques[detection rules for techique],MATCH(Y20,techniques[name],0)),""),"")</f>
        <v/>
      </c>
      <c r="AA20" s="47" t="inlineStr">
        <is>
          <t>Exfiltration Over Webhook (T1567.004)</t>
        </is>
      </c>
      <c r="AB20" s="54">
        <f t="array" ref="AB20">IF(AA20&lt;&gt;"",IF(INDEX(techniques[detection rules for techique],MATCH(AA20,techniques[name],0))&gt;=1,INDEX(techniques[detection rules for techique],MATCH(AA20,techniques[name],0)),""),"")</f>
        <v/>
      </c>
      <c r="AC20" s="47" t="inlineStr">
        <is>
          <t>OS Exhaustion Flood (T1499.001)</t>
        </is>
      </c>
      <c r="AD20" s="54">
        <f t="array" ref="AD20">IF(AC20&lt;&gt;"",IF(INDEX(techniques[detection rules for techique],MATCH(AC20,techniques[name],0))&gt;=1,INDEX(techniques[detection rules for techique],MATCH(AC20,techniques[name],0)),""),"")</f>
        <v/>
      </c>
    </row>
    <row r="21" ht="33.75" customHeight="1">
      <c r="A21" s="47" t="inlineStr">
        <is>
          <t>Firmware (T1592.003)</t>
        </is>
      </c>
      <c r="B21" s="54">
        <f t="array" ref="B21">IF(A21&lt;&gt;"",IF(INDEX(techniques[detection rules for techique],MATCH(A21,techniques[name],0))&gt;=1,INDEX(techniques[detection rules for techique],MATCH(A21,techniques[name],0)),""),"")</f>
        <v/>
      </c>
      <c r="C21" s="47" t="inlineStr">
        <is>
          <t>Social Media Accounts (T1585.001)</t>
        </is>
      </c>
      <c r="D21" s="54">
        <f t="array" ref="D21">IF(C21&lt;&gt;"",IF(INDEX(techniques[detection rules for techique],MATCH(C21,techniques[name],0))&gt;=1,INDEX(techniques[detection rules for techique],MATCH(C21,techniques[name],0)),""),"")</f>
        <v/>
      </c>
      <c r="E21" s="47" t="inlineStr">
        <is>
          <t>Spearphishing Voice (T1566.004)</t>
        </is>
      </c>
      <c r="F21" s="54">
        <f t="array" ref="F21">IF(E21&lt;&gt;"",IF(INDEX(techniques[detection rules for techique],MATCH(E21,techniques[name],0))&gt;=1,INDEX(techniques[detection rules for techique],MATCH(E21,techniques[name],0)),""),"")</f>
        <v/>
      </c>
      <c r="G21" s="47" t="inlineStr">
        <is>
          <t>Hypervisor CLI (T1059.012)</t>
        </is>
      </c>
      <c r="H21" s="54">
        <f t="array" ref="H21">IF(G21&lt;&gt;"",IF(INDEX(techniques[detection rules for techique],MATCH(G21,techniques[name],0))&gt;=1,INDEX(techniques[detection rules for techique],MATCH(G21,techniques[name],0)),""),"")</f>
        <v/>
      </c>
      <c r="I21" s="47" t="inlineStr">
        <is>
          <t>Additional Email Delegate Permissions (T1098.002)</t>
        </is>
      </c>
      <c r="J21" s="54">
        <f t="array" ref="J21">IF(I21&lt;&gt;"",IF(INDEX(techniques[detection rules for techique],MATCH(I21,techniques[name],0))&gt;=1,INDEX(techniques[detection rules for techique],MATCH(I21,techniques[name],0)),""),"")</f>
        <v/>
      </c>
      <c r="K21" s="47" t="inlineStr">
        <is>
          <t>Proc Memory (T1055.009)</t>
        </is>
      </c>
      <c r="L21" s="54">
        <f t="array" ref="L21">IF(K21&lt;&gt;"",IF(INDEX(techniques[detection rules for techique],MATCH(K21,techniques[name],0))&gt;=1,INDEX(techniques[detection rules for techique],MATCH(K21,techniques[name],0)),""),"")</f>
        <v/>
      </c>
      <c r="M21" s="47" t="inlineStr">
        <is>
          <t>SVG Smuggling (T1027.017)</t>
        </is>
      </c>
      <c r="N21" s="54">
        <f t="array" ref="N21">IF(M21&lt;&gt;"",IF(INDEX(techniques[detection rules for techique],MATCH(M21,techniques[name],0))&gt;=1,INDEX(techniques[detection rules for techique],MATCH(M21,techniques[name],0)),""),"")</f>
        <v/>
      </c>
      <c r="O21" s="47" t="inlineStr">
        <is>
          <t>Network Device Authentication (T1556.004)</t>
        </is>
      </c>
      <c r="P21" s="54">
        <f t="array" ref="P21">IF(O21&lt;&gt;"",IF(INDEX(techniques[detection rules for techique],MATCH(O21,techniques[name],0))&gt;=1,INDEX(techniques[detection rules for techique],MATCH(O21,techniques[name],0)),""),"")</f>
        <v/>
      </c>
      <c r="Q21" s="47" t="inlineStr">
        <is>
          <t>Credential Stuffing (T1110.004)</t>
        </is>
      </c>
      <c r="R21" s="54">
        <f t="array" ref="R21">IF(Q21&lt;&gt;"",IF(INDEX(techniques[detection rules for techique],MATCH(Q21,techniques[name],0))&gt;=1,INDEX(techniques[detection rules for techique],MATCH(Q21,techniques[name],0)),""),"")</f>
        <v/>
      </c>
      <c r="S21" s="47" t="inlineStr">
        <is>
          <t>Local Account (T1087.001)</t>
        </is>
      </c>
      <c r="T21" s="54">
        <f t="array" ref="T21">IF(S21&lt;&gt;"",IF(INDEX(techniques[detection rules for techique],MATCH(S21,techniques[name],0))&gt;=1,INDEX(techniques[detection rules for techique],MATCH(S21,techniques[name],0)),""),"")</f>
        <v/>
      </c>
      <c r="U21" s="47" t="inlineStr">
        <is>
          <t>Remote Service Session Hijacking (T1563)</t>
        </is>
      </c>
      <c r="V21" s="54">
        <f t="array" ref="V21">IF(U21&lt;&gt;"",IF(INDEX(techniques[detection rules for techique],MATCH(U21,techniques[name],0))&gt;=1,INDEX(techniques[detection rules for techique],MATCH(U21,techniques[name],0)),""),"")</f>
        <v/>
      </c>
      <c r="W21" s="47" t="inlineStr">
        <is>
          <t>Video Capture (T1125)</t>
        </is>
      </c>
      <c r="X21" s="54">
        <f t="array" ref="X21">IF(W21&lt;&gt;"",IF(INDEX(techniques[detection rules for techique],MATCH(W21,techniques[name],0))&gt;=1,INDEX(techniques[detection rules for techique],MATCH(W21,techniques[name],0)),""),"")</f>
        <v/>
      </c>
      <c r="Y21" s="47" t="inlineStr">
        <is>
          <t>Dead Drop Resolver (T1102.001)</t>
        </is>
      </c>
      <c r="Z21" s="54">
        <f t="array" ref="Z21">IF(Y21&lt;&gt;"",IF(INDEX(techniques[detection rules for techique],MATCH(Y21,techniques[name],0))&gt;=1,INDEX(techniques[detection rules for techique],MATCH(Y21,techniques[name],0)),""),"")</f>
        <v/>
      </c>
      <c r="AA21" s="47" t="n"/>
      <c r="AB21" s="54">
        <f t="array" ref="AB21">IF(AA21&lt;&gt;"",IF(INDEX(techniques[detection rules for techique],MATCH(AA21,techniques[name],0))&gt;=1,INDEX(techniques[detection rules for techique],MATCH(AA21,techniques[name],0)),""),"")</f>
        <v/>
      </c>
      <c r="AC21" s="47" t="inlineStr">
        <is>
          <t>Service Exhaustion Flood (T1499.002)</t>
        </is>
      </c>
      <c r="AD21" s="54">
        <f t="array" ref="AD21">IF(AC21&lt;&gt;"",IF(INDEX(techniques[detection rules for techique],MATCH(AC21,techniques[name],0))&gt;=1,INDEX(techniques[detection rules for techique],MATCH(AC21,techniques[name],0)),""),"")</f>
        <v/>
      </c>
    </row>
    <row r="22" ht="22.5" customHeight="1">
      <c r="A22" s="47" t="inlineStr">
        <is>
          <t>Client Configurations (T1592.004)</t>
        </is>
      </c>
      <c r="B22" s="54">
        <f t="array" ref="B22">IF(A22&lt;&gt;"",IF(INDEX(techniques[detection rules for techique],MATCH(A22,techniques[name],0))&gt;=1,INDEX(techniques[detection rules for techique],MATCH(A22,techniques[name],0)),""),"")</f>
        <v/>
      </c>
      <c r="C22" s="47" t="inlineStr">
        <is>
          <t>Email Accounts (T1585.002)</t>
        </is>
      </c>
      <c r="D22" s="54">
        <f t="array" ref="D22">IF(C22&lt;&gt;"",IF(INDEX(techniques[detection rules for techique],MATCH(C22,techniques[name],0))&gt;=1,INDEX(techniques[detection rules for techique],MATCH(C22,techniques[name],0)),""),"")</f>
        <v/>
      </c>
      <c r="E22" s="47" t="inlineStr">
        <is>
          <t>Content Injection (T1659)</t>
        </is>
      </c>
      <c r="F22" s="54">
        <f t="array" ref="F22">IF(E22&lt;&gt;"",IF(INDEX(techniques[detection rules for techique],MATCH(E22,techniques[name],0))&gt;=1,INDEX(techniques[detection rules for techique],MATCH(E22,techniques[name],0)),""),"")</f>
        <v/>
      </c>
      <c r="G22" s="47" t="inlineStr">
        <is>
          <t>Container CLI/API (T1059.013)</t>
        </is>
      </c>
      <c r="H22" s="54">
        <f t="array" ref="H22">IF(G22&lt;&gt;"",IF(INDEX(techniques[detection rules for techique],MATCH(G22,techniques[name],0))&gt;=1,INDEX(techniques[detection rules for techique],MATCH(G22,techniques[name],0)),""),"")</f>
        <v/>
      </c>
      <c r="I22" s="47" t="inlineStr">
        <is>
          <t>Additional Cloud Roles (T1098.003)</t>
        </is>
      </c>
      <c r="J22" s="54">
        <f t="array" ref="J22">IF(I22&lt;&gt;"",IF(INDEX(techniques[detection rules for techique],MATCH(I22,techniques[name],0))&gt;=1,INDEX(techniques[detection rules for techique],MATCH(I22,techniques[name],0)),""),"")</f>
        <v/>
      </c>
      <c r="K22" s="47" t="inlineStr">
        <is>
          <t>Extra Window Memory Injection (T1055.011)</t>
        </is>
      </c>
      <c r="L22" s="54">
        <f t="array" ref="L22">IF(K22&lt;&gt;"",IF(INDEX(techniques[detection rules for techique],MATCH(K22,techniques[name],0))&gt;=1,INDEX(techniques[detection rules for techique],MATCH(K22,techniques[name],0)),""),"")</f>
        <v/>
      </c>
      <c r="M22" s="47" t="inlineStr">
        <is>
          <t>Invisible Unicode (T1027.018)</t>
        </is>
      </c>
      <c r="N22" s="54">
        <f t="array" ref="N22">IF(M22&lt;&gt;"",IF(INDEX(techniques[detection rules for techique],MATCH(M22,techniques[name],0))&gt;=1,INDEX(techniques[detection rules for techique],MATCH(M22,techniques[name],0)),""),"")</f>
        <v/>
      </c>
      <c r="O22" s="47" t="inlineStr">
        <is>
          <t>Reversible Encryption (T1556.005)</t>
        </is>
      </c>
      <c r="P22" s="54">
        <f t="array" ref="P22">IF(O22&lt;&gt;"",IF(INDEX(techniques[detection rules for techique],MATCH(O22,techniques[name],0))&gt;=1,INDEX(techniques[detection rules for techique],MATCH(O22,techniques[name],0)),""),"")</f>
        <v/>
      </c>
      <c r="Q22" s="47" t="inlineStr">
        <is>
          <t>Multi-Factor Authentication Interception (T1111)</t>
        </is>
      </c>
      <c r="R22" s="54">
        <f t="array" ref="R22">IF(Q22&lt;&gt;"",IF(INDEX(techniques[detection rules for techique],MATCH(Q22,techniques[name],0))&gt;=1,INDEX(techniques[detection rules for techique],MATCH(Q22,techniques[name],0)),""),"")</f>
        <v/>
      </c>
      <c r="S22" s="47" t="inlineStr">
        <is>
          <t>Domain Account (T1087.002)</t>
        </is>
      </c>
      <c r="T22" s="54">
        <f t="array" ref="T22">IF(S22&lt;&gt;"",IF(INDEX(techniques[detection rules for techique],MATCH(S22,techniques[name],0))&gt;=1,INDEX(techniques[detection rules for techique],MATCH(S22,techniques[name],0)),""),"")</f>
        <v/>
      </c>
      <c r="U22" s="47" t="inlineStr">
        <is>
          <t>SSH Hijacking (T1563.001)</t>
        </is>
      </c>
      <c r="V22" s="54">
        <f t="array" ref="V22">IF(U22&lt;&gt;"",IF(INDEX(techniques[detection rules for techique],MATCH(U22,techniques[name],0))&gt;=1,INDEX(techniques[detection rules for techique],MATCH(U22,techniques[name],0)),""),"")</f>
        <v/>
      </c>
      <c r="W22" s="47" t="inlineStr">
        <is>
          <t>Browser Session Hijacking (T1185)</t>
        </is>
      </c>
      <c r="X22" s="54">
        <f t="array" ref="X22">IF(W22&lt;&gt;"",IF(INDEX(techniques[detection rules for techique],MATCH(W22,techniques[name],0))&gt;=1,INDEX(techniques[detection rules for techique],MATCH(W22,techniques[name],0)),""),"")</f>
        <v/>
      </c>
      <c r="Y22" s="47" t="inlineStr">
        <is>
          <t>Bidirectional Communication (T1102.002)</t>
        </is>
      </c>
      <c r="Z22" s="54">
        <f t="array" ref="Z22">IF(Y22&lt;&gt;"",IF(INDEX(techniques[detection rules for techique],MATCH(Y22,techniques[name],0))&gt;=1,INDEX(techniques[detection rules for techique],MATCH(Y22,techniques[name],0)),""),"")</f>
        <v/>
      </c>
      <c r="AA22" s="47" t="n"/>
      <c r="AB22" s="54">
        <f t="array" ref="AB22">IF(AA22&lt;&gt;"",IF(INDEX(techniques[detection rules for techique],MATCH(AA22,techniques[name],0))&gt;=1,INDEX(techniques[detection rules for techique],MATCH(AA22,techniques[name],0)),""),"")</f>
        <v/>
      </c>
      <c r="AC22" s="47" t="inlineStr">
        <is>
          <t>Application Exhaustion Flood (T1499.003)</t>
        </is>
      </c>
      <c r="AD22" s="54">
        <f t="array" ref="AD22">IF(AC22&lt;&gt;"",IF(INDEX(techniques[detection rules for techique],MATCH(AC22,techniques[name],0))&gt;=1,INDEX(techniques[detection rules for techique],MATCH(AC22,techniques[name],0)),""),"")</f>
        <v/>
      </c>
    </row>
    <row r="23" ht="33.75" customHeight="1">
      <c r="A23" s="47" t="inlineStr">
        <is>
          <t>Search Open Websites/Domains (T1593)</t>
        </is>
      </c>
      <c r="B23" s="54">
        <f t="array" ref="B23">IF(A23&lt;&gt;"",IF(INDEX(techniques[detection rules for techique],MATCH(A23,techniques[name],0))&gt;=1,INDEX(techniques[detection rules for techique],MATCH(A23,techniques[name],0)),""),"")</f>
        <v/>
      </c>
      <c r="C23" s="47" t="inlineStr">
        <is>
          <t>Cloud Accounts (T1585.003)</t>
        </is>
      </c>
      <c r="D23" s="54">
        <f t="array" ref="D23">IF(C23&lt;&gt;"",IF(INDEX(techniques[detection rules for techique],MATCH(C23,techniques[name],0))&gt;=1,INDEX(techniques[detection rules for techique],MATCH(C23,techniques[name],0)),""),"")</f>
        <v/>
      </c>
      <c r="E23" s="47" t="inlineStr">
        <is>
          <t>Wi-Fi Networks (T1669)</t>
        </is>
      </c>
      <c r="F23" s="54">
        <f t="array" ref="F23">IF(E23&lt;&gt;"",IF(INDEX(techniques[detection rules for techique],MATCH(E23,techniques[name],0))&gt;=1,INDEX(techniques[detection rules for techique],MATCH(E23,techniques[name],0)),""),"")</f>
        <v/>
      </c>
      <c r="G23" s="47" t="inlineStr">
        <is>
          <t>Software Deployment Tools (T1072)</t>
        </is>
      </c>
      <c r="H23" s="54">
        <f t="array" ref="H23">IF(G23&lt;&gt;"",IF(INDEX(techniques[detection rules for techique],MATCH(G23,techniques[name],0))&gt;=1,INDEX(techniques[detection rules for techique],MATCH(G23,techniques[name],0)),""),"")</f>
        <v/>
      </c>
      <c r="I23" s="47" t="inlineStr">
        <is>
          <t>SSH Authorized Keys (T1098.004)</t>
        </is>
      </c>
      <c r="J23" s="54">
        <f t="array" ref="J23">IF(I23&lt;&gt;"",IF(INDEX(techniques[detection rules for techique],MATCH(I23,techniques[name],0))&gt;=1,INDEX(techniques[detection rules for techique],MATCH(I23,techniques[name],0)),""),"")</f>
        <v/>
      </c>
      <c r="K23" s="47" t="inlineStr">
        <is>
          <t>Process Hollowing (T1055.012)</t>
        </is>
      </c>
      <c r="L23" s="54">
        <f t="array" ref="L23">IF(K23&lt;&gt;"",IF(INDEX(techniques[detection rules for techique],MATCH(K23,techniques[name],0))&gt;=1,INDEX(techniques[detection rules for techique],MATCH(K23,techniques[name],0)),""),"")</f>
        <v/>
      </c>
      <c r="M23" s="47" t="inlineStr">
        <is>
          <t>Masquerading (T1036)</t>
        </is>
      </c>
      <c r="N23" s="54">
        <f t="array" ref="N23">IF(M23&lt;&gt;"",IF(INDEX(techniques[detection rules for techique],MATCH(M23,techniques[name],0))&gt;=1,INDEX(techniques[detection rules for techique],MATCH(M23,techniques[name],0)),""),"")</f>
        <v/>
      </c>
      <c r="O23" s="47" t="inlineStr">
        <is>
          <t>Multi-Factor Authentication (T1556.006)</t>
        </is>
      </c>
      <c r="P23" s="54">
        <f t="array" ref="P23">IF(O23&lt;&gt;"",IF(INDEX(techniques[detection rules for techique],MATCH(O23,techniques[name],0))&gt;=1,INDEX(techniques[detection rules for techique],MATCH(O23,techniques[name],0)),""),"")</f>
        <v/>
      </c>
      <c r="Q23" s="47" t="inlineStr">
        <is>
          <t>Forced Authentication (T1187)</t>
        </is>
      </c>
      <c r="R23" s="54">
        <f t="array" ref="R23">IF(Q23&lt;&gt;"",IF(INDEX(techniques[detection rules for techique],MATCH(Q23,techniques[name],0))&gt;=1,INDEX(techniques[detection rules for techique],MATCH(Q23,techniques[name],0)),""),"")</f>
        <v/>
      </c>
      <c r="S23" s="47" t="inlineStr">
        <is>
          <t>Email Account (T1087.003)</t>
        </is>
      </c>
      <c r="T23" s="54">
        <f t="array" ref="T23">IF(S23&lt;&gt;"",IF(INDEX(techniques[detection rules for techique],MATCH(S23,techniques[name],0))&gt;=1,INDEX(techniques[detection rules for techique],MATCH(S23,techniques[name],0)),""),"")</f>
        <v/>
      </c>
      <c r="U23" s="47" t="inlineStr">
        <is>
          <t>RDP Hijacking (T1563.002)</t>
        </is>
      </c>
      <c r="V23" s="54">
        <f t="array" ref="V23">IF(U23&lt;&gt;"",IF(INDEX(techniques[detection rules for techique],MATCH(U23,techniques[name],0))&gt;=1,INDEX(techniques[detection rules for techique],MATCH(U23,techniques[name],0)),""),"")</f>
        <v/>
      </c>
      <c r="W23" s="47" t="inlineStr">
        <is>
          <t>Data from Information Repositories (T1213)</t>
        </is>
      </c>
      <c r="X23" s="54">
        <f t="array" ref="X23">IF(W23&lt;&gt;"",IF(INDEX(techniques[detection rules for techique],MATCH(W23,techniques[name],0))&gt;=1,INDEX(techniques[detection rules for techique],MATCH(W23,techniques[name],0)),""),"")</f>
        <v/>
      </c>
      <c r="Y23" s="47" t="inlineStr">
        <is>
          <t>One-Way Communication (T1102.003)</t>
        </is>
      </c>
      <c r="Z23" s="54">
        <f t="array" ref="Z23">IF(Y23&lt;&gt;"",IF(INDEX(techniques[detection rules for techique],MATCH(Y23,techniques[name],0))&gt;=1,INDEX(techniques[detection rules for techique],MATCH(Y23,techniques[name],0)),""),"")</f>
        <v/>
      </c>
      <c r="AA23" s="47" t="n"/>
      <c r="AB23" s="54">
        <f t="array" ref="AB23">IF(AA23&lt;&gt;"",IF(INDEX(techniques[detection rules for techique],MATCH(AA23,techniques[name],0))&gt;=1,INDEX(techniques[detection rules for techique],MATCH(AA23,techniques[name],0)),""),"")</f>
        <v/>
      </c>
      <c r="AC23" s="47" t="inlineStr">
        <is>
          <t>Application or System Exploitation (T1499.004)</t>
        </is>
      </c>
      <c r="AD23" s="54">
        <f t="array" ref="AD23">IF(AC23&lt;&gt;"",IF(INDEX(techniques[detection rules for techique],MATCH(AC23,techniques[name],0))&gt;=1,INDEX(techniques[detection rules for techique],MATCH(AC23,techniques[name],0)),""),"")</f>
        <v/>
      </c>
    </row>
    <row r="24" ht="22.5" customHeight="1">
      <c r="A24" s="47" t="inlineStr">
        <is>
          <t>Social Media (T1593.001)</t>
        </is>
      </c>
      <c r="B24" s="54">
        <f t="array" ref="B24">IF(A24&lt;&gt;"",IF(INDEX(techniques[detection rules for techique],MATCH(A24,techniques[name],0))&gt;=1,INDEX(techniques[detection rules for techique],MATCH(A24,techniques[name],0)),""),"")</f>
        <v/>
      </c>
      <c r="C24" s="47" t="inlineStr">
        <is>
          <t>Compromise Accounts (T1586)</t>
        </is>
      </c>
      <c r="D24" s="54">
        <f t="array" ref="D24">IF(C24&lt;&gt;"",IF(INDEX(techniques[detection rules for techique],MATCH(C24,techniques[name],0))&gt;=1,INDEX(techniques[detection rules for techique],MATCH(C24,techniques[name],0)),""),"")</f>
        <v/>
      </c>
      <c r="E24" s="47" t="n"/>
      <c r="F24" s="54">
        <f t="array" ref="F24">IF(E24&lt;&gt;"",IF(INDEX(techniques[detection rules for techique],MATCH(E24,techniques[name],0))&gt;=1,INDEX(techniques[detection rules for techique],MATCH(E24,techniques[name],0)),""),"")</f>
        <v/>
      </c>
      <c r="G24" s="47" t="inlineStr">
        <is>
          <t>Native API (T1106)</t>
        </is>
      </c>
      <c r="H24" s="54">
        <f t="array" ref="H24">IF(G24&lt;&gt;"",IF(INDEX(techniques[detection rules for techique],MATCH(G24,techniques[name],0))&gt;=1,INDEX(techniques[detection rules for techique],MATCH(G24,techniques[name],0)),""),"")</f>
        <v/>
      </c>
      <c r="I24" s="47" t="inlineStr">
        <is>
          <t>Device Registration (T1098.005)</t>
        </is>
      </c>
      <c r="J24" s="54">
        <f t="array" ref="J24">IF(I24&lt;&gt;"",IF(INDEX(techniques[detection rules for techique],MATCH(I24,techniques[name],0))&gt;=1,INDEX(techniques[detection rules for techique],MATCH(I24,techniques[name],0)),""),"")</f>
        <v/>
      </c>
      <c r="K24" s="47" t="inlineStr">
        <is>
          <t>Process Doppelgänging (T1055.013)</t>
        </is>
      </c>
      <c r="L24" s="54">
        <f t="array" ref="L24">IF(K24&lt;&gt;"",IF(INDEX(techniques[detection rules for techique],MATCH(K24,techniques[name],0))&gt;=1,INDEX(techniques[detection rules for techique],MATCH(K24,techniques[name],0)),""),"")</f>
        <v/>
      </c>
      <c r="M24" s="47" t="inlineStr">
        <is>
          <t>Invalid Code Signature (T1036.001)</t>
        </is>
      </c>
      <c r="N24" s="54">
        <f t="array" ref="N24">IF(M24&lt;&gt;"",IF(INDEX(techniques[detection rules for techique],MATCH(M24,techniques[name],0))&gt;=1,INDEX(techniques[detection rules for techique],MATCH(M24,techniques[name],0)),""),"")</f>
        <v/>
      </c>
      <c r="O24" s="47" t="inlineStr">
        <is>
          <t>Hybrid Identity (T1556.007)</t>
        </is>
      </c>
      <c r="P24" s="54">
        <f t="array" ref="P24">IF(O24&lt;&gt;"",IF(INDEX(techniques[detection rules for techique],MATCH(O24,techniques[name],0))&gt;=1,INDEX(techniques[detection rules for techique],MATCH(O24,techniques[name],0)),""),"")</f>
        <v/>
      </c>
      <c r="Q24" s="47" t="inlineStr">
        <is>
          <t>Exploitation for Credential Access (T1212)</t>
        </is>
      </c>
      <c r="R24" s="54">
        <f t="array" ref="R24">IF(Q24&lt;&gt;"",IF(INDEX(techniques[detection rules for techique],MATCH(Q24,techniques[name],0))&gt;=1,INDEX(techniques[detection rules for techique],MATCH(Q24,techniques[name],0)),""),"")</f>
        <v/>
      </c>
      <c r="S24" s="47" t="inlineStr">
        <is>
          <t>Cloud Account (T1087.004)</t>
        </is>
      </c>
      <c r="T24" s="54">
        <f t="array" ref="T24">IF(S24&lt;&gt;"",IF(INDEX(techniques[detection rules for techique],MATCH(S24,techniques[name],0))&gt;=1,INDEX(techniques[detection rules for techique],MATCH(S24,techniques[name],0)),""),"")</f>
        <v/>
      </c>
      <c r="U24" s="47" t="inlineStr">
        <is>
          <t>Lateral Tool Transfer (T1570)</t>
        </is>
      </c>
      <c r="V24" s="54">
        <f t="array" ref="V24">IF(U24&lt;&gt;"",IF(INDEX(techniques[detection rules for techique],MATCH(U24,techniques[name],0))&gt;=1,INDEX(techniques[detection rules for techique],MATCH(U24,techniques[name],0)),""),"")</f>
        <v/>
      </c>
      <c r="W24" s="47" t="inlineStr">
        <is>
          <t>Confluence (T1213.001)</t>
        </is>
      </c>
      <c r="X24" s="54">
        <f t="array" ref="X24">IF(W24&lt;&gt;"",IF(INDEX(techniques[detection rules for techique],MATCH(W24,techniques[name],0))&gt;=1,INDEX(techniques[detection rules for techique],MATCH(W24,techniques[name],0)),""),"")</f>
        <v/>
      </c>
      <c r="Y24" s="47" t="inlineStr">
        <is>
          <t>Multi-Stage Channels (T1104)</t>
        </is>
      </c>
      <c r="Z24" s="54">
        <f t="array" ref="Z24">IF(Y24&lt;&gt;"",IF(INDEX(techniques[detection rules for techique],MATCH(Y24,techniques[name],0))&gt;=1,INDEX(techniques[detection rules for techique],MATCH(Y24,techniques[name],0)),""),"")</f>
        <v/>
      </c>
      <c r="AA24" s="47" t="n"/>
      <c r="AB24" s="54">
        <f t="array" ref="AB24">IF(AA24&lt;&gt;"",IF(INDEX(techniques[detection rules for techique],MATCH(AA24,techniques[name],0))&gt;=1,INDEX(techniques[detection rules for techique],MATCH(AA24,techniques[name],0)),""),"")</f>
        <v/>
      </c>
      <c r="AC24" s="47" t="inlineStr">
        <is>
          <t>System Shutdown/Reboot (T1529)</t>
        </is>
      </c>
      <c r="AD24" s="54">
        <f t="array" ref="AD24">IF(AC24&lt;&gt;"",IF(INDEX(techniques[detection rules for techique],MATCH(AC24,techniques[name],0))&gt;=1,INDEX(techniques[detection rules for techique],MATCH(AC24,techniques[name],0)),""),"")</f>
        <v/>
      </c>
    </row>
    <row r="25" ht="22.5" customHeight="1">
      <c r="A25" s="47" t="inlineStr">
        <is>
          <t>Search Engines (T1593.002)</t>
        </is>
      </c>
      <c r="B25" s="54">
        <f t="array" ref="B25">IF(A25&lt;&gt;"",IF(INDEX(techniques[detection rules for techique],MATCH(A25,techniques[name],0))&gt;=1,INDEX(techniques[detection rules for techique],MATCH(A25,techniques[name],0)),""),"")</f>
        <v/>
      </c>
      <c r="C25" s="47" t="inlineStr">
        <is>
          <t>Social Media Accounts (T1586.001)</t>
        </is>
      </c>
      <c r="D25" s="54">
        <f t="array" ref="D25">IF(C25&lt;&gt;"",IF(INDEX(techniques[detection rules for techique],MATCH(C25,techniques[name],0))&gt;=1,INDEX(techniques[detection rules for techique],MATCH(C25,techniques[name],0)),""),"")</f>
        <v/>
      </c>
      <c r="E25" s="47" t="n"/>
      <c r="F25" s="54">
        <f t="array" ref="F25">IF(E25&lt;&gt;"",IF(INDEX(techniques[detection rules for techique],MATCH(E25,techniques[name],0))&gt;=1,INDEX(techniques[detection rules for techique],MATCH(E25,techniques[name],0)),""),"")</f>
        <v/>
      </c>
      <c r="G25" s="47" t="inlineStr">
        <is>
          <t>Trusted Developer Utilities Proxy Execution (T1127)</t>
        </is>
      </c>
      <c r="H25" s="54">
        <f t="array" ref="H25">IF(G25&lt;&gt;"",IF(INDEX(techniques[detection rules for techique],MATCH(G25,techniques[name],0))&gt;=1,INDEX(techniques[detection rules for techique],MATCH(G25,techniques[name],0)),""),"")</f>
        <v/>
      </c>
      <c r="I25" s="47" t="inlineStr">
        <is>
          <t>Additional Container Cluster Roles (T1098.006)</t>
        </is>
      </c>
      <c r="J25" s="54">
        <f t="array" ref="J25">IF(I25&lt;&gt;"",IF(INDEX(techniques[detection rules for techique],MATCH(I25,techniques[name],0))&gt;=1,INDEX(techniques[detection rules for techique],MATCH(I25,techniques[name],0)),""),"")</f>
        <v/>
      </c>
      <c r="K25" s="47" t="inlineStr">
        <is>
          <t>VDSO Hijacking (T1055.014)</t>
        </is>
      </c>
      <c r="L25" s="54">
        <f t="array" ref="L25">IF(K25&lt;&gt;"",IF(INDEX(techniques[detection rules for techique],MATCH(K25,techniques[name],0))&gt;=1,INDEX(techniques[detection rules for techique],MATCH(K25,techniques[name],0)),""),"")</f>
        <v/>
      </c>
      <c r="M25" s="47" t="inlineStr">
        <is>
          <t>Right-to-Left Override (T1036.002)</t>
        </is>
      </c>
      <c r="N25" s="54">
        <f t="array" ref="N25">IF(M25&lt;&gt;"",IF(INDEX(techniques[detection rules for techique],MATCH(M25,techniques[name],0))&gt;=1,INDEX(techniques[detection rules for techique],MATCH(M25,techniques[name],0)),""),"")</f>
        <v/>
      </c>
      <c r="O25" s="47" t="inlineStr">
        <is>
          <t>Network Provider DLL (T1556.008)</t>
        </is>
      </c>
      <c r="P25" s="54">
        <f t="array" ref="P25">IF(O25&lt;&gt;"",IF(INDEX(techniques[detection rules for techique],MATCH(O25,techniques[name],0))&gt;=1,INDEX(techniques[detection rules for techique],MATCH(O25,techniques[name],0)),""),"")</f>
        <v/>
      </c>
      <c r="Q25" s="47" t="inlineStr">
        <is>
          <t>Steal Application Access Token (T1528)</t>
        </is>
      </c>
      <c r="R25" s="54">
        <f t="array" ref="R25">IF(Q25&lt;&gt;"",IF(INDEX(techniques[detection rules for techique],MATCH(Q25,techniques[name],0))&gt;=1,INDEX(techniques[detection rules for techique],MATCH(Q25,techniques[name],0)),""),"")</f>
        <v/>
      </c>
      <c r="S25" s="47" t="inlineStr">
        <is>
          <t>Peripheral Device Discovery (T1120)</t>
        </is>
      </c>
      <c r="T25" s="54">
        <f t="array" ref="T25">IF(S25&lt;&gt;"",IF(INDEX(techniques[detection rules for techique],MATCH(S25,techniques[name],0))&gt;=1,INDEX(techniques[detection rules for techique],MATCH(S25,techniques[name],0)),""),"")</f>
        <v/>
      </c>
      <c r="U25" s="47" t="n"/>
      <c r="V25" s="54">
        <f t="array" ref="V25">IF(U25&lt;&gt;"",IF(INDEX(techniques[detection rules for techique],MATCH(U25,techniques[name],0))&gt;=1,INDEX(techniques[detection rules for techique],MATCH(U25,techniques[name],0)),""),"")</f>
        <v/>
      </c>
      <c r="W25" s="47" t="inlineStr">
        <is>
          <t>Sharepoint (T1213.002)</t>
        </is>
      </c>
      <c r="X25" s="54">
        <f t="array" ref="X25">IF(W25&lt;&gt;"",IF(INDEX(techniques[detection rules for techique],MATCH(W25,techniques[name],0))&gt;=1,INDEX(techniques[detection rules for techique],MATCH(W25,techniques[name],0)),""),"")</f>
        <v/>
      </c>
      <c r="Y25" s="47" t="inlineStr">
        <is>
          <t>Ingress Tool Transfer (T1105)</t>
        </is>
      </c>
      <c r="Z25" s="54">
        <f t="array" ref="Z25">IF(Y25&lt;&gt;"",IF(INDEX(techniques[detection rules for techique],MATCH(Y25,techniques[name],0))&gt;=1,INDEX(techniques[detection rules for techique],MATCH(Y25,techniques[name],0)),""),"")</f>
        <v/>
      </c>
      <c r="AA25" s="47" t="n"/>
      <c r="AB25" s="54">
        <f t="array" ref="AB25">IF(AA25&lt;&gt;"",IF(INDEX(techniques[detection rules for techique],MATCH(AA25,techniques[name],0))&gt;=1,INDEX(techniques[detection rules for techique],MATCH(AA25,techniques[name],0)),""),"")</f>
        <v/>
      </c>
      <c r="AC25" s="47" t="inlineStr">
        <is>
          <t>Account Access Removal (T1531)</t>
        </is>
      </c>
      <c r="AD25" s="54">
        <f t="array" ref="AD25">IF(AC25&lt;&gt;"",IF(INDEX(techniques[detection rules for techique],MATCH(AC25,techniques[name],0))&gt;=1,INDEX(techniques[detection rules for techique],MATCH(AC25,techniques[name],0)),""),"")</f>
        <v/>
      </c>
    </row>
    <row r="26" ht="22.5" customHeight="1">
      <c r="A26" s="47" t="inlineStr">
        <is>
          <t>Code Repositories (T1593.003)</t>
        </is>
      </c>
      <c r="B26" s="54">
        <f t="array" ref="B26">IF(A26&lt;&gt;"",IF(INDEX(techniques[detection rules for techique],MATCH(A26,techniques[name],0))&gt;=1,INDEX(techniques[detection rules for techique],MATCH(A26,techniques[name],0)),""),"")</f>
        <v/>
      </c>
      <c r="C26" s="47" t="inlineStr">
        <is>
          <t>Email Accounts (T1586.002)</t>
        </is>
      </c>
      <c r="D26" s="54">
        <f t="array" ref="D26">IF(C26&lt;&gt;"",IF(INDEX(techniques[detection rules for techique],MATCH(C26,techniques[name],0))&gt;=1,INDEX(techniques[detection rules for techique],MATCH(C26,techniques[name],0)),""),"")</f>
        <v/>
      </c>
      <c r="E26" s="47" t="n"/>
      <c r="F26" s="54">
        <f t="array" ref="F26">IF(E26&lt;&gt;"",IF(INDEX(techniques[detection rules for techique],MATCH(E26,techniques[name],0))&gt;=1,INDEX(techniques[detection rules for techique],MATCH(E26,techniques[name],0)),""),"")</f>
        <v/>
      </c>
      <c r="G26" s="47" t="inlineStr">
        <is>
          <t>MSBuild (T1127.001)</t>
        </is>
      </c>
      <c r="H26" s="54">
        <f t="array" ref="H26">IF(G26&lt;&gt;"",IF(INDEX(techniques[detection rules for techique],MATCH(G26,techniques[name],0))&gt;=1,INDEX(techniques[detection rules for techique],MATCH(G26,techniques[name],0)),""),"")</f>
        <v/>
      </c>
      <c r="I26" s="47" t="inlineStr">
        <is>
          <t>Additional Local or Domain Groups (T1098.007)</t>
        </is>
      </c>
      <c r="J26" s="54">
        <f t="array" ref="J26">IF(I26&lt;&gt;"",IF(INDEX(techniques[detection rules for techique],MATCH(I26,techniques[name],0))&gt;=1,INDEX(techniques[detection rules for techique],MATCH(I26,techniques[name],0)),""),"")</f>
        <v/>
      </c>
      <c r="K26" s="47" t="inlineStr">
        <is>
          <t>ListPlanting (T1055.015)</t>
        </is>
      </c>
      <c r="L26" s="54">
        <f t="array" ref="L26">IF(K26&lt;&gt;"",IF(INDEX(techniques[detection rules for techique],MATCH(K26,techniques[name],0))&gt;=1,INDEX(techniques[detection rules for techique],MATCH(K26,techniques[name],0)),""),"")</f>
        <v/>
      </c>
      <c r="M26" s="47" t="inlineStr">
        <is>
          <t>Rename Legitimate Utilities (T1036.003)</t>
        </is>
      </c>
      <c r="N26" s="54">
        <f t="array" ref="N26">IF(M26&lt;&gt;"",IF(INDEX(techniques[detection rules for techique],MATCH(M26,techniques[name],0))&gt;=1,INDEX(techniques[detection rules for techique],MATCH(M26,techniques[name],0)),""),"")</f>
        <v/>
      </c>
      <c r="O26" s="47" t="inlineStr">
        <is>
          <t>Conditional Access Policies (T1556.009)</t>
        </is>
      </c>
      <c r="P26" s="54">
        <f t="array" ref="P26">IF(O26&lt;&gt;"",IF(INDEX(techniques[detection rules for techique],MATCH(O26,techniques[name],0))&gt;=1,INDEX(techniques[detection rules for techique],MATCH(O26,techniques[name],0)),""),"")</f>
        <v/>
      </c>
      <c r="Q26" s="47" t="inlineStr">
        <is>
          <t>Steal Web Session Cookie (T1539)</t>
        </is>
      </c>
      <c r="R26" s="54">
        <f t="array" ref="R26">IF(Q26&lt;&gt;"",IF(INDEX(techniques[detection rules for techique],MATCH(Q26,techniques[name],0))&gt;=1,INDEX(techniques[detection rules for techique],MATCH(Q26,techniques[name],0)),""),"")</f>
        <v/>
      </c>
      <c r="S26" s="47" t="inlineStr">
        <is>
          <t>System Time Discovery (T1124)</t>
        </is>
      </c>
      <c r="T26" s="54">
        <f t="array" ref="T26">IF(S26&lt;&gt;"",IF(INDEX(techniques[detection rules for techique],MATCH(S26,techniques[name],0))&gt;=1,INDEX(techniques[detection rules for techique],MATCH(S26,techniques[name],0)),""),"")</f>
        <v/>
      </c>
      <c r="U26" s="47" t="n"/>
      <c r="V26" s="54">
        <f t="array" ref="V26">IF(U26&lt;&gt;"",IF(INDEX(techniques[detection rules for techique],MATCH(U26,techniques[name],0))&gt;=1,INDEX(techniques[detection rules for techique],MATCH(U26,techniques[name],0)),""),"")</f>
        <v/>
      </c>
      <c r="W26" s="47" t="inlineStr">
        <is>
          <t>Code Repositories (T1213.003)</t>
        </is>
      </c>
      <c r="X26" s="54">
        <f t="array" ref="X26">IF(W26&lt;&gt;"",IF(INDEX(techniques[detection rules for techique],MATCH(W26,techniques[name],0))&gt;=1,INDEX(techniques[detection rules for techique],MATCH(W26,techniques[name],0)),""),"")</f>
        <v/>
      </c>
      <c r="Y26" s="47" t="inlineStr">
        <is>
          <t>Data Encoding (T1132)</t>
        </is>
      </c>
      <c r="Z26" s="54">
        <f t="array" ref="Z26">IF(Y26&lt;&gt;"",IF(INDEX(techniques[detection rules for techique],MATCH(Y26,techniques[name],0))&gt;=1,INDEX(techniques[detection rules for techique],MATCH(Y26,techniques[name],0)),""),"")</f>
        <v/>
      </c>
      <c r="AA26" s="47" t="n"/>
      <c r="AB26" s="54">
        <f t="array" ref="AB26">IF(AA26&lt;&gt;"",IF(INDEX(techniques[detection rules for techique],MATCH(AA26,techniques[name],0))&gt;=1,INDEX(techniques[detection rules for techique],MATCH(AA26,techniques[name],0)),""),"")</f>
        <v/>
      </c>
      <c r="AC26" s="47" t="inlineStr">
        <is>
          <t>Disk Wipe (T1561)</t>
        </is>
      </c>
      <c r="AD26" s="54">
        <f t="array" ref="AD26">IF(AC26&lt;&gt;"",IF(INDEX(techniques[detection rules for techique],MATCH(AC26,techniques[name],0))&gt;=1,INDEX(techniques[detection rules for techique],MATCH(AC26,techniques[name],0)),""),"")</f>
        <v/>
      </c>
    </row>
    <row r="27" ht="22.5" customHeight="1">
      <c r="A27" s="47" t="inlineStr">
        <is>
          <t>Search Victim-Owned Websites (T1594)</t>
        </is>
      </c>
      <c r="B27" s="54">
        <f t="array" ref="B27">IF(A27&lt;&gt;"",IF(INDEX(techniques[detection rules for techique],MATCH(A27,techniques[name],0))&gt;=1,INDEX(techniques[detection rules for techique],MATCH(A27,techniques[name],0)),""),"")</f>
        <v/>
      </c>
      <c r="C27" s="47" t="inlineStr">
        <is>
          <t>Cloud Accounts (T1586.003)</t>
        </is>
      </c>
      <c r="D27" s="54">
        <f t="array" ref="D27">IF(C27&lt;&gt;"",IF(INDEX(techniques[detection rules for techique],MATCH(C27,techniques[name],0))&gt;=1,INDEX(techniques[detection rules for techique],MATCH(C27,techniques[name],0)),""),"")</f>
        <v/>
      </c>
      <c r="E27" s="47" t="n"/>
      <c r="F27" s="54">
        <f t="array" ref="F27">IF(E27&lt;&gt;"",IF(INDEX(techniques[detection rules for techique],MATCH(E27,techniques[name],0))&gt;=1,INDEX(techniques[detection rules for techique],MATCH(E27,techniques[name],0)),""),"")</f>
        <v/>
      </c>
      <c r="G27" s="47" t="inlineStr">
        <is>
          <t>ClickOnce (T1127.002)</t>
        </is>
      </c>
      <c r="H27" s="54">
        <f t="array" ref="H27">IF(G27&lt;&gt;"",IF(INDEX(techniques[detection rules for techique],MATCH(G27,techniques[name],0))&gt;=1,INDEX(techniques[detection rules for techique],MATCH(G27,techniques[name],0)),""),"")</f>
        <v/>
      </c>
      <c r="I27" s="47" t="inlineStr">
        <is>
          <t>Modify Registry (T1112)</t>
        </is>
      </c>
      <c r="J27" s="54">
        <f t="array" ref="J27">IF(I27&lt;&gt;"",IF(INDEX(techniques[detection rules for techique],MATCH(I27,techniques[name],0))&gt;=1,INDEX(techniques[detection rules for techique],MATCH(I27,techniques[name],0)),""),"")</f>
        <v/>
      </c>
      <c r="K27" s="47" t="inlineStr">
        <is>
          <t>Exploitation for Privilege Escalation (T1068)</t>
        </is>
      </c>
      <c r="L27" s="54">
        <f t="array" ref="L27">IF(K27&lt;&gt;"",IF(INDEX(techniques[detection rules for techique],MATCH(K27,techniques[name],0))&gt;=1,INDEX(techniques[detection rules for techique],MATCH(K27,techniques[name],0)),""),"")</f>
        <v/>
      </c>
      <c r="M27" s="47" t="inlineStr">
        <is>
          <t>Masquerade Task or Service (T1036.004)</t>
        </is>
      </c>
      <c r="N27" s="54">
        <f t="array" ref="N27">IF(M27&lt;&gt;"",IF(INDEX(techniques[detection rules for techique],MATCH(M27,techniques[name],0))&gt;=1,INDEX(techniques[detection rules for techique],MATCH(M27,techniques[name],0)),""),"")</f>
        <v/>
      </c>
      <c r="O27" s="47" t="inlineStr">
        <is>
          <t>Modify Cloud Compute Infrastructure (T1578)</t>
        </is>
      </c>
      <c r="P27" s="54">
        <f t="array" ref="P27">IF(O27&lt;&gt;"",IF(INDEX(techniques[detection rules for techique],MATCH(O27,techniques[name],0))&gt;=1,INDEX(techniques[detection rules for techique],MATCH(O27,techniques[name],0)),""),"")</f>
        <v/>
      </c>
      <c r="Q27" s="47" t="inlineStr">
        <is>
          <t>Unsecured Credentials (T1552)</t>
        </is>
      </c>
      <c r="R27" s="54">
        <f t="array" ref="R27">IF(Q27&lt;&gt;"",IF(INDEX(techniques[detection rules for techique],MATCH(Q27,techniques[name],0))&gt;=1,INDEX(techniques[detection rules for techique],MATCH(Q27,techniques[name],0)),""),"")</f>
        <v/>
      </c>
      <c r="S27" s="47" t="inlineStr">
        <is>
          <t>Network Share Discovery (T1135)</t>
        </is>
      </c>
      <c r="T27" s="54">
        <f t="array" ref="T27">IF(S27&lt;&gt;"",IF(INDEX(techniques[detection rules for techique],MATCH(S27,techniques[name],0))&gt;=1,INDEX(techniques[detection rules for techique],MATCH(S27,techniques[name],0)),""),"")</f>
        <v/>
      </c>
      <c r="U27" s="47" t="n"/>
      <c r="V27" s="54">
        <f t="array" ref="V27">IF(U27&lt;&gt;"",IF(INDEX(techniques[detection rules for techique],MATCH(U27,techniques[name],0))&gt;=1,INDEX(techniques[detection rules for techique],MATCH(U27,techniques[name],0)),""),"")</f>
        <v/>
      </c>
      <c r="W27" s="47" t="inlineStr">
        <is>
          <t>Customer Relationship Management Software (T1213.004)</t>
        </is>
      </c>
      <c r="X27" s="54">
        <f t="array" ref="X27">IF(W27&lt;&gt;"",IF(INDEX(techniques[detection rules for techique],MATCH(W27,techniques[name],0))&gt;=1,INDEX(techniques[detection rules for techique],MATCH(W27,techniques[name],0)),""),"")</f>
        <v/>
      </c>
      <c r="Y27" s="47" t="inlineStr">
        <is>
          <t>Standard Encoding (T1132.001)</t>
        </is>
      </c>
      <c r="Z27" s="54">
        <f t="array" ref="Z27">IF(Y27&lt;&gt;"",IF(INDEX(techniques[detection rules for techique],MATCH(Y27,techniques[name],0))&gt;=1,INDEX(techniques[detection rules for techique],MATCH(Y27,techniques[name],0)),""),"")</f>
        <v/>
      </c>
      <c r="AA27" s="47" t="n"/>
      <c r="AB27" s="54">
        <f t="array" ref="AB27">IF(AA27&lt;&gt;"",IF(INDEX(techniques[detection rules for techique],MATCH(AA27,techniques[name],0))&gt;=1,INDEX(techniques[detection rules for techique],MATCH(AA27,techniques[name],0)),""),"")</f>
        <v/>
      </c>
      <c r="AC27" s="47" t="inlineStr">
        <is>
          <t>Disk Content Wipe (T1561.001)</t>
        </is>
      </c>
      <c r="AD27" s="54">
        <f t="array" ref="AD27">IF(AC27&lt;&gt;"",IF(INDEX(techniques[detection rules for techique],MATCH(AC27,techniques[name],0))&gt;=1,INDEX(techniques[detection rules for techique],MATCH(AC27,techniques[name],0)),""),"")</f>
        <v/>
      </c>
    </row>
    <row r="28" ht="22.5" customHeight="1">
      <c r="A28" s="47" t="inlineStr">
        <is>
          <t>Active Scanning (T1595)</t>
        </is>
      </c>
      <c r="B28" s="54">
        <f t="array" ref="B28">IF(A28&lt;&gt;"",IF(INDEX(techniques[detection rules for techique],MATCH(A28,techniques[name],0))&gt;=1,INDEX(techniques[detection rules for techique],MATCH(A28,techniques[name],0)),""),"")</f>
        <v/>
      </c>
      <c r="C28" s="47" t="inlineStr">
        <is>
          <t>Develop Capabilities (T1587)</t>
        </is>
      </c>
      <c r="D28" s="54">
        <f t="array" ref="D28">IF(C28&lt;&gt;"",IF(INDEX(techniques[detection rules for techique],MATCH(C28,techniques[name],0))&gt;=1,INDEX(techniques[detection rules for techique],MATCH(C28,techniques[name],0)),""),"")</f>
        <v/>
      </c>
      <c r="E28" s="47" t="n"/>
      <c r="F28" s="54">
        <f t="array" ref="F28">IF(E28&lt;&gt;"",IF(INDEX(techniques[detection rules for techique],MATCH(E28,techniques[name],0))&gt;=1,INDEX(techniques[detection rules for techique],MATCH(E28,techniques[name],0)),""),"")</f>
        <v/>
      </c>
      <c r="G28" s="47" t="inlineStr">
        <is>
          <t>JamPlus (T1127.003)</t>
        </is>
      </c>
      <c r="H28" s="54">
        <f t="array" ref="H28">IF(G28&lt;&gt;"",IF(INDEX(techniques[detection rules for techique],MATCH(G28,techniques[name],0))&gt;=1,INDEX(techniques[detection rules for techique],MATCH(G28,techniques[name],0)),""),"")</f>
        <v/>
      </c>
      <c r="I28" s="47" t="inlineStr">
        <is>
          <t>External Remote Services (T1133)</t>
        </is>
      </c>
      <c r="J28" s="54">
        <f t="array" ref="J28">IF(I28&lt;&gt;"",IF(INDEX(techniques[detection rules for techique],MATCH(I28,techniques[name],0))&gt;=1,INDEX(techniques[detection rules for techique],MATCH(I28,techniques[name],0)),""),"")</f>
        <v/>
      </c>
      <c r="K28" s="47" t="inlineStr">
        <is>
          <t>Valid Accounts (T1078)</t>
        </is>
      </c>
      <c r="L28" s="54">
        <f t="array" ref="L28">IF(K28&lt;&gt;"",IF(INDEX(techniques[detection rules for techique],MATCH(K28,techniques[name],0))&gt;=1,INDEX(techniques[detection rules for techique],MATCH(K28,techniques[name],0)),""),"")</f>
        <v/>
      </c>
      <c r="M28" s="47" t="inlineStr">
        <is>
          <t>Match Legitimate Resource Name or Location (T1036.005)</t>
        </is>
      </c>
      <c r="N28" s="54">
        <f t="array" ref="N28">IF(M28&lt;&gt;"",IF(INDEX(techniques[detection rules for techique],MATCH(M28,techniques[name],0))&gt;=1,INDEX(techniques[detection rules for techique],MATCH(M28,techniques[name],0)),""),"")</f>
        <v/>
      </c>
      <c r="O28" s="47" t="inlineStr">
        <is>
          <t>Create Snapshot (T1578.001)</t>
        </is>
      </c>
      <c r="P28" s="54">
        <f t="array" ref="P28">IF(O28&lt;&gt;"",IF(INDEX(techniques[detection rules for techique],MATCH(O28,techniques[name],0))&gt;=1,INDEX(techniques[detection rules for techique],MATCH(O28,techniques[name],0)),""),"")</f>
        <v/>
      </c>
      <c r="Q28" s="47" t="inlineStr">
        <is>
          <t>Credentials In Files (T1552.001)</t>
        </is>
      </c>
      <c r="R28" s="54">
        <f t="array" ref="R28">IF(Q28&lt;&gt;"",IF(INDEX(techniques[detection rules for techique],MATCH(Q28,techniques[name],0))&gt;=1,INDEX(techniques[detection rules for techique],MATCH(Q28,techniques[name],0)),""),"")</f>
        <v/>
      </c>
      <c r="S28" s="47" t="inlineStr">
        <is>
          <t>Password Policy Discovery (T1201)</t>
        </is>
      </c>
      <c r="T28" s="54">
        <f t="array" ref="T28">IF(S28&lt;&gt;"",IF(INDEX(techniques[detection rules for techique],MATCH(S28,techniques[name],0))&gt;=1,INDEX(techniques[detection rules for techique],MATCH(S28,techniques[name],0)),""),"")</f>
        <v/>
      </c>
      <c r="U28" s="47" t="n"/>
      <c r="V28" s="54">
        <f t="array" ref="V28">IF(U28&lt;&gt;"",IF(INDEX(techniques[detection rules for techique],MATCH(U28,techniques[name],0))&gt;=1,INDEX(techniques[detection rules for techique],MATCH(U28,techniques[name],0)),""),"")</f>
        <v/>
      </c>
      <c r="W28" s="47" t="inlineStr">
        <is>
          <t>Messaging Applications (T1213.005)</t>
        </is>
      </c>
      <c r="X28" s="54">
        <f t="array" ref="X28">IF(W28&lt;&gt;"",IF(INDEX(techniques[detection rules for techique],MATCH(W28,techniques[name],0))&gt;=1,INDEX(techniques[detection rules for techique],MATCH(W28,techniques[name],0)),""),"")</f>
        <v/>
      </c>
      <c r="Y28" s="47" t="inlineStr">
        <is>
          <t>Non-Standard Encoding (T1132.002)</t>
        </is>
      </c>
      <c r="Z28" s="54">
        <f t="array" ref="Z28">IF(Y28&lt;&gt;"",IF(INDEX(techniques[detection rules for techique],MATCH(Y28,techniques[name],0))&gt;=1,INDEX(techniques[detection rules for techique],MATCH(Y28,techniques[name],0)),""),"")</f>
        <v/>
      </c>
      <c r="AA28" s="47" t="n"/>
      <c r="AB28" s="54">
        <f t="array" ref="AB28">IF(AA28&lt;&gt;"",IF(INDEX(techniques[detection rules for techique],MATCH(AA28,techniques[name],0))&gt;=1,INDEX(techniques[detection rules for techique],MATCH(AA28,techniques[name],0)),""),"")</f>
        <v/>
      </c>
      <c r="AC28" s="47" t="inlineStr">
        <is>
          <t>Disk Structure Wipe (T1561.002)</t>
        </is>
      </c>
      <c r="AD28" s="54">
        <f t="array" ref="AD28">IF(AC28&lt;&gt;"",IF(INDEX(techniques[detection rules for techique],MATCH(AC28,techniques[name],0))&gt;=1,INDEX(techniques[detection rules for techique],MATCH(AC28,techniques[name],0)),""),"")</f>
        <v/>
      </c>
    </row>
    <row r="29" ht="22.5" customHeight="1">
      <c r="A29" s="47" t="inlineStr">
        <is>
          <t>Scanning IP Blocks (T1595.001)</t>
        </is>
      </c>
      <c r="B29" s="54">
        <f t="array" ref="B29">IF(A29&lt;&gt;"",IF(INDEX(techniques[detection rules for techique],MATCH(A29,techniques[name],0))&gt;=1,INDEX(techniques[detection rules for techique],MATCH(A29,techniques[name],0)),""),"")</f>
        <v/>
      </c>
      <c r="C29" s="47" t="inlineStr">
        <is>
          <t>Malware (T1587.001)</t>
        </is>
      </c>
      <c r="D29" s="54">
        <f t="array" ref="D29">IF(C29&lt;&gt;"",IF(INDEX(techniques[detection rules for techique],MATCH(C29,techniques[name],0))&gt;=1,INDEX(techniques[detection rules for techique],MATCH(C29,techniques[name],0)),""),"")</f>
        <v/>
      </c>
      <c r="E29" s="47" t="n"/>
      <c r="F29" s="54">
        <f t="array" ref="F29">IF(E29&lt;&gt;"",IF(INDEX(techniques[detection rules for techique],MATCH(E29,techniques[name],0))&gt;=1,INDEX(techniques[detection rules for techique],MATCH(E29,techniques[name],0)),""),"")</f>
        <v/>
      </c>
      <c r="G29" s="47" t="inlineStr">
        <is>
          <t>Shared Modules (T1129)</t>
        </is>
      </c>
      <c r="H29" s="54">
        <f t="array" ref="H29">IF(G29&lt;&gt;"",IF(INDEX(techniques[detection rules for techique],MATCH(G29,techniques[name],0))&gt;=1,INDEX(techniques[detection rules for techique],MATCH(G29,techniques[name],0)),""),"")</f>
        <v/>
      </c>
      <c r="I29" s="47" t="inlineStr">
        <is>
          <t>Create Account (T1136)</t>
        </is>
      </c>
      <c r="J29" s="54">
        <f t="array" ref="J29">IF(I29&lt;&gt;"",IF(INDEX(techniques[detection rules for techique],MATCH(I29,techniques[name],0))&gt;=1,INDEX(techniques[detection rules for techique],MATCH(I29,techniques[name],0)),""),"")</f>
        <v/>
      </c>
      <c r="K29" s="47" t="inlineStr">
        <is>
          <t>Default Accounts (T1078.001)</t>
        </is>
      </c>
      <c r="L29" s="54">
        <f t="array" ref="L29">IF(K29&lt;&gt;"",IF(INDEX(techniques[detection rules for techique],MATCH(K29,techniques[name],0))&gt;=1,INDEX(techniques[detection rules for techique],MATCH(K29,techniques[name],0)),""),"")</f>
        <v/>
      </c>
      <c r="M29" s="47" t="inlineStr">
        <is>
          <t>Space after Filename (T1036.006)</t>
        </is>
      </c>
      <c r="N29" s="54">
        <f t="array" ref="N29">IF(M29&lt;&gt;"",IF(INDEX(techniques[detection rules for techique],MATCH(M29,techniques[name],0))&gt;=1,INDEX(techniques[detection rules for techique],MATCH(M29,techniques[name],0)),""),"")</f>
        <v/>
      </c>
      <c r="O29" s="47" t="inlineStr">
        <is>
          <t>Create Cloud Instance (T1578.002)</t>
        </is>
      </c>
      <c r="P29" s="54">
        <f t="array" ref="P29">IF(O29&lt;&gt;"",IF(INDEX(techniques[detection rules for techique],MATCH(O29,techniques[name],0))&gt;=1,INDEX(techniques[detection rules for techique],MATCH(O29,techniques[name],0)),""),"")</f>
        <v/>
      </c>
      <c r="Q29" s="47" t="inlineStr">
        <is>
          <t>Credentials in Registry (T1552.002)</t>
        </is>
      </c>
      <c r="R29" s="54">
        <f t="array" ref="R29">IF(Q29&lt;&gt;"",IF(INDEX(techniques[detection rules for techique],MATCH(Q29,techniques[name],0))&gt;=1,INDEX(techniques[detection rules for techique],MATCH(Q29,techniques[name],0)),""),"")</f>
        <v/>
      </c>
      <c r="S29" s="47" t="inlineStr">
        <is>
          <t>Browser Information Discovery (T1217)</t>
        </is>
      </c>
      <c r="T29" s="54">
        <f t="array" ref="T29">IF(S29&lt;&gt;"",IF(INDEX(techniques[detection rules for techique],MATCH(S29,techniques[name],0))&gt;=1,INDEX(techniques[detection rules for techique],MATCH(S29,techniques[name],0)),""),"")</f>
        <v/>
      </c>
      <c r="U29" s="47" t="n"/>
      <c r="V29" s="54">
        <f t="array" ref="V29">IF(U29&lt;&gt;"",IF(INDEX(techniques[detection rules for techique],MATCH(U29,techniques[name],0))&gt;=1,INDEX(techniques[detection rules for techique],MATCH(U29,techniques[name],0)),""),"")</f>
        <v/>
      </c>
      <c r="W29" s="47" t="inlineStr">
        <is>
          <t>Databases (T1213.006)</t>
        </is>
      </c>
      <c r="X29" s="54">
        <f t="array" ref="X29">IF(W29&lt;&gt;"",IF(INDEX(techniques[detection rules for techique],MATCH(W29,techniques[name],0))&gt;=1,INDEX(techniques[detection rules for techique],MATCH(W29,techniques[name],0)),""),"")</f>
        <v/>
      </c>
      <c r="Y29" s="47" t="inlineStr">
        <is>
          <t>Traffic Signaling (T1205)</t>
        </is>
      </c>
      <c r="Z29" s="54">
        <f t="array" ref="Z29">IF(Y29&lt;&gt;"",IF(INDEX(techniques[detection rules for techique],MATCH(Y29,techniques[name],0))&gt;=1,INDEX(techniques[detection rules for techique],MATCH(Y29,techniques[name],0)),""),"")</f>
        <v/>
      </c>
      <c r="AA29" s="47" t="n"/>
      <c r="AB29" s="54">
        <f t="array" ref="AB29">IF(AA29&lt;&gt;"",IF(INDEX(techniques[detection rules for techique],MATCH(AA29,techniques[name],0))&gt;=1,INDEX(techniques[detection rules for techique],MATCH(AA29,techniques[name],0)),""),"")</f>
        <v/>
      </c>
      <c r="AC29" s="47" t="inlineStr">
        <is>
          <t>Data Manipulation (T1565)</t>
        </is>
      </c>
      <c r="AD29" s="54">
        <f t="array" ref="AD29">IF(AC29&lt;&gt;"",IF(INDEX(techniques[detection rules for techique],MATCH(AC29,techniques[name],0))&gt;=1,INDEX(techniques[detection rules for techique],MATCH(AC29,techniques[name],0)),""),"")</f>
        <v/>
      </c>
    </row>
    <row r="30" ht="22.5" customHeight="1">
      <c r="A30" s="47" t="inlineStr">
        <is>
          <t>Vulnerability Scanning (T1595.002)</t>
        </is>
      </c>
      <c r="B30" s="54">
        <f t="array" ref="B30">IF(A30&lt;&gt;"",IF(INDEX(techniques[detection rules for techique],MATCH(A30,techniques[name],0))&gt;=1,INDEX(techniques[detection rules for techique],MATCH(A30,techniques[name],0)),""),"")</f>
        <v/>
      </c>
      <c r="C30" s="47" t="inlineStr">
        <is>
          <t>Code Signing Certificates (T1587.002)</t>
        </is>
      </c>
      <c r="D30" s="54">
        <f t="array" ref="D30">IF(C30&lt;&gt;"",IF(INDEX(techniques[detection rules for techique],MATCH(C30,techniques[name],0))&gt;=1,INDEX(techniques[detection rules for techique],MATCH(C30,techniques[name],0)),""),"")</f>
        <v/>
      </c>
      <c r="E30" s="47" t="n"/>
      <c r="F30" s="54">
        <f t="array" ref="F30">IF(E30&lt;&gt;"",IF(INDEX(techniques[detection rules for techique],MATCH(E30,techniques[name],0))&gt;=1,INDEX(techniques[detection rules for techique],MATCH(E30,techniques[name],0)),""),"")</f>
        <v/>
      </c>
      <c r="G30" s="47" t="inlineStr">
        <is>
          <t>BITS Jobs (T1197)</t>
        </is>
      </c>
      <c r="H30" s="54">
        <f t="array" ref="H30">IF(G30&lt;&gt;"",IF(INDEX(techniques[detection rules for techique],MATCH(G30,techniques[name],0))&gt;=1,INDEX(techniques[detection rules for techique],MATCH(G30,techniques[name],0)),""),"")</f>
        <v/>
      </c>
      <c r="I30" s="47" t="inlineStr">
        <is>
          <t>Local Account (T1136.001)</t>
        </is>
      </c>
      <c r="J30" s="54">
        <f t="array" ref="J30">IF(I30&lt;&gt;"",IF(INDEX(techniques[detection rules for techique],MATCH(I30,techniques[name],0))&gt;=1,INDEX(techniques[detection rules for techique],MATCH(I30,techniques[name],0)),""),"")</f>
        <v/>
      </c>
      <c r="K30" s="47" t="inlineStr">
        <is>
          <t>Domain Accounts (T1078.002)</t>
        </is>
      </c>
      <c r="L30" s="54">
        <f t="array" ref="L30">IF(K30&lt;&gt;"",IF(INDEX(techniques[detection rules for techique],MATCH(K30,techniques[name],0))&gt;=1,INDEX(techniques[detection rules for techique],MATCH(K30,techniques[name],0)),""),"")</f>
        <v/>
      </c>
      <c r="M30" s="47" t="inlineStr">
        <is>
          <t>Double File Extension (T1036.007)</t>
        </is>
      </c>
      <c r="N30" s="54">
        <f t="array" ref="N30">IF(M30&lt;&gt;"",IF(INDEX(techniques[detection rules for techique],MATCH(M30,techniques[name],0))&gt;=1,INDEX(techniques[detection rules for techique],MATCH(M30,techniques[name],0)),""),"")</f>
        <v/>
      </c>
      <c r="O30" s="47" t="inlineStr">
        <is>
          <t>Delete Cloud Instance (T1578.003)</t>
        </is>
      </c>
      <c r="P30" s="54">
        <f t="array" ref="P30">IF(O30&lt;&gt;"",IF(INDEX(techniques[detection rules for techique],MATCH(O30,techniques[name],0))&gt;=1,INDEX(techniques[detection rules for techique],MATCH(O30,techniques[name],0)),""),"")</f>
        <v/>
      </c>
      <c r="Q30" s="47" t="inlineStr">
        <is>
          <t>Shell History (T1552.003)</t>
        </is>
      </c>
      <c r="R30" s="54">
        <f t="array" ref="R30">IF(Q30&lt;&gt;"",IF(INDEX(techniques[detection rules for techique],MATCH(Q30,techniques[name],0))&gt;=1,INDEX(techniques[detection rules for techique],MATCH(Q30,techniques[name],0)),""),"")</f>
        <v/>
      </c>
      <c r="S30" s="47" t="inlineStr">
        <is>
          <t>Domain Trust Discovery (T1482)</t>
        </is>
      </c>
      <c r="T30" s="54">
        <f t="array" ref="T30">IF(S30&lt;&gt;"",IF(INDEX(techniques[detection rules for techique],MATCH(S30,techniques[name],0))&gt;=1,INDEX(techniques[detection rules for techique],MATCH(S30,techniques[name],0)),""),"")</f>
        <v/>
      </c>
      <c r="U30" s="47" t="n"/>
      <c r="V30" s="54">
        <f t="array" ref="V30">IF(U30&lt;&gt;"",IF(INDEX(techniques[detection rules for techique],MATCH(U30,techniques[name],0))&gt;=1,INDEX(techniques[detection rules for techique],MATCH(U30,techniques[name],0)),""),"")</f>
        <v/>
      </c>
      <c r="W30" s="47" t="inlineStr">
        <is>
          <t>Data from Cloud Storage (T1530)</t>
        </is>
      </c>
      <c r="X30" s="54">
        <f t="array" ref="X30">IF(W30&lt;&gt;"",IF(INDEX(techniques[detection rules for techique],MATCH(W30,techniques[name],0))&gt;=1,INDEX(techniques[detection rules for techique],MATCH(W30,techniques[name],0)),""),"")</f>
        <v/>
      </c>
      <c r="Y30" s="47" t="inlineStr">
        <is>
          <t>Port Knocking (T1205.001)</t>
        </is>
      </c>
      <c r="Z30" s="54">
        <f t="array" ref="Z30">IF(Y30&lt;&gt;"",IF(INDEX(techniques[detection rules for techique],MATCH(Y30,techniques[name],0))&gt;=1,INDEX(techniques[detection rules for techique],MATCH(Y30,techniques[name],0)),""),"")</f>
        <v/>
      </c>
      <c r="AA30" s="47" t="n"/>
      <c r="AB30" s="54">
        <f t="array" ref="AB30">IF(AA30&lt;&gt;"",IF(INDEX(techniques[detection rules for techique],MATCH(AA30,techniques[name],0))&gt;=1,INDEX(techniques[detection rules for techique],MATCH(AA30,techniques[name],0)),""),"")</f>
        <v/>
      </c>
      <c r="AC30" s="47" t="inlineStr">
        <is>
          <t>Stored Data Manipulation (T1565.001)</t>
        </is>
      </c>
      <c r="AD30" s="54">
        <f t="array" ref="AD30">IF(AC30&lt;&gt;"",IF(INDEX(techniques[detection rules for techique],MATCH(AC30,techniques[name],0))&gt;=1,INDEX(techniques[detection rules for techique],MATCH(AC30,techniques[name],0)),""),"")</f>
        <v/>
      </c>
    </row>
    <row r="31" ht="22.5" customHeight="1">
      <c r="A31" s="47" t="inlineStr">
        <is>
          <t>Wordlist Scanning (T1595.003)</t>
        </is>
      </c>
      <c r="B31" s="54">
        <f t="array" ref="B31">IF(A31&lt;&gt;"",IF(INDEX(techniques[detection rules for techique],MATCH(A31,techniques[name],0))&gt;=1,INDEX(techniques[detection rules for techique],MATCH(A31,techniques[name],0)),""),"")</f>
        <v/>
      </c>
      <c r="C31" s="47" t="inlineStr">
        <is>
          <t>Digital Certificates (T1587.003)</t>
        </is>
      </c>
      <c r="D31" s="54">
        <f t="array" ref="D31">IF(C31&lt;&gt;"",IF(INDEX(techniques[detection rules for techique],MATCH(C31,techniques[name],0))&gt;=1,INDEX(techniques[detection rules for techique],MATCH(C31,techniques[name],0)),""),"")</f>
        <v/>
      </c>
      <c r="E31" s="47" t="n"/>
      <c r="F31" s="54">
        <f t="array" ref="F31">IF(E31&lt;&gt;"",IF(INDEX(techniques[detection rules for techique],MATCH(E31,techniques[name],0))&gt;=1,INDEX(techniques[detection rules for techique],MATCH(E31,techniques[name],0)),""),"")</f>
        <v/>
      </c>
      <c r="G31" s="47" t="inlineStr">
        <is>
          <t>Exploitation for Client Execution (T1203)</t>
        </is>
      </c>
      <c r="H31" s="54">
        <f t="array" ref="H31">IF(G31&lt;&gt;"",IF(INDEX(techniques[detection rules for techique],MATCH(G31,techniques[name],0))&gt;=1,INDEX(techniques[detection rules for techique],MATCH(G31,techniques[name],0)),""),"")</f>
        <v/>
      </c>
      <c r="I31" s="47" t="inlineStr">
        <is>
          <t>Domain Account (T1136.002)</t>
        </is>
      </c>
      <c r="J31" s="54">
        <f t="array" ref="J31">IF(I31&lt;&gt;"",IF(INDEX(techniques[detection rules for techique],MATCH(I31,techniques[name],0))&gt;=1,INDEX(techniques[detection rules for techique],MATCH(I31,techniques[name],0)),""),"")</f>
        <v/>
      </c>
      <c r="K31" s="47" t="inlineStr">
        <is>
          <t>Local Accounts (T1078.003)</t>
        </is>
      </c>
      <c r="L31" s="54">
        <f t="array" ref="L31">IF(K31&lt;&gt;"",IF(INDEX(techniques[detection rules for techique],MATCH(K31,techniques[name],0))&gt;=1,INDEX(techniques[detection rules for techique],MATCH(K31,techniques[name],0)),""),"")</f>
        <v/>
      </c>
      <c r="M31" s="47" t="inlineStr">
        <is>
          <t>Masquerade File Type (T1036.008)</t>
        </is>
      </c>
      <c r="N31" s="54">
        <f t="array" ref="N31">IF(M31&lt;&gt;"",IF(INDEX(techniques[detection rules for techique],MATCH(M31,techniques[name],0))&gt;=1,INDEX(techniques[detection rules for techique],MATCH(M31,techniques[name],0)),""),"")</f>
        <v/>
      </c>
      <c r="O31" s="47" t="inlineStr">
        <is>
          <t>Revert Cloud Instance (T1578.004)</t>
        </is>
      </c>
      <c r="P31" s="54">
        <f t="array" ref="P31">IF(O31&lt;&gt;"",IF(INDEX(techniques[detection rules for techique],MATCH(O31,techniques[name],0))&gt;=1,INDEX(techniques[detection rules for techique],MATCH(O31,techniques[name],0)),""),"")</f>
        <v/>
      </c>
      <c r="Q31" s="47" t="inlineStr">
        <is>
          <t>Private Keys (T1552.004)</t>
        </is>
      </c>
      <c r="R31" s="54">
        <f t="array" ref="R31">IF(Q31&lt;&gt;"",IF(INDEX(techniques[detection rules for techique],MATCH(Q31,techniques[name],0))&gt;=1,INDEX(techniques[detection rules for techique],MATCH(Q31,techniques[name],0)),""),"")</f>
        <v/>
      </c>
      <c r="S31" s="47" t="inlineStr">
        <is>
          <t>Virtualization/Sandbox Evasion (T1497)</t>
        </is>
      </c>
      <c r="T31" s="54">
        <f t="array" ref="T31">IF(S31&lt;&gt;"",IF(INDEX(techniques[detection rules for techique],MATCH(S31,techniques[name],0))&gt;=1,INDEX(techniques[detection rules for techique],MATCH(S31,techniques[name],0)),""),"")</f>
        <v/>
      </c>
      <c r="U31" s="47" t="n"/>
      <c r="V31" s="54">
        <f t="array" ref="V31">IF(U31&lt;&gt;"",IF(INDEX(techniques[detection rules for techique],MATCH(U31,techniques[name],0))&gt;=1,INDEX(techniques[detection rules for techique],MATCH(U31,techniques[name],0)),""),"")</f>
        <v/>
      </c>
      <c r="W31" s="47" t="inlineStr">
        <is>
          <t>Adversary-in-the-Middle (T1557)</t>
        </is>
      </c>
      <c r="X31" s="54">
        <f t="array" ref="X31">IF(W31&lt;&gt;"",IF(INDEX(techniques[detection rules for techique],MATCH(W31,techniques[name],0))&gt;=1,INDEX(techniques[detection rules for techique],MATCH(W31,techniques[name],0)),""),"")</f>
        <v/>
      </c>
      <c r="Y31" s="47" t="inlineStr">
        <is>
          <t>Socket Filters (T1205.002)</t>
        </is>
      </c>
      <c r="Z31" s="54">
        <f t="array" ref="Z31">IF(Y31&lt;&gt;"",IF(INDEX(techniques[detection rules for techique],MATCH(Y31,techniques[name],0))&gt;=1,INDEX(techniques[detection rules for techique],MATCH(Y31,techniques[name],0)),""),"")</f>
        <v/>
      </c>
      <c r="AA31" s="47" t="n"/>
      <c r="AB31" s="54">
        <f t="array" ref="AB31">IF(AA31&lt;&gt;"",IF(INDEX(techniques[detection rules for techique],MATCH(AA31,techniques[name],0))&gt;=1,INDEX(techniques[detection rules for techique],MATCH(AA31,techniques[name],0)),""),"")</f>
        <v/>
      </c>
      <c r="AC31" s="47" t="inlineStr">
        <is>
          <t>Transmitted Data Manipulation (T1565.002)</t>
        </is>
      </c>
      <c r="AD31" s="54">
        <f t="array" ref="AD31">IF(AC31&lt;&gt;"",IF(INDEX(techniques[detection rules for techique],MATCH(AC31,techniques[name],0))&gt;=1,INDEX(techniques[detection rules for techique],MATCH(AC31,techniques[name],0)),""),"")</f>
        <v/>
      </c>
    </row>
    <row r="32" ht="22.5" customHeight="1">
      <c r="A32" s="47" t="inlineStr">
        <is>
          <t>Search Open Technical Databases (T1596)</t>
        </is>
      </c>
      <c r="B32" s="54">
        <f t="array" ref="B32">IF(A32&lt;&gt;"",IF(INDEX(techniques[detection rules for techique],MATCH(A32,techniques[name],0))&gt;=1,INDEX(techniques[detection rules for techique],MATCH(A32,techniques[name],0)),""),"")</f>
        <v/>
      </c>
      <c r="C32" s="47" t="inlineStr">
        <is>
          <t>Exploits (T1587.004)</t>
        </is>
      </c>
      <c r="D32" s="54">
        <f t="array" ref="D32">IF(C32&lt;&gt;"",IF(INDEX(techniques[detection rules for techique],MATCH(C32,techniques[name],0))&gt;=1,INDEX(techniques[detection rules for techique],MATCH(C32,techniques[name],0)),""),"")</f>
        <v/>
      </c>
      <c r="E32" s="47" t="n"/>
      <c r="F32" s="54">
        <f t="array" ref="F32">IF(E32&lt;&gt;"",IF(INDEX(techniques[detection rules for techique],MATCH(E32,techniques[name],0))&gt;=1,INDEX(techniques[detection rules for techique],MATCH(E32,techniques[name],0)),""),"")</f>
        <v/>
      </c>
      <c r="G32" s="47" t="inlineStr">
        <is>
          <t>User Execution (T1204)</t>
        </is>
      </c>
      <c r="H32" s="54">
        <f t="array" ref="H32">IF(G32&lt;&gt;"",IF(INDEX(techniques[detection rules for techique],MATCH(G32,techniques[name],0))&gt;=1,INDEX(techniques[detection rules for techique],MATCH(G32,techniques[name],0)),""),"")</f>
        <v/>
      </c>
      <c r="I32" s="47" t="inlineStr">
        <is>
          <t>Cloud Account (T1136.003)</t>
        </is>
      </c>
      <c r="J32" s="54">
        <f t="array" ref="J32">IF(I32&lt;&gt;"",IF(INDEX(techniques[detection rules for techique],MATCH(I32,techniques[name],0))&gt;=1,INDEX(techniques[detection rules for techique],MATCH(I32,techniques[name],0)),""),"")</f>
        <v/>
      </c>
      <c r="K32" s="47" t="inlineStr">
        <is>
          <t>Cloud Accounts (T1078.004)</t>
        </is>
      </c>
      <c r="L32" s="54">
        <f t="array" ref="L32">IF(K32&lt;&gt;"",IF(INDEX(techniques[detection rules for techique],MATCH(K32,techniques[name],0))&gt;=1,INDEX(techniques[detection rules for techique],MATCH(K32,techniques[name],0)),""),"")</f>
        <v/>
      </c>
      <c r="M32" s="47" t="inlineStr">
        <is>
          <t>Break Process Trees (T1036.009)</t>
        </is>
      </c>
      <c r="N32" s="54">
        <f t="array" ref="N32">IF(M32&lt;&gt;"",IF(INDEX(techniques[detection rules for techique],MATCH(M32,techniques[name],0))&gt;=1,INDEX(techniques[detection rules for techique],MATCH(M32,techniques[name],0)),""),"")</f>
        <v/>
      </c>
      <c r="O32" s="47" t="inlineStr">
        <is>
          <t>Modify Cloud Compute Configurations (T1578.005)</t>
        </is>
      </c>
      <c r="P32" s="54">
        <f t="array" ref="P32">IF(O32&lt;&gt;"",IF(INDEX(techniques[detection rules for techique],MATCH(O32,techniques[name],0))&gt;=1,INDEX(techniques[detection rules for techique],MATCH(O32,techniques[name],0)),""),"")</f>
        <v/>
      </c>
      <c r="Q32" s="47" t="inlineStr">
        <is>
          <t>Cloud Instance Metadata API (T1552.005)</t>
        </is>
      </c>
      <c r="R32" s="54">
        <f t="array" ref="R32">IF(Q32&lt;&gt;"",IF(INDEX(techniques[detection rules for techique],MATCH(Q32,techniques[name],0))&gt;=1,INDEX(techniques[detection rules for techique],MATCH(Q32,techniques[name],0)),""),"")</f>
        <v/>
      </c>
      <c r="S32" s="47" t="inlineStr">
        <is>
          <t>System Checks (T1497.001)</t>
        </is>
      </c>
      <c r="T32" s="54">
        <f t="array" ref="T32">IF(S32&lt;&gt;"",IF(INDEX(techniques[detection rules for techique],MATCH(S32,techniques[name],0))&gt;=1,INDEX(techniques[detection rules for techique],MATCH(S32,techniques[name],0)),""),"")</f>
        <v/>
      </c>
      <c r="U32" s="47" t="n"/>
      <c r="V32" s="54">
        <f t="array" ref="V32">IF(U32&lt;&gt;"",IF(INDEX(techniques[detection rules for techique],MATCH(U32,techniques[name],0))&gt;=1,INDEX(techniques[detection rules for techique],MATCH(U32,techniques[name],0)),""),"")</f>
        <v/>
      </c>
      <c r="W32" s="47" t="inlineStr">
        <is>
          <t>Name Resolution Poisoning and SMB Relay (T1557.001)</t>
        </is>
      </c>
      <c r="X32" s="54">
        <f t="array" ref="X32">IF(W32&lt;&gt;"",IF(INDEX(techniques[detection rules for techique],MATCH(W32,techniques[name],0))&gt;=1,INDEX(techniques[detection rules for techique],MATCH(W32,techniques[name],0)),""),"")</f>
        <v/>
      </c>
      <c r="Y32" s="47" t="inlineStr">
        <is>
          <t>Remote Access Tools (T1219)</t>
        </is>
      </c>
      <c r="Z32" s="54">
        <f t="array" ref="Z32">IF(Y32&lt;&gt;"",IF(INDEX(techniques[detection rules for techique],MATCH(Y32,techniques[name],0))&gt;=1,INDEX(techniques[detection rules for techique],MATCH(Y32,techniques[name],0)),""),"")</f>
        <v/>
      </c>
      <c r="AA32" s="47" t="n"/>
      <c r="AB32" s="54">
        <f t="array" ref="AB32">IF(AA32&lt;&gt;"",IF(INDEX(techniques[detection rules for techique],MATCH(AA32,techniques[name],0))&gt;=1,INDEX(techniques[detection rules for techique],MATCH(AA32,techniques[name],0)),""),"")</f>
        <v/>
      </c>
      <c r="AC32" s="47" t="inlineStr">
        <is>
          <t>Runtime Data Manipulation (T1565.003)</t>
        </is>
      </c>
      <c r="AD32" s="54">
        <f t="array" ref="AD32">IF(AC32&lt;&gt;"",IF(INDEX(techniques[detection rules for techique],MATCH(AC32,techniques[name],0))&gt;=1,INDEX(techniques[detection rules for techique],MATCH(AC32,techniques[name],0)),""),"")</f>
        <v/>
      </c>
    </row>
    <row r="33" ht="22.5" customHeight="1">
      <c r="A33" s="47" t="inlineStr">
        <is>
          <t>DNS/Passive DNS (T1596.001)</t>
        </is>
      </c>
      <c r="B33" s="54">
        <f t="array" ref="B33">IF(A33&lt;&gt;"",IF(INDEX(techniques[detection rules for techique],MATCH(A33,techniques[name],0))&gt;=1,INDEX(techniques[detection rules for techique],MATCH(A33,techniques[name],0)),""),"")</f>
        <v/>
      </c>
      <c r="C33" s="47" t="inlineStr">
        <is>
          <t>Obtain Capabilities (T1588)</t>
        </is>
      </c>
      <c r="D33" s="54">
        <f t="array" ref="D33">IF(C33&lt;&gt;"",IF(INDEX(techniques[detection rules for techique],MATCH(C33,techniques[name],0))&gt;=1,INDEX(techniques[detection rules for techique],MATCH(C33,techniques[name],0)),""),"")</f>
        <v/>
      </c>
      <c r="E33" s="47" t="n"/>
      <c r="F33" s="54">
        <f t="array" ref="F33">IF(E33&lt;&gt;"",IF(INDEX(techniques[detection rules for techique],MATCH(E33,techniques[name],0))&gt;=1,INDEX(techniques[detection rules for techique],MATCH(E33,techniques[name],0)),""),"")</f>
        <v/>
      </c>
      <c r="G33" s="47" t="inlineStr">
        <is>
          <t>Malicious Link (T1204.001)</t>
        </is>
      </c>
      <c r="H33" s="54">
        <f t="array" ref="H33">IF(G33&lt;&gt;"",IF(INDEX(techniques[detection rules for techique],MATCH(G33,techniques[name],0))&gt;=1,INDEX(techniques[detection rules for techique],MATCH(G33,techniques[name],0)),""),"")</f>
        <v/>
      </c>
      <c r="I33" s="47" t="inlineStr">
        <is>
          <t>Office Application Startup (T1137)</t>
        </is>
      </c>
      <c r="J33" s="54">
        <f t="array" ref="J33">IF(I33&lt;&gt;"",IF(INDEX(techniques[detection rules for techique],MATCH(I33,techniques[name],0))&gt;=1,INDEX(techniques[detection rules for techique],MATCH(I33,techniques[name],0)),""),"")</f>
        <v/>
      </c>
      <c r="K33" s="47" t="inlineStr">
        <is>
          <t>Account Manipulation (T1098)</t>
        </is>
      </c>
      <c r="L33" s="54">
        <f t="array" ref="L33">IF(K33&lt;&gt;"",IF(INDEX(techniques[detection rules for techique],MATCH(K33,techniques[name],0))&gt;=1,INDEX(techniques[detection rules for techique],MATCH(K33,techniques[name],0)),""),"")</f>
        <v/>
      </c>
      <c r="M33" s="47" t="inlineStr">
        <is>
          <t>Masquerade Account Name (T1036.010)</t>
        </is>
      </c>
      <c r="N33" s="54">
        <f t="array" ref="N33">IF(M33&lt;&gt;"",IF(INDEX(techniques[detection rules for techique],MATCH(M33,techniques[name],0))&gt;=1,INDEX(techniques[detection rules for techique],MATCH(M33,techniques[name],0)),""),"")</f>
        <v/>
      </c>
      <c r="O33" s="47" t="inlineStr">
        <is>
          <t>Network Boundary Bridging (T1599)</t>
        </is>
      </c>
      <c r="P33" s="54">
        <f t="array" ref="P33">IF(O33&lt;&gt;"",IF(INDEX(techniques[detection rules for techique],MATCH(O33,techniques[name],0))&gt;=1,INDEX(techniques[detection rules for techique],MATCH(O33,techniques[name],0)),""),"")</f>
        <v/>
      </c>
      <c r="Q33" s="47" t="inlineStr">
        <is>
          <t>Group Policy Preferences (T1552.006)</t>
        </is>
      </c>
      <c r="R33" s="54">
        <f t="array" ref="R33">IF(Q33&lt;&gt;"",IF(INDEX(techniques[detection rules for techique],MATCH(Q33,techniques[name],0))&gt;=1,INDEX(techniques[detection rules for techique],MATCH(Q33,techniques[name],0)),""),"")</f>
        <v/>
      </c>
      <c r="S33" s="47" t="inlineStr">
        <is>
          <t>User Activity Based Checks (T1497.002)</t>
        </is>
      </c>
      <c r="T33" s="54">
        <f t="array" ref="T33">IF(S33&lt;&gt;"",IF(INDEX(techniques[detection rules for techique],MATCH(S33,techniques[name],0))&gt;=1,INDEX(techniques[detection rules for techique],MATCH(S33,techniques[name],0)),""),"")</f>
        <v/>
      </c>
      <c r="U33" s="47" t="n"/>
      <c r="V33" s="54">
        <f t="array" ref="V33">IF(U33&lt;&gt;"",IF(INDEX(techniques[detection rules for techique],MATCH(U33,techniques[name],0))&gt;=1,INDEX(techniques[detection rules for techique],MATCH(U33,techniques[name],0)),""),"")</f>
        <v/>
      </c>
      <c r="W33" s="47" t="inlineStr">
        <is>
          <t>ARP Cache Poisoning (T1557.002)</t>
        </is>
      </c>
      <c r="X33" s="54">
        <f t="array" ref="X33">IF(W33&lt;&gt;"",IF(INDEX(techniques[detection rules for techique],MATCH(W33,techniques[name],0))&gt;=1,INDEX(techniques[detection rules for techique],MATCH(W33,techniques[name],0)),""),"")</f>
        <v/>
      </c>
      <c r="Y33" s="47" t="inlineStr">
        <is>
          <t>IDE Tunneling (T1219.001)</t>
        </is>
      </c>
      <c r="Z33" s="54">
        <f t="array" ref="Z33">IF(Y33&lt;&gt;"",IF(INDEX(techniques[detection rules for techique],MATCH(Y33,techniques[name],0))&gt;=1,INDEX(techniques[detection rules for techique],MATCH(Y33,techniques[name],0)),""),"")</f>
        <v/>
      </c>
      <c r="AA33" s="47" t="n"/>
      <c r="AB33" s="54">
        <f t="array" ref="AB33">IF(AA33&lt;&gt;"",IF(INDEX(techniques[detection rules for techique],MATCH(AA33,techniques[name],0))&gt;=1,INDEX(techniques[detection rules for techique],MATCH(AA33,techniques[name],0)),""),"")</f>
        <v/>
      </c>
      <c r="AC33" s="47" t="inlineStr">
        <is>
          <t>Financial Theft (T1657)</t>
        </is>
      </c>
      <c r="AD33" s="54">
        <f t="array" ref="AD33">IF(AC33&lt;&gt;"",IF(INDEX(techniques[detection rules for techique],MATCH(AC33,techniques[name],0))&gt;=1,INDEX(techniques[detection rules for techique],MATCH(AC33,techniques[name],0)),""),"")</f>
        <v/>
      </c>
    </row>
    <row r="34" ht="22.5" customHeight="1">
      <c r="A34" s="47" t="inlineStr">
        <is>
          <t>WHOIS (T1596.002)</t>
        </is>
      </c>
      <c r="B34" s="54">
        <f t="array" ref="B34">IF(A34&lt;&gt;"",IF(INDEX(techniques[detection rules for techique],MATCH(A34,techniques[name],0))&gt;=1,INDEX(techniques[detection rules for techique],MATCH(A34,techniques[name],0)),""),"")</f>
        <v/>
      </c>
      <c r="C34" s="47" t="inlineStr">
        <is>
          <t>Malware (T1588.001)</t>
        </is>
      </c>
      <c r="D34" s="54">
        <f t="array" ref="D34">IF(C34&lt;&gt;"",IF(INDEX(techniques[detection rules for techique],MATCH(C34,techniques[name],0))&gt;=1,INDEX(techniques[detection rules for techique],MATCH(C34,techniques[name],0)),""),"")</f>
        <v/>
      </c>
      <c r="E34" s="47" t="n"/>
      <c r="F34" s="54">
        <f t="array" ref="F34">IF(E34&lt;&gt;"",IF(INDEX(techniques[detection rules for techique],MATCH(E34,techniques[name],0))&gt;=1,INDEX(techniques[detection rules for techique],MATCH(E34,techniques[name],0)),""),"")</f>
        <v/>
      </c>
      <c r="G34" s="47" t="inlineStr">
        <is>
          <t>Malicious File (T1204.002)</t>
        </is>
      </c>
      <c r="H34" s="54">
        <f t="array" ref="H34">IF(G34&lt;&gt;"",IF(INDEX(techniques[detection rules for techique],MATCH(G34,techniques[name],0))&gt;=1,INDEX(techniques[detection rules for techique],MATCH(G34,techniques[name],0)),""),"")</f>
        <v/>
      </c>
      <c r="I34" s="47" t="inlineStr">
        <is>
          <t>Office Template Macros (T1137.001)</t>
        </is>
      </c>
      <c r="J34" s="54">
        <f t="array" ref="J34">IF(I34&lt;&gt;"",IF(INDEX(techniques[detection rules for techique],MATCH(I34,techniques[name],0))&gt;=1,INDEX(techniques[detection rules for techique],MATCH(I34,techniques[name],0)),""),"")</f>
        <v/>
      </c>
      <c r="K34" s="47" t="inlineStr">
        <is>
          <t>Additional Cloud Credentials (T1098.001)</t>
        </is>
      </c>
      <c r="L34" s="54">
        <f t="array" ref="L34">IF(K34&lt;&gt;"",IF(INDEX(techniques[detection rules for techique],MATCH(K34,techniques[name],0))&gt;=1,INDEX(techniques[detection rules for techique],MATCH(K34,techniques[name],0)),""),"")</f>
        <v/>
      </c>
      <c r="M34" s="47" t="inlineStr">
        <is>
          <t>Overwrite Process Arguments (T1036.011)</t>
        </is>
      </c>
      <c r="N34" s="54">
        <f t="array" ref="N34">IF(M34&lt;&gt;"",IF(INDEX(techniques[detection rules for techique],MATCH(M34,techniques[name],0))&gt;=1,INDEX(techniques[detection rules for techique],MATCH(M34,techniques[name],0)),""),"")</f>
        <v/>
      </c>
      <c r="O34" s="47" t="inlineStr">
        <is>
          <t>Network Address Translation Traversal (T1599.001)</t>
        </is>
      </c>
      <c r="P34" s="54">
        <f t="array" ref="P34">IF(O34&lt;&gt;"",IF(INDEX(techniques[detection rules for techique],MATCH(O34,techniques[name],0))&gt;=1,INDEX(techniques[detection rules for techique],MATCH(O34,techniques[name],0)),""),"")</f>
        <v/>
      </c>
      <c r="Q34" s="47" t="inlineStr">
        <is>
          <t>Container API (T1552.007)</t>
        </is>
      </c>
      <c r="R34" s="54">
        <f t="array" ref="R34">IF(Q34&lt;&gt;"",IF(INDEX(techniques[detection rules for techique],MATCH(Q34,techniques[name],0))&gt;=1,INDEX(techniques[detection rules for techique],MATCH(Q34,techniques[name],0)),""),"")</f>
        <v/>
      </c>
      <c r="S34" s="47" t="inlineStr">
        <is>
          <t>Time Based Checks (T1497.003)</t>
        </is>
      </c>
      <c r="T34" s="54">
        <f t="array" ref="T34">IF(S34&lt;&gt;"",IF(INDEX(techniques[detection rules for techique],MATCH(S34,techniques[name],0))&gt;=1,INDEX(techniques[detection rules for techique],MATCH(S34,techniques[name],0)),""),"")</f>
        <v/>
      </c>
      <c r="U34" s="47" t="n"/>
      <c r="V34" s="54">
        <f t="array" ref="V34">IF(U34&lt;&gt;"",IF(INDEX(techniques[detection rules for techique],MATCH(U34,techniques[name],0))&gt;=1,INDEX(techniques[detection rules for techique],MATCH(U34,techniques[name],0)),""),"")</f>
        <v/>
      </c>
      <c r="W34" s="47" t="inlineStr">
        <is>
          <t>DHCP Spoofing (T1557.003)</t>
        </is>
      </c>
      <c r="X34" s="54">
        <f t="array" ref="X34">IF(W34&lt;&gt;"",IF(INDEX(techniques[detection rules for techique],MATCH(W34,techniques[name],0))&gt;=1,INDEX(techniques[detection rules for techique],MATCH(W34,techniques[name],0)),""),"")</f>
        <v/>
      </c>
      <c r="Y34" s="47" t="inlineStr">
        <is>
          <t>Remote Desktop Software (T1219.002)</t>
        </is>
      </c>
      <c r="Z34" s="54">
        <f t="array" ref="Z34">IF(Y34&lt;&gt;"",IF(INDEX(techniques[detection rules for techique],MATCH(Y34,techniques[name],0))&gt;=1,INDEX(techniques[detection rules for techique],MATCH(Y34,techniques[name],0)),""),"")</f>
        <v/>
      </c>
      <c r="AA34" s="47" t="n"/>
      <c r="AB34" s="54">
        <f t="array" ref="AB34">IF(AA34&lt;&gt;"",IF(INDEX(techniques[detection rules for techique],MATCH(AA34,techniques[name],0))&gt;=1,INDEX(techniques[detection rules for techique],MATCH(AA34,techniques[name],0)),""),"")</f>
        <v/>
      </c>
      <c r="AC34" s="47" t="inlineStr">
        <is>
          <t>Email Bombing (T1667)</t>
        </is>
      </c>
      <c r="AD34" s="54">
        <f t="array" ref="AD34">IF(AC34&lt;&gt;"",IF(INDEX(techniques[detection rules for techique],MATCH(AC34,techniques[name],0))&gt;=1,INDEX(techniques[detection rules for techique],MATCH(AC34,techniques[name],0)),""),"")</f>
        <v/>
      </c>
    </row>
    <row r="35" ht="22.5" customHeight="1">
      <c r="A35" s="47" t="inlineStr">
        <is>
          <t>Digital Certificates (T1596.003)</t>
        </is>
      </c>
      <c r="B35" s="54">
        <f t="array" ref="B35">IF(A35&lt;&gt;"",IF(INDEX(techniques[detection rules for techique],MATCH(A35,techniques[name],0))&gt;=1,INDEX(techniques[detection rules for techique],MATCH(A35,techniques[name],0)),""),"")</f>
        <v/>
      </c>
      <c r="C35" s="47" t="inlineStr">
        <is>
          <t>Tool (T1588.002)</t>
        </is>
      </c>
      <c r="D35" s="54">
        <f t="array" ref="D35">IF(C35&lt;&gt;"",IF(INDEX(techniques[detection rules for techique],MATCH(C35,techniques[name],0))&gt;=1,INDEX(techniques[detection rules for techique],MATCH(C35,techniques[name],0)),""),"")</f>
        <v/>
      </c>
      <c r="E35" s="47" t="n"/>
      <c r="F35" s="54">
        <f t="array" ref="F35">IF(E35&lt;&gt;"",IF(INDEX(techniques[detection rules for techique],MATCH(E35,techniques[name],0))&gt;=1,INDEX(techniques[detection rules for techique],MATCH(E35,techniques[name],0)),""),"")</f>
        <v/>
      </c>
      <c r="G35" s="47" t="inlineStr">
        <is>
          <t>Malicious Image (T1204.003)</t>
        </is>
      </c>
      <c r="H35" s="54">
        <f t="array" ref="H35">IF(G35&lt;&gt;"",IF(INDEX(techniques[detection rules for techique],MATCH(G35,techniques[name],0))&gt;=1,INDEX(techniques[detection rules for techique],MATCH(G35,techniques[name],0)),""),"")</f>
        <v/>
      </c>
      <c r="I35" s="47" t="inlineStr">
        <is>
          <t>Office Test (T1137.002)</t>
        </is>
      </c>
      <c r="J35" s="54">
        <f t="array" ref="J35">IF(I35&lt;&gt;"",IF(INDEX(techniques[detection rules for techique],MATCH(I35,techniques[name],0))&gt;=1,INDEX(techniques[detection rules for techique],MATCH(I35,techniques[name],0)),""),"")</f>
        <v/>
      </c>
      <c r="K35" s="47" t="inlineStr">
        <is>
          <t>Additional Email Delegate Permissions (T1098.002)</t>
        </is>
      </c>
      <c r="L35" s="54">
        <f t="array" ref="L35">IF(K35&lt;&gt;"",IF(INDEX(techniques[detection rules for techique],MATCH(K35,techniques[name],0))&gt;=1,INDEX(techniques[detection rules for techique],MATCH(K35,techniques[name],0)),""),"")</f>
        <v/>
      </c>
      <c r="M35" s="47" t="inlineStr">
        <is>
          <t>Browser Fingerprint (T1036.012)</t>
        </is>
      </c>
      <c r="N35" s="54">
        <f t="array" ref="N35">IF(M35&lt;&gt;"",IF(INDEX(techniques[detection rules for techique],MATCH(M35,techniques[name],0))&gt;=1,INDEX(techniques[detection rules for techique],MATCH(M35,techniques[name],0)),""),"")</f>
        <v/>
      </c>
      <c r="O35" s="47" t="inlineStr">
        <is>
          <t>Weaken Encryption (T1600)</t>
        </is>
      </c>
      <c r="P35" s="54">
        <f t="array" ref="P35">IF(O35&lt;&gt;"",IF(INDEX(techniques[detection rules for techique],MATCH(O35,techniques[name],0))&gt;=1,INDEX(techniques[detection rules for techique],MATCH(O35,techniques[name],0)),""),"")</f>
        <v/>
      </c>
      <c r="Q35" s="47" t="inlineStr">
        <is>
          <t>Chat Messages (T1552.008)</t>
        </is>
      </c>
      <c r="R35" s="54">
        <f t="array" ref="R35">IF(Q35&lt;&gt;"",IF(INDEX(techniques[detection rules for techique],MATCH(Q35,techniques[name],0))&gt;=1,INDEX(techniques[detection rules for techique],MATCH(Q35,techniques[name],0)),""),"")</f>
        <v/>
      </c>
      <c r="S35" s="47" t="inlineStr">
        <is>
          <t>Software Discovery (T1518)</t>
        </is>
      </c>
      <c r="T35" s="54">
        <f t="array" ref="T35">IF(S35&lt;&gt;"",IF(INDEX(techniques[detection rules for techique],MATCH(S35,techniques[name],0))&gt;=1,INDEX(techniques[detection rules for techique],MATCH(S35,techniques[name],0)),""),"")</f>
        <v/>
      </c>
      <c r="U35" s="47" t="n"/>
      <c r="V35" s="54">
        <f t="array" ref="V35">IF(U35&lt;&gt;"",IF(INDEX(techniques[detection rules for techique],MATCH(U35,techniques[name],0))&gt;=1,INDEX(techniques[detection rules for techique],MATCH(U35,techniques[name],0)),""),"")</f>
        <v/>
      </c>
      <c r="W35" s="47" t="inlineStr">
        <is>
          <t>Evil Twin (T1557.004)</t>
        </is>
      </c>
      <c r="X35" s="54">
        <f t="array" ref="X35">IF(W35&lt;&gt;"",IF(INDEX(techniques[detection rules for techique],MATCH(W35,techniques[name],0))&gt;=1,INDEX(techniques[detection rules for techique],MATCH(W35,techniques[name],0)),""),"")</f>
        <v/>
      </c>
      <c r="Y35" s="47" t="inlineStr">
        <is>
          <t>Remote Access Hardware (T1219.003)</t>
        </is>
      </c>
      <c r="Z35" s="54">
        <f t="array" ref="Z35">IF(Y35&lt;&gt;"",IF(INDEX(techniques[detection rules for techique],MATCH(Y35,techniques[name],0))&gt;=1,INDEX(techniques[detection rules for techique],MATCH(Y35,techniques[name],0)),""),"")</f>
        <v/>
      </c>
      <c r="AA35" s="47" t="n"/>
      <c r="AB35" s="54">
        <f t="array" ref="AB35">IF(AA35&lt;&gt;"",IF(INDEX(techniques[detection rules for techique],MATCH(AA35,techniques[name],0))&gt;=1,INDEX(techniques[detection rules for techique],MATCH(AA35,techniques[name],0)),""),"")</f>
        <v/>
      </c>
      <c r="AC35" s="47" t="n"/>
      <c r="AD35" s="54">
        <f t="array" ref="AD35">IF(AC35&lt;&gt;"",IF(INDEX(techniques[detection rules for techique],MATCH(AC35,techniques[name],0))&gt;=1,INDEX(techniques[detection rules for techique],MATCH(AC35,techniques[name],0)),""),"")</f>
        <v/>
      </c>
    </row>
    <row r="36" ht="22.5" customHeight="1">
      <c r="A36" s="47" t="inlineStr">
        <is>
          <t>CDNs (T1596.004)</t>
        </is>
      </c>
      <c r="B36" s="54">
        <f t="array" ref="B36">IF(A36&lt;&gt;"",IF(INDEX(techniques[detection rules for techique],MATCH(A36,techniques[name],0))&gt;=1,INDEX(techniques[detection rules for techique],MATCH(A36,techniques[name],0)),""),"")</f>
        <v/>
      </c>
      <c r="C36" s="47" t="inlineStr">
        <is>
          <t>Code Signing Certificates (T1588.003)</t>
        </is>
      </c>
      <c r="D36" s="54">
        <f t="array" ref="D36">IF(C36&lt;&gt;"",IF(INDEX(techniques[detection rules for techique],MATCH(C36,techniques[name],0))&gt;=1,INDEX(techniques[detection rules for techique],MATCH(C36,techniques[name],0)),""),"")</f>
        <v/>
      </c>
      <c r="E36" s="47" t="n"/>
      <c r="F36" s="54">
        <f t="array" ref="F36">IF(E36&lt;&gt;"",IF(INDEX(techniques[detection rules for techique],MATCH(E36,techniques[name],0))&gt;=1,INDEX(techniques[detection rules for techique],MATCH(E36,techniques[name],0)),""),"")</f>
        <v/>
      </c>
      <c r="G36" s="47" t="inlineStr">
        <is>
          <t>Malicious Copy and Paste (T1204.004)</t>
        </is>
      </c>
      <c r="H36" s="54">
        <f t="array" ref="H36">IF(G36&lt;&gt;"",IF(INDEX(techniques[detection rules for techique],MATCH(G36,techniques[name],0))&gt;=1,INDEX(techniques[detection rules for techique],MATCH(G36,techniques[name],0)),""),"")</f>
        <v/>
      </c>
      <c r="I36" s="47" t="inlineStr">
        <is>
          <t>Outlook Forms (T1137.003)</t>
        </is>
      </c>
      <c r="J36" s="54">
        <f t="array" ref="J36">IF(I36&lt;&gt;"",IF(INDEX(techniques[detection rules for techique],MATCH(I36,techniques[name],0))&gt;=1,INDEX(techniques[detection rules for techique],MATCH(I36,techniques[name],0)),""),"")</f>
        <v/>
      </c>
      <c r="K36" s="47" t="inlineStr">
        <is>
          <t>Additional Cloud Roles (T1098.003)</t>
        </is>
      </c>
      <c r="L36" s="54">
        <f t="array" ref="L36">IF(K36&lt;&gt;"",IF(INDEX(techniques[detection rules for techique],MATCH(K36,techniques[name],0))&gt;=1,INDEX(techniques[detection rules for techique],MATCH(K36,techniques[name],0)),""),"")</f>
        <v/>
      </c>
      <c r="M36" s="47" t="inlineStr">
        <is>
          <t>Process Injection (T1055)</t>
        </is>
      </c>
      <c r="N36" s="54">
        <f t="array" ref="N36">IF(M36&lt;&gt;"",IF(INDEX(techniques[detection rules for techique],MATCH(M36,techniques[name],0))&gt;=1,INDEX(techniques[detection rules for techique],MATCH(M36,techniques[name],0)),""),"")</f>
        <v/>
      </c>
      <c r="O36" s="47" t="inlineStr">
        <is>
          <t>Reduce Key Space (T1600.001)</t>
        </is>
      </c>
      <c r="P36" s="54">
        <f t="array" ref="P36">IF(O36&lt;&gt;"",IF(INDEX(techniques[detection rules for techique],MATCH(O36,techniques[name],0))&gt;=1,INDEX(techniques[detection rules for techique],MATCH(O36,techniques[name],0)),""),"")</f>
        <v/>
      </c>
      <c r="Q36" s="47" t="inlineStr">
        <is>
          <t>Credentials from Password Stores (T1555)</t>
        </is>
      </c>
      <c r="R36" s="54">
        <f t="array" ref="R36">IF(Q36&lt;&gt;"",IF(INDEX(techniques[detection rules for techique],MATCH(Q36,techniques[name],0))&gt;=1,INDEX(techniques[detection rules for techique],MATCH(Q36,techniques[name],0)),""),"")</f>
        <v/>
      </c>
      <c r="S36" s="47" t="inlineStr">
        <is>
          <t>Security Software Discovery (T1518.001)</t>
        </is>
      </c>
      <c r="T36" s="54">
        <f t="array" ref="T36">IF(S36&lt;&gt;"",IF(INDEX(techniques[detection rules for techique],MATCH(S36,techniques[name],0))&gt;=1,INDEX(techniques[detection rules for techique],MATCH(S36,techniques[name],0)),""),"")</f>
        <v/>
      </c>
      <c r="U36" s="47" t="n"/>
      <c r="V36" s="54">
        <f t="array" ref="V36">IF(U36&lt;&gt;"",IF(INDEX(techniques[detection rules for techique],MATCH(U36,techniques[name],0))&gt;=1,INDEX(techniques[detection rules for techique],MATCH(U36,techniques[name],0)),""),"")</f>
        <v/>
      </c>
      <c r="W36" s="47" t="inlineStr">
        <is>
          <t>Archive Collected Data (T1560)</t>
        </is>
      </c>
      <c r="X36" s="54">
        <f t="array" ref="X36">IF(W36&lt;&gt;"",IF(INDEX(techniques[detection rules for techique],MATCH(W36,techniques[name],0))&gt;=1,INDEX(techniques[detection rules for techique],MATCH(W36,techniques[name],0)),""),"")</f>
        <v/>
      </c>
      <c r="Y36" s="47" t="inlineStr">
        <is>
          <t>Dynamic Resolution (T1568)</t>
        </is>
      </c>
      <c r="Z36" s="54">
        <f t="array" ref="Z36">IF(Y36&lt;&gt;"",IF(INDEX(techniques[detection rules for techique],MATCH(Y36,techniques[name],0))&gt;=1,INDEX(techniques[detection rules for techique],MATCH(Y36,techniques[name],0)),""),"")</f>
        <v/>
      </c>
      <c r="AA36" s="47" t="n"/>
      <c r="AB36" s="54">
        <f t="array" ref="AB36">IF(AA36&lt;&gt;"",IF(INDEX(techniques[detection rules for techique],MATCH(AA36,techniques[name],0))&gt;=1,INDEX(techniques[detection rules for techique],MATCH(AA36,techniques[name],0)),""),"")</f>
        <v/>
      </c>
      <c r="AC36" s="47" t="n"/>
      <c r="AD36" s="54">
        <f t="array" ref="AD36">IF(AC36&lt;&gt;"",IF(INDEX(techniques[detection rules for techique],MATCH(AC36,techniques[name],0))&gt;=1,INDEX(techniques[detection rules for techique],MATCH(AC36,techniques[name],0)),""),"")</f>
        <v/>
      </c>
    </row>
    <row r="37" ht="33.75" customHeight="1">
      <c r="A37" s="47" t="inlineStr">
        <is>
          <t>Scan Databases (T1596.005)</t>
        </is>
      </c>
      <c r="B37" s="54">
        <f t="array" ref="B37">IF(A37&lt;&gt;"",IF(INDEX(techniques[detection rules for techique],MATCH(A37,techniques[name],0))&gt;=1,INDEX(techniques[detection rules for techique],MATCH(A37,techniques[name],0)),""),"")</f>
        <v/>
      </c>
      <c r="C37" s="47" t="inlineStr">
        <is>
          <t>Digital Certificates (T1588.004)</t>
        </is>
      </c>
      <c r="D37" s="54">
        <f t="array" ref="D37">IF(C37&lt;&gt;"",IF(INDEX(techniques[detection rules for techique],MATCH(C37,techniques[name],0))&gt;=1,INDEX(techniques[detection rules for techique],MATCH(C37,techniques[name],0)),""),"")</f>
        <v/>
      </c>
      <c r="E37" s="47" t="n"/>
      <c r="F37" s="54">
        <f t="array" ref="F37">IF(E37&lt;&gt;"",IF(INDEX(techniques[detection rules for techique],MATCH(E37,techniques[name],0))&gt;=1,INDEX(techniques[detection rules for techique],MATCH(E37,techniques[name],0)),""),"")</f>
        <v/>
      </c>
      <c r="G37" s="47" t="inlineStr">
        <is>
          <t>Malicious Library (T1204.005)</t>
        </is>
      </c>
      <c r="H37" s="54">
        <f t="array" ref="H37">IF(G37&lt;&gt;"",IF(INDEX(techniques[detection rules for techique],MATCH(G37,techniques[name],0))&gt;=1,INDEX(techniques[detection rules for techique],MATCH(G37,techniques[name],0)),""),"")</f>
        <v/>
      </c>
      <c r="I37" s="47" t="inlineStr">
        <is>
          <t>Outlook Home Page (T1137.004)</t>
        </is>
      </c>
      <c r="J37" s="54">
        <f t="array" ref="J37">IF(I37&lt;&gt;"",IF(INDEX(techniques[detection rules for techique],MATCH(I37,techniques[name],0))&gt;=1,INDEX(techniques[detection rules for techique],MATCH(I37,techniques[name],0)),""),"")</f>
        <v/>
      </c>
      <c r="K37" s="47" t="inlineStr">
        <is>
          <t>SSH Authorized Keys (T1098.004)</t>
        </is>
      </c>
      <c r="L37" s="54">
        <f t="array" ref="L37">IF(K37&lt;&gt;"",IF(INDEX(techniques[detection rules for techique],MATCH(K37,techniques[name],0))&gt;=1,INDEX(techniques[detection rules for techique],MATCH(K37,techniques[name],0)),""),"")</f>
        <v/>
      </c>
      <c r="M37" s="47" t="inlineStr">
        <is>
          <t>Dynamic-link Library Injection (T1055.001)</t>
        </is>
      </c>
      <c r="N37" s="54">
        <f t="array" ref="N37">IF(M37&lt;&gt;"",IF(INDEX(techniques[detection rules for techique],MATCH(M37,techniques[name],0))&gt;=1,INDEX(techniques[detection rules for techique],MATCH(M37,techniques[name],0)),""),"")</f>
        <v/>
      </c>
      <c r="O37" s="47" t="inlineStr">
        <is>
          <t>Disable Crypto Hardware (T1600.002)</t>
        </is>
      </c>
      <c r="P37" s="54">
        <f t="array" ref="P37">IF(O37&lt;&gt;"",IF(INDEX(techniques[detection rules for techique],MATCH(O37,techniques[name],0))&gt;=1,INDEX(techniques[detection rules for techique],MATCH(O37,techniques[name],0)),""),"")</f>
        <v/>
      </c>
      <c r="Q37" s="47" t="inlineStr">
        <is>
          <t>Keychain (T1555.001)</t>
        </is>
      </c>
      <c r="R37" s="54">
        <f t="array" ref="R37">IF(Q37&lt;&gt;"",IF(INDEX(techniques[detection rules for techique],MATCH(Q37,techniques[name],0))&gt;=1,INDEX(techniques[detection rules for techique],MATCH(Q37,techniques[name],0)),""),"")</f>
        <v/>
      </c>
      <c r="S37" s="47" t="inlineStr">
        <is>
          <t>Backup Software Discovery (T1518.002)</t>
        </is>
      </c>
      <c r="T37" s="54">
        <f t="array" ref="T37">IF(S37&lt;&gt;"",IF(INDEX(techniques[detection rules for techique],MATCH(S37,techniques[name],0))&gt;=1,INDEX(techniques[detection rules for techique],MATCH(S37,techniques[name],0)),""),"")</f>
        <v/>
      </c>
      <c r="U37" s="47" t="n"/>
      <c r="V37" s="54">
        <f t="array" ref="V37">IF(U37&lt;&gt;"",IF(INDEX(techniques[detection rules for techique],MATCH(U37,techniques[name],0))&gt;=1,INDEX(techniques[detection rules for techique],MATCH(U37,techniques[name],0)),""),"")</f>
        <v/>
      </c>
      <c r="W37" s="47" t="inlineStr">
        <is>
          <t>Archive via Utility (T1560.001)</t>
        </is>
      </c>
      <c r="X37" s="54">
        <f t="array" ref="X37">IF(W37&lt;&gt;"",IF(INDEX(techniques[detection rules for techique],MATCH(W37,techniques[name],0))&gt;=1,INDEX(techniques[detection rules for techique],MATCH(W37,techniques[name],0)),""),"")</f>
        <v/>
      </c>
      <c r="Y37" s="47" t="inlineStr">
        <is>
          <t>Fast Flux DNS (T1568.001)</t>
        </is>
      </c>
      <c r="Z37" s="54">
        <f t="array" ref="Z37">IF(Y37&lt;&gt;"",IF(INDEX(techniques[detection rules for techique],MATCH(Y37,techniques[name],0))&gt;=1,INDEX(techniques[detection rules for techique],MATCH(Y37,techniques[name],0)),""),"")</f>
        <v/>
      </c>
      <c r="AA37" s="47" t="n"/>
      <c r="AB37" s="54">
        <f t="array" ref="AB37">IF(AA37&lt;&gt;"",IF(INDEX(techniques[detection rules for techique],MATCH(AA37,techniques[name],0))&gt;=1,INDEX(techniques[detection rules for techique],MATCH(AA37,techniques[name],0)),""),"")</f>
        <v/>
      </c>
      <c r="AC37" s="47" t="n"/>
      <c r="AD37" s="54">
        <f t="array" ref="AD37">IF(AC37&lt;&gt;"",IF(INDEX(techniques[detection rules for techique],MATCH(AC37,techniques[name],0))&gt;=1,INDEX(techniques[detection rules for techique],MATCH(AC37,techniques[name],0)),""),"")</f>
        <v/>
      </c>
    </row>
    <row r="38" ht="22.5" customHeight="1">
      <c r="A38" s="47" t="inlineStr">
        <is>
          <t>Search Closed Sources (T1597)</t>
        </is>
      </c>
      <c r="B38" s="54">
        <f t="array" ref="B38">IF(A38&lt;&gt;"",IF(INDEX(techniques[detection rules for techique],MATCH(A38,techniques[name],0))&gt;=1,INDEX(techniques[detection rules for techique],MATCH(A38,techniques[name],0)),""),"")</f>
        <v/>
      </c>
      <c r="C38" s="47" t="inlineStr">
        <is>
          <t>Exploits (T1588.005)</t>
        </is>
      </c>
      <c r="D38" s="54">
        <f t="array" ref="D38">IF(C38&lt;&gt;"",IF(INDEX(techniques[detection rules for techique],MATCH(C38,techniques[name],0))&gt;=1,INDEX(techniques[detection rules for techique],MATCH(C38,techniques[name],0)),""),"")</f>
        <v/>
      </c>
      <c r="E38" s="47" t="n"/>
      <c r="F38" s="54">
        <f t="array" ref="F38">IF(E38&lt;&gt;"",IF(INDEX(techniques[detection rules for techique],MATCH(E38,techniques[name],0))&gt;=1,INDEX(techniques[detection rules for techique],MATCH(E38,techniques[name],0)),""),"")</f>
        <v/>
      </c>
      <c r="G38" s="47" t="inlineStr">
        <is>
          <t>Inter-Process Communication (T1559)</t>
        </is>
      </c>
      <c r="H38" s="54">
        <f t="array" ref="H38">IF(G38&lt;&gt;"",IF(INDEX(techniques[detection rules for techique],MATCH(G38,techniques[name],0))&gt;=1,INDEX(techniques[detection rules for techique],MATCH(G38,techniques[name],0)),""),"")</f>
        <v/>
      </c>
      <c r="I38" s="47" t="inlineStr">
        <is>
          <t>Outlook Rules (T1137.005)</t>
        </is>
      </c>
      <c r="J38" s="54">
        <f t="array" ref="J38">IF(I38&lt;&gt;"",IF(INDEX(techniques[detection rules for techique],MATCH(I38,techniques[name],0))&gt;=1,INDEX(techniques[detection rules for techique],MATCH(I38,techniques[name],0)),""),"")</f>
        <v/>
      </c>
      <c r="K38" s="47" t="inlineStr">
        <is>
          <t>Device Registration (T1098.005)</t>
        </is>
      </c>
      <c r="L38" s="54">
        <f t="array" ref="L38">IF(K38&lt;&gt;"",IF(INDEX(techniques[detection rules for techique],MATCH(K38,techniques[name],0))&gt;=1,INDEX(techniques[detection rules for techique],MATCH(K38,techniques[name],0)),""),"")</f>
        <v/>
      </c>
      <c r="M38" s="47" t="inlineStr">
        <is>
          <t>Portable Executable Injection (T1055.002)</t>
        </is>
      </c>
      <c r="N38" s="54">
        <f t="array" ref="N38">IF(M38&lt;&gt;"",IF(INDEX(techniques[detection rules for techique],MATCH(M38,techniques[name],0))&gt;=1,INDEX(techniques[detection rules for techique],MATCH(M38,techniques[name],0)),""),"")</f>
        <v/>
      </c>
      <c r="O38" s="47" t="inlineStr">
        <is>
          <t>Modify System Image (T1601)</t>
        </is>
      </c>
      <c r="P38" s="54">
        <f t="array" ref="P38">IF(O38&lt;&gt;"",IF(INDEX(techniques[detection rules for techique],MATCH(O38,techniques[name],0))&gt;=1,INDEX(techniques[detection rules for techique],MATCH(O38,techniques[name],0)),""),"")</f>
        <v/>
      </c>
      <c r="Q38" s="47" t="inlineStr">
        <is>
          <t>Securityd Memory (T1555.002)</t>
        </is>
      </c>
      <c r="R38" s="54">
        <f t="array" ref="R38">IF(Q38&lt;&gt;"",IF(INDEX(techniques[detection rules for techique],MATCH(Q38,techniques[name],0))&gt;=1,INDEX(techniques[detection rules for techique],MATCH(Q38,techniques[name],0)),""),"")</f>
        <v/>
      </c>
      <c r="S38" s="47" t="inlineStr">
        <is>
          <t>Cloud Service Discovery (T1526)</t>
        </is>
      </c>
      <c r="T38" s="54">
        <f t="array" ref="T38">IF(S38&lt;&gt;"",IF(INDEX(techniques[detection rules for techique],MATCH(S38,techniques[name],0))&gt;=1,INDEX(techniques[detection rules for techique],MATCH(S38,techniques[name],0)),""),"")</f>
        <v/>
      </c>
      <c r="U38" s="47" t="n"/>
      <c r="V38" s="54">
        <f t="array" ref="V38">IF(U38&lt;&gt;"",IF(INDEX(techniques[detection rules for techique],MATCH(U38,techniques[name],0))&gt;=1,INDEX(techniques[detection rules for techique],MATCH(U38,techniques[name],0)),""),"")</f>
        <v/>
      </c>
      <c r="W38" s="47" t="inlineStr">
        <is>
          <t>Archive via Library (T1560.002)</t>
        </is>
      </c>
      <c r="X38" s="54">
        <f t="array" ref="X38">IF(W38&lt;&gt;"",IF(INDEX(techniques[detection rules for techique],MATCH(W38,techniques[name],0))&gt;=1,INDEX(techniques[detection rules for techique],MATCH(W38,techniques[name],0)),""),"")</f>
        <v/>
      </c>
      <c r="Y38" s="47" t="inlineStr">
        <is>
          <t>Domain Generation Algorithms (T1568.002)</t>
        </is>
      </c>
      <c r="Z38" s="54">
        <f t="array" ref="Z38">IF(Y38&lt;&gt;"",IF(INDEX(techniques[detection rules for techique],MATCH(Y38,techniques[name],0))&gt;=1,INDEX(techniques[detection rules for techique],MATCH(Y38,techniques[name],0)),""),"")</f>
        <v/>
      </c>
      <c r="AA38" s="47" t="n"/>
      <c r="AB38" s="54">
        <f t="array" ref="AB38">IF(AA38&lt;&gt;"",IF(INDEX(techniques[detection rules for techique],MATCH(AA38,techniques[name],0))&gt;=1,INDEX(techniques[detection rules for techique],MATCH(AA38,techniques[name],0)),""),"")</f>
        <v/>
      </c>
      <c r="AC38" s="47" t="n"/>
      <c r="AD38" s="54">
        <f t="array" ref="AD38">IF(AC38&lt;&gt;"",IF(INDEX(techniques[detection rules for techique],MATCH(AC38,techniques[name],0))&gt;=1,INDEX(techniques[detection rules for techique],MATCH(AC38,techniques[name],0)),""),"")</f>
        <v/>
      </c>
    </row>
    <row r="39" ht="22.5" customHeight="1">
      <c r="A39" s="47" t="inlineStr">
        <is>
          <t>Threat Intel Vendors (T1597.001)</t>
        </is>
      </c>
      <c r="B39" s="54">
        <f t="array" ref="B39">IF(A39&lt;&gt;"",IF(INDEX(techniques[detection rules for techique],MATCH(A39,techniques[name],0))&gt;=1,INDEX(techniques[detection rules for techique],MATCH(A39,techniques[name],0)),""),"")</f>
        <v/>
      </c>
      <c r="C39" s="47" t="inlineStr">
        <is>
          <t>Vulnerabilities (T1588.006)</t>
        </is>
      </c>
      <c r="D39" s="54">
        <f t="array" ref="D39">IF(C39&lt;&gt;"",IF(INDEX(techniques[detection rules for techique],MATCH(C39,techniques[name],0))&gt;=1,INDEX(techniques[detection rules for techique],MATCH(C39,techniques[name],0)),""),"")</f>
        <v/>
      </c>
      <c r="E39" s="47" t="n"/>
      <c r="F39" s="54">
        <f t="array" ref="F39">IF(E39&lt;&gt;"",IF(INDEX(techniques[detection rules for techique],MATCH(E39,techniques[name],0))&gt;=1,INDEX(techniques[detection rules for techique],MATCH(E39,techniques[name],0)),""),"")</f>
        <v/>
      </c>
      <c r="G39" s="47" t="inlineStr">
        <is>
          <t>Component Object Model (T1559.001)</t>
        </is>
      </c>
      <c r="H39" s="54">
        <f t="array" ref="H39">IF(G39&lt;&gt;"",IF(INDEX(techniques[detection rules for techique],MATCH(G39,techniques[name],0))&gt;=1,INDEX(techniques[detection rules for techique],MATCH(G39,techniques[name],0)),""),"")</f>
        <v/>
      </c>
      <c r="I39" s="47" t="inlineStr">
        <is>
          <t>Add-ins (T1137.006)</t>
        </is>
      </c>
      <c r="J39" s="54">
        <f t="array" ref="J39">IF(I39&lt;&gt;"",IF(INDEX(techniques[detection rules for techique],MATCH(I39,techniques[name],0))&gt;=1,INDEX(techniques[detection rules for techique],MATCH(I39,techniques[name],0)),""),"")</f>
        <v/>
      </c>
      <c r="K39" s="47" t="inlineStr">
        <is>
          <t>Additional Container Cluster Roles (T1098.006)</t>
        </is>
      </c>
      <c r="L39" s="54">
        <f t="array" ref="L39">IF(K39&lt;&gt;"",IF(INDEX(techniques[detection rules for techique],MATCH(K39,techniques[name],0))&gt;=1,INDEX(techniques[detection rules for techique],MATCH(K39,techniques[name],0)),""),"")</f>
        <v/>
      </c>
      <c r="M39" s="47" t="inlineStr">
        <is>
          <t>Thread Execution Hijacking (T1055.003)</t>
        </is>
      </c>
      <c r="N39" s="54">
        <f t="array" ref="N39">IF(M39&lt;&gt;"",IF(INDEX(techniques[detection rules for techique],MATCH(M39,techniques[name],0))&gt;=1,INDEX(techniques[detection rules for techique],MATCH(M39,techniques[name],0)),""),"")</f>
        <v/>
      </c>
      <c r="O39" s="47" t="inlineStr">
        <is>
          <t>Patch System Image (T1601.001)</t>
        </is>
      </c>
      <c r="P39" s="54">
        <f t="array" ref="P39">IF(O39&lt;&gt;"",IF(INDEX(techniques[detection rules for techique],MATCH(O39,techniques[name],0))&gt;=1,INDEX(techniques[detection rules for techique],MATCH(O39,techniques[name],0)),""),"")</f>
        <v/>
      </c>
      <c r="Q39" s="47" t="inlineStr">
        <is>
          <t>Credentials from Web Browsers (T1555.003)</t>
        </is>
      </c>
      <c r="R39" s="54">
        <f t="array" ref="R39">IF(Q39&lt;&gt;"",IF(INDEX(techniques[detection rules for techique],MATCH(Q39,techniques[name],0))&gt;=1,INDEX(techniques[detection rules for techique],MATCH(Q39,techniques[name],0)),""),"")</f>
        <v/>
      </c>
      <c r="S39" s="47" t="inlineStr">
        <is>
          <t>Cloud Service Dashboard (T1538)</t>
        </is>
      </c>
      <c r="T39" s="54">
        <f t="array" ref="T39">IF(S39&lt;&gt;"",IF(INDEX(techniques[detection rules for techique],MATCH(S39,techniques[name],0))&gt;=1,INDEX(techniques[detection rules for techique],MATCH(S39,techniques[name],0)),""),"")</f>
        <v/>
      </c>
      <c r="U39" s="47" t="n"/>
      <c r="V39" s="54">
        <f t="array" ref="V39">IF(U39&lt;&gt;"",IF(INDEX(techniques[detection rules for techique],MATCH(U39,techniques[name],0))&gt;=1,INDEX(techniques[detection rules for techique],MATCH(U39,techniques[name],0)),""),"")</f>
        <v/>
      </c>
      <c r="W39" s="47" t="inlineStr">
        <is>
          <t>Archive via Custom Method (T1560.003)</t>
        </is>
      </c>
      <c r="X39" s="54">
        <f t="array" ref="X39">IF(W39&lt;&gt;"",IF(INDEX(techniques[detection rules for techique],MATCH(W39,techniques[name],0))&gt;=1,INDEX(techniques[detection rules for techique],MATCH(W39,techniques[name],0)),""),"")</f>
        <v/>
      </c>
      <c r="Y39" s="47" t="inlineStr">
        <is>
          <t>DNS Calculation (T1568.003)</t>
        </is>
      </c>
      <c r="Z39" s="54">
        <f t="array" ref="Z39">IF(Y39&lt;&gt;"",IF(INDEX(techniques[detection rules for techique],MATCH(Y39,techniques[name],0))&gt;=1,INDEX(techniques[detection rules for techique],MATCH(Y39,techniques[name],0)),""),"")</f>
        <v/>
      </c>
      <c r="AA39" s="47" t="n"/>
      <c r="AB39" s="54">
        <f t="array" ref="AB39">IF(AA39&lt;&gt;"",IF(INDEX(techniques[detection rules for techique],MATCH(AA39,techniques[name],0))&gt;=1,INDEX(techniques[detection rules for techique],MATCH(AA39,techniques[name],0)),""),"")</f>
        <v/>
      </c>
      <c r="AC39" s="47" t="n"/>
      <c r="AD39" s="54">
        <f t="array" ref="AD39">IF(AC39&lt;&gt;"",IF(INDEX(techniques[detection rules for techique],MATCH(AC39,techniques[name],0))&gt;=1,INDEX(techniques[detection rules for techique],MATCH(AC39,techniques[name],0)),""),"")</f>
        <v/>
      </c>
    </row>
    <row r="40" ht="22.5" customHeight="1">
      <c r="A40" s="47" t="inlineStr">
        <is>
          <t>Purchase Technical Data (T1597.002)</t>
        </is>
      </c>
      <c r="B40" s="54">
        <f t="array" ref="B40">IF(A40&lt;&gt;"",IF(INDEX(techniques[detection rules for techique],MATCH(A40,techniques[name],0))&gt;=1,INDEX(techniques[detection rules for techique],MATCH(A40,techniques[name],0)),""),"")</f>
        <v/>
      </c>
      <c r="C40" s="47" t="inlineStr">
        <is>
          <t>Artificial Intelligence (T1588.007)</t>
        </is>
      </c>
      <c r="D40" s="54">
        <f t="array" ref="D40">IF(C40&lt;&gt;"",IF(INDEX(techniques[detection rules for techique],MATCH(C40,techniques[name],0))&gt;=1,INDEX(techniques[detection rules for techique],MATCH(C40,techniques[name],0)),""),"")</f>
        <v/>
      </c>
      <c r="E40" s="47" t="n"/>
      <c r="F40" s="54">
        <f t="array" ref="F40">IF(E40&lt;&gt;"",IF(INDEX(techniques[detection rules for techique],MATCH(E40,techniques[name],0))&gt;=1,INDEX(techniques[detection rules for techique],MATCH(E40,techniques[name],0)),""),"")</f>
        <v/>
      </c>
      <c r="G40" s="47" t="inlineStr">
        <is>
          <t>Dynamic Data Exchange (T1559.002)</t>
        </is>
      </c>
      <c r="H40" s="54">
        <f t="array" ref="H40">IF(G40&lt;&gt;"",IF(INDEX(techniques[detection rules for techique],MATCH(G40,techniques[name],0))&gt;=1,INDEX(techniques[detection rules for techique],MATCH(G40,techniques[name],0)),""),"")</f>
        <v/>
      </c>
      <c r="I40" s="47" t="inlineStr">
        <is>
          <t>Software Extensions (T1176)</t>
        </is>
      </c>
      <c r="J40" s="54">
        <f t="array" ref="J40">IF(I40&lt;&gt;"",IF(INDEX(techniques[detection rules for techique],MATCH(I40,techniques[name],0))&gt;=1,INDEX(techniques[detection rules for techique],MATCH(I40,techniques[name],0)),""),"")</f>
        <v/>
      </c>
      <c r="K40" s="47" t="inlineStr">
        <is>
          <t>Additional Local or Domain Groups (T1098.007)</t>
        </is>
      </c>
      <c r="L40" s="54">
        <f t="array" ref="L40">IF(K40&lt;&gt;"",IF(INDEX(techniques[detection rules for techique],MATCH(K40,techniques[name],0))&gt;=1,INDEX(techniques[detection rules for techique],MATCH(K40,techniques[name],0)),""),"")</f>
        <v/>
      </c>
      <c r="M40" s="47" t="inlineStr">
        <is>
          <t>Asynchronous Procedure Call (T1055.004)</t>
        </is>
      </c>
      <c r="N40" s="54">
        <f t="array" ref="N40">IF(M40&lt;&gt;"",IF(INDEX(techniques[detection rules for techique],MATCH(M40,techniques[name],0))&gt;=1,INDEX(techniques[detection rules for techique],MATCH(M40,techniques[name],0)),""),"")</f>
        <v/>
      </c>
      <c r="O40" s="47" t="inlineStr">
        <is>
          <t>Downgrade System Image (T1601.002)</t>
        </is>
      </c>
      <c r="P40" s="54">
        <f t="array" ref="P40">IF(O40&lt;&gt;"",IF(INDEX(techniques[detection rules for techique],MATCH(O40,techniques[name],0))&gt;=1,INDEX(techniques[detection rules for techique],MATCH(O40,techniques[name],0)),""),"")</f>
        <v/>
      </c>
      <c r="Q40" s="47" t="inlineStr">
        <is>
          <t>Windows Credential Manager (T1555.004)</t>
        </is>
      </c>
      <c r="R40" s="54">
        <f t="array" ref="R40">IF(Q40&lt;&gt;"",IF(INDEX(techniques[detection rules for techique],MATCH(Q40,techniques[name],0))&gt;=1,INDEX(techniques[detection rules for techique],MATCH(Q40,techniques[name],0)),""),"")</f>
        <v/>
      </c>
      <c r="S40" s="47" t="inlineStr">
        <is>
          <t>Cloud Infrastructure Discovery (T1580)</t>
        </is>
      </c>
      <c r="T40" s="54">
        <f t="array" ref="T40">IF(S40&lt;&gt;"",IF(INDEX(techniques[detection rules for techique],MATCH(S40,techniques[name],0))&gt;=1,INDEX(techniques[detection rules for techique],MATCH(S40,techniques[name],0)),""),"")</f>
        <v/>
      </c>
      <c r="U40" s="47" t="n"/>
      <c r="V40" s="54">
        <f t="array" ref="V40">IF(U40&lt;&gt;"",IF(INDEX(techniques[detection rules for techique],MATCH(U40,techniques[name],0))&gt;=1,INDEX(techniques[detection rules for techique],MATCH(U40,techniques[name],0)),""),"")</f>
        <v/>
      </c>
      <c r="W40" s="47" t="inlineStr">
        <is>
          <t>Data from Configuration Repository (T1602)</t>
        </is>
      </c>
      <c r="X40" s="54">
        <f t="array" ref="X40">IF(W40&lt;&gt;"",IF(INDEX(techniques[detection rules for techique],MATCH(W40,techniques[name],0))&gt;=1,INDEX(techniques[detection rules for techique],MATCH(W40,techniques[name],0)),""),"")</f>
        <v/>
      </c>
      <c r="Y40" s="47" t="inlineStr">
        <is>
          <t>Non-Standard Port (T1571)</t>
        </is>
      </c>
      <c r="Z40" s="54">
        <f t="array" ref="Z40">IF(Y40&lt;&gt;"",IF(INDEX(techniques[detection rules for techique],MATCH(Y40,techniques[name],0))&gt;=1,INDEX(techniques[detection rules for techique],MATCH(Y40,techniques[name],0)),""),"")</f>
        <v/>
      </c>
      <c r="AA40" s="47" t="n"/>
      <c r="AB40" s="54">
        <f t="array" ref="AB40">IF(AA40&lt;&gt;"",IF(INDEX(techniques[detection rules for techique],MATCH(AA40,techniques[name],0))&gt;=1,INDEX(techniques[detection rules for techique],MATCH(AA40,techniques[name],0)),""),"")</f>
        <v/>
      </c>
      <c r="AC40" s="47" t="n"/>
      <c r="AD40" s="54">
        <f t="array" ref="AD40">IF(AC40&lt;&gt;"",IF(INDEX(techniques[detection rules for techique],MATCH(AC40,techniques[name],0))&gt;=1,INDEX(techniques[detection rules for techique],MATCH(AC40,techniques[name],0)),""),"")</f>
        <v/>
      </c>
    </row>
    <row r="41" ht="22.5" customHeight="1">
      <c r="A41" s="47" t="inlineStr">
        <is>
          <t>Phishing for Information (T1598)</t>
        </is>
      </c>
      <c r="B41" s="54">
        <f t="array" ref="B41">IF(A41&lt;&gt;"",IF(INDEX(techniques[detection rules for techique],MATCH(A41,techniques[name],0))&gt;=1,INDEX(techniques[detection rules for techique],MATCH(A41,techniques[name],0)),""),"")</f>
        <v/>
      </c>
      <c r="C41" s="47" t="inlineStr">
        <is>
          <t>Stage Capabilities (T1608)</t>
        </is>
      </c>
      <c r="D41" s="54">
        <f t="array" ref="D41">IF(C41&lt;&gt;"",IF(INDEX(techniques[detection rules for techique],MATCH(C41,techniques[name],0))&gt;=1,INDEX(techniques[detection rules for techique],MATCH(C41,techniques[name],0)),""),"")</f>
        <v/>
      </c>
      <c r="E41" s="47" t="n"/>
      <c r="F41" s="54">
        <f t="array" ref="F41">IF(E41&lt;&gt;"",IF(INDEX(techniques[detection rules for techique],MATCH(E41,techniques[name],0))&gt;=1,INDEX(techniques[detection rules for techique],MATCH(E41,techniques[name],0)),""),"")</f>
        <v/>
      </c>
      <c r="G41" s="47" t="inlineStr">
        <is>
          <t>XPC Services (T1559.003)</t>
        </is>
      </c>
      <c r="H41" s="54">
        <f t="array" ref="H41">IF(G41&lt;&gt;"",IF(INDEX(techniques[detection rules for techique],MATCH(G41,techniques[name],0))&gt;=1,INDEX(techniques[detection rules for techique],MATCH(G41,techniques[name],0)),""),"")</f>
        <v/>
      </c>
      <c r="I41" s="47" t="inlineStr">
        <is>
          <t>Browser Extensions (T1176.001)</t>
        </is>
      </c>
      <c r="J41" s="54">
        <f t="array" ref="J41">IF(I41&lt;&gt;"",IF(INDEX(techniques[detection rules for techique],MATCH(I41,techniques[name],0))&gt;=1,INDEX(techniques[detection rules for techique],MATCH(I41,techniques[name],0)),""),"")</f>
        <v/>
      </c>
      <c r="K41" s="47" t="inlineStr">
        <is>
          <t>Access Token Manipulation (T1134)</t>
        </is>
      </c>
      <c r="L41" s="54">
        <f t="array" ref="L41">IF(K41&lt;&gt;"",IF(INDEX(techniques[detection rules for techique],MATCH(K41,techniques[name],0))&gt;=1,INDEX(techniques[detection rules for techique],MATCH(K41,techniques[name],0)),""),"")</f>
        <v/>
      </c>
      <c r="M41" s="47" t="inlineStr">
        <is>
          <t>Thread Local Storage (T1055.005)</t>
        </is>
      </c>
      <c r="N41" s="54">
        <f t="array" ref="N41">IF(M41&lt;&gt;"",IF(INDEX(techniques[detection rules for techique],MATCH(M41,techniques[name],0))&gt;=1,INDEX(techniques[detection rules for techique],MATCH(M41,techniques[name],0)),""),"")</f>
        <v/>
      </c>
      <c r="O41" s="47" t="inlineStr">
        <is>
          <t>Plist File Modification (T1647)</t>
        </is>
      </c>
      <c r="P41" s="54">
        <f t="array" ref="P41">IF(O41&lt;&gt;"",IF(INDEX(techniques[detection rules for techique],MATCH(O41,techniques[name],0))&gt;=1,INDEX(techniques[detection rules for techique],MATCH(O41,techniques[name],0)),""),"")</f>
        <v/>
      </c>
      <c r="Q41" s="47" t="inlineStr">
        <is>
          <t>Password Managers (T1555.005)</t>
        </is>
      </c>
      <c r="R41" s="54">
        <f t="array" ref="R41">IF(Q41&lt;&gt;"",IF(INDEX(techniques[detection rules for techique],MATCH(Q41,techniques[name],0))&gt;=1,INDEX(techniques[detection rules for techique],MATCH(Q41,techniques[name],0)),""),"")</f>
        <v/>
      </c>
      <c r="S41" s="47" t="inlineStr">
        <is>
          <t>Container and Resource Discovery (T1613)</t>
        </is>
      </c>
      <c r="T41" s="54">
        <f t="array" ref="T41">IF(S41&lt;&gt;"",IF(INDEX(techniques[detection rules for techique],MATCH(S41,techniques[name],0))&gt;=1,INDEX(techniques[detection rules for techique],MATCH(S41,techniques[name],0)),""),"")</f>
        <v/>
      </c>
      <c r="U41" s="47" t="n"/>
      <c r="V41" s="54">
        <f t="array" ref="V41">IF(U41&lt;&gt;"",IF(INDEX(techniques[detection rules for techique],MATCH(U41,techniques[name],0))&gt;=1,INDEX(techniques[detection rules for techique],MATCH(U41,techniques[name],0)),""),"")</f>
        <v/>
      </c>
      <c r="W41" s="47" t="inlineStr">
        <is>
          <t>SNMP (MIB Dump) (T1602.001)</t>
        </is>
      </c>
      <c r="X41" s="54">
        <f t="array" ref="X41">IF(W41&lt;&gt;"",IF(INDEX(techniques[detection rules for techique],MATCH(W41,techniques[name],0))&gt;=1,INDEX(techniques[detection rules for techique],MATCH(W41,techniques[name],0)),""),"")</f>
        <v/>
      </c>
      <c r="Y41" s="47" t="inlineStr">
        <is>
          <t>Protocol Tunneling (T1572)</t>
        </is>
      </c>
      <c r="Z41" s="54">
        <f t="array" ref="Z41">IF(Y41&lt;&gt;"",IF(INDEX(techniques[detection rules for techique],MATCH(Y41,techniques[name],0))&gt;=1,INDEX(techniques[detection rules for techique],MATCH(Y41,techniques[name],0)),""),"")</f>
        <v/>
      </c>
      <c r="AA41" s="47" t="n"/>
      <c r="AB41" s="54">
        <f t="array" ref="AB41">IF(AA41&lt;&gt;"",IF(INDEX(techniques[detection rules for techique],MATCH(AA41,techniques[name],0))&gt;=1,INDEX(techniques[detection rules for techique],MATCH(AA41,techniques[name],0)),""),"")</f>
        <v/>
      </c>
      <c r="AC41" s="47" t="n"/>
      <c r="AD41" s="54">
        <f t="array" ref="AD41">IF(AC41&lt;&gt;"",IF(INDEX(techniques[detection rules for techique],MATCH(AC41,techniques[name],0))&gt;=1,INDEX(techniques[detection rules for techique],MATCH(AC41,techniques[name],0)),""),"")</f>
        <v/>
      </c>
    </row>
    <row r="42" ht="22.5" customHeight="1">
      <c r="A42" s="47" t="inlineStr">
        <is>
          <t>Spearphishing Service (T1598.001)</t>
        </is>
      </c>
      <c r="B42" s="54">
        <f t="array" ref="B42">IF(A42&lt;&gt;"",IF(INDEX(techniques[detection rules for techique],MATCH(A42,techniques[name],0))&gt;=1,INDEX(techniques[detection rules for techique],MATCH(A42,techniques[name],0)),""),"")</f>
        <v/>
      </c>
      <c r="C42" s="47" t="inlineStr">
        <is>
          <t>Upload Malware (T1608.001)</t>
        </is>
      </c>
      <c r="D42" s="54">
        <f t="array" ref="D42">IF(C42&lt;&gt;"",IF(INDEX(techniques[detection rules for techique],MATCH(C42,techniques[name],0))&gt;=1,INDEX(techniques[detection rules for techique],MATCH(C42,techniques[name],0)),""),"")</f>
        <v/>
      </c>
      <c r="E42" s="47" t="n"/>
      <c r="F42" s="54">
        <f t="array" ref="F42">IF(E42&lt;&gt;"",IF(INDEX(techniques[detection rules for techique],MATCH(E42,techniques[name],0))&gt;=1,INDEX(techniques[detection rules for techique],MATCH(E42,techniques[name],0)),""),"")</f>
        <v/>
      </c>
      <c r="G42" s="47" t="inlineStr">
        <is>
          <t>System Services (T1569)</t>
        </is>
      </c>
      <c r="H42" s="54">
        <f t="array" ref="H42">IF(G42&lt;&gt;"",IF(INDEX(techniques[detection rules for techique],MATCH(G42,techniques[name],0))&gt;=1,INDEX(techniques[detection rules for techique],MATCH(G42,techniques[name],0)),""),"")</f>
        <v/>
      </c>
      <c r="I42" s="47" t="inlineStr">
        <is>
          <t>IDE Extensions (T1176.002)</t>
        </is>
      </c>
      <c r="J42" s="54">
        <f t="array" ref="J42">IF(I42&lt;&gt;"",IF(INDEX(techniques[detection rules for techique],MATCH(I42,techniques[name],0))&gt;=1,INDEX(techniques[detection rules for techique],MATCH(I42,techniques[name],0)),""),"")</f>
        <v/>
      </c>
      <c r="K42" s="47" t="inlineStr">
        <is>
          <t>Token Impersonation/Theft (T1134.001)</t>
        </is>
      </c>
      <c r="L42" s="54">
        <f t="array" ref="L42">IF(K42&lt;&gt;"",IF(INDEX(techniques[detection rules for techique],MATCH(K42,techniques[name],0))&gt;=1,INDEX(techniques[detection rules for techique],MATCH(K42,techniques[name],0)),""),"")</f>
        <v/>
      </c>
      <c r="M42" s="47" t="inlineStr">
        <is>
          <t>Ptrace System Calls (T1055.008)</t>
        </is>
      </c>
      <c r="N42" s="54">
        <f t="array" ref="N42">IF(M42&lt;&gt;"",IF(INDEX(techniques[detection rules for techique],MATCH(M42,techniques[name],0))&gt;=1,INDEX(techniques[detection rules for techique],MATCH(M42,techniques[name],0)),""),"")</f>
        <v/>
      </c>
      <c r="O42" s="47" t="inlineStr">
        <is>
          <t>Modify Cloud Resource Hierarchy (T1666)</t>
        </is>
      </c>
      <c r="P42" s="54">
        <f t="array" ref="P42">IF(O42&lt;&gt;"",IF(INDEX(techniques[detection rules for techique],MATCH(O42,techniques[name],0))&gt;=1,INDEX(techniques[detection rules for techique],MATCH(O42,techniques[name],0)),""),"")</f>
        <v/>
      </c>
      <c r="Q42" s="47" t="inlineStr">
        <is>
          <t>Cloud Secrets Management Stores (T1555.006)</t>
        </is>
      </c>
      <c r="R42" s="54">
        <f t="array" ref="R42">IF(Q42&lt;&gt;"",IF(INDEX(techniques[detection rules for techique],MATCH(Q42,techniques[name],0))&gt;=1,INDEX(techniques[detection rules for techique],MATCH(Q42,techniques[name],0)),""),"")</f>
        <v/>
      </c>
      <c r="S42" s="47" t="inlineStr">
        <is>
          <t>System Location Discovery (T1614)</t>
        </is>
      </c>
      <c r="T42" s="54">
        <f t="array" ref="T42">IF(S42&lt;&gt;"",IF(INDEX(techniques[detection rules for techique],MATCH(S42,techniques[name],0))&gt;=1,INDEX(techniques[detection rules for techique],MATCH(S42,techniques[name],0)),""),"")</f>
        <v/>
      </c>
      <c r="U42" s="47" t="n"/>
      <c r="V42" s="54">
        <f t="array" ref="V42">IF(U42&lt;&gt;"",IF(INDEX(techniques[detection rules for techique],MATCH(U42,techniques[name],0))&gt;=1,INDEX(techniques[detection rules for techique],MATCH(U42,techniques[name],0)),""),"")</f>
        <v/>
      </c>
      <c r="W42" s="47" t="inlineStr">
        <is>
          <t>Network Device Configuration Dump (T1602.002)</t>
        </is>
      </c>
      <c r="X42" s="54">
        <f t="array" ref="X42">IF(W42&lt;&gt;"",IF(INDEX(techniques[detection rules for techique],MATCH(W42,techniques[name],0))&gt;=1,INDEX(techniques[detection rules for techique],MATCH(W42,techniques[name],0)),""),"")</f>
        <v/>
      </c>
      <c r="Y42" s="47" t="inlineStr">
        <is>
          <t>Encrypted Channel (T1573)</t>
        </is>
      </c>
      <c r="Z42" s="54">
        <f t="array" ref="Z42">IF(Y42&lt;&gt;"",IF(INDEX(techniques[detection rules for techique],MATCH(Y42,techniques[name],0))&gt;=1,INDEX(techniques[detection rules for techique],MATCH(Y42,techniques[name],0)),""),"")</f>
        <v/>
      </c>
      <c r="AA42" s="47" t="n"/>
      <c r="AB42" s="54">
        <f t="array" ref="AB42">IF(AA42&lt;&gt;"",IF(INDEX(techniques[detection rules for techique],MATCH(AA42,techniques[name],0))&gt;=1,INDEX(techniques[detection rules for techique],MATCH(AA42,techniques[name],0)),""),"")</f>
        <v/>
      </c>
      <c r="AC42" s="47" t="n"/>
      <c r="AD42" s="54">
        <f t="array" ref="AD42">IF(AC42&lt;&gt;"",IF(INDEX(techniques[detection rules for techique],MATCH(AC42,techniques[name],0))&gt;=1,INDEX(techniques[detection rules for techique],MATCH(AC42,techniques[name],0)),""),"")</f>
        <v/>
      </c>
    </row>
    <row r="43" ht="22.5" customHeight="1">
      <c r="A43" s="45" t="inlineStr">
        <is>
          <t>Spearphishing Attachment (T1598.002)</t>
        </is>
      </c>
      <c r="B43" s="54">
        <f t="array" ref="B43">IF(A43&lt;&gt;"",IF(INDEX(techniques[detection rules for techique],MATCH(A43,techniques[name],0))&gt;=1,INDEX(techniques[detection rules for techique],MATCH(A43,techniques[name],0)),""),"")</f>
        <v/>
      </c>
      <c r="C43" s="45" t="inlineStr">
        <is>
          <t>Upload Tool (T1608.002)</t>
        </is>
      </c>
      <c r="D43" s="54">
        <f t="array" ref="D43">IF(C43&lt;&gt;"",IF(INDEX(techniques[detection rules for techique],MATCH(C43,techniques[name],0))&gt;=1,INDEX(techniques[detection rules for techique],MATCH(C43,techniques[name],0)),""),"")</f>
        <v/>
      </c>
      <c r="E43" s="45" t="n"/>
      <c r="F43" s="54">
        <f t="array" ref="F43">IF(E43&lt;&gt;"",IF(INDEX(techniques[detection rules for techique],MATCH(E43,techniques[name],0))&gt;=1,INDEX(techniques[detection rules for techique],MATCH(E43,techniques[name],0)),""),"")</f>
        <v/>
      </c>
      <c r="G43" s="45" t="inlineStr">
        <is>
          <t>Launchctl (T1569.001)</t>
        </is>
      </c>
      <c r="H43" s="54">
        <f t="array" ref="H43">IF(G43&lt;&gt;"",IF(INDEX(techniques[detection rules for techique],MATCH(G43,techniques[name],0))&gt;=1,INDEX(techniques[detection rules for techique],MATCH(G43,techniques[name],0)),""),"")</f>
        <v/>
      </c>
      <c r="I43" s="45" t="inlineStr">
        <is>
          <t>BITS Jobs (T1197)</t>
        </is>
      </c>
      <c r="J43" s="54">
        <f t="array" ref="J43">IF(I43&lt;&gt;"",IF(INDEX(techniques[detection rules for techique],MATCH(I43,techniques[name],0))&gt;=1,INDEX(techniques[detection rules for techique],MATCH(I43,techniques[name],0)),""),"")</f>
        <v/>
      </c>
      <c r="K43" s="45" t="inlineStr">
        <is>
          <t>Create Process with Token (T1134.002)</t>
        </is>
      </c>
      <c r="L43" s="54">
        <f t="array" ref="L43">IF(K43&lt;&gt;"",IF(INDEX(techniques[detection rules for techique],MATCH(K43,techniques[name],0))&gt;=1,INDEX(techniques[detection rules for techique],MATCH(K43,techniques[name],0)),""),"")</f>
        <v/>
      </c>
      <c r="M43" s="45" t="inlineStr">
        <is>
          <t>Proc Memory (T1055.009)</t>
        </is>
      </c>
      <c r="N43" s="54">
        <f t="array" ref="N43">IF(M43&lt;&gt;"",IF(INDEX(techniques[detection rules for techique],MATCH(M43,techniques[name],0))&gt;=1,INDEX(techniques[detection rules for techique],MATCH(M43,techniques[name],0)),""),"")</f>
        <v/>
      </c>
      <c r="O43" s="45" t="inlineStr">
        <is>
          <t>Disable or Modify Tools (T1685)</t>
        </is>
      </c>
      <c r="P43" s="54">
        <f t="array" ref="P43">IF(O43&lt;&gt;"",IF(INDEX(techniques[detection rules for techique],MATCH(O43,techniques[name],0))&gt;=1,INDEX(techniques[detection rules for techique],MATCH(O43,techniques[name],0)),""),"")</f>
        <v/>
      </c>
      <c r="Q43" s="45" t="inlineStr">
        <is>
          <t>Modify Authentication Process (T1556)</t>
        </is>
      </c>
      <c r="R43" s="54">
        <f t="array" ref="R43">IF(Q43&lt;&gt;"",IF(INDEX(techniques[detection rules for techique],MATCH(Q43,techniques[name],0))&gt;=1,INDEX(techniques[detection rules for techique],MATCH(Q43,techniques[name],0)),""),"")</f>
        <v/>
      </c>
      <c r="S43" s="45" t="inlineStr">
        <is>
          <t>System Language Discovery (T1614.001)</t>
        </is>
      </c>
      <c r="T43" s="54">
        <f t="array" ref="T43">IF(S43&lt;&gt;"",IF(INDEX(techniques[detection rules for techique],MATCH(S43,techniques[name],0))&gt;=1,INDEX(techniques[detection rules for techique],MATCH(S43,techniques[name],0)),""),"")</f>
        <v/>
      </c>
      <c r="U43" s="45" t="n"/>
      <c r="V43" s="54">
        <f t="array" ref="V43">IF(U43&lt;&gt;"",IF(INDEX(techniques[detection rules for techique],MATCH(U43,techniques[name],0))&gt;=1,INDEX(techniques[detection rules for techique],MATCH(U43,techniques[name],0)),""),"")</f>
        <v/>
      </c>
      <c r="W43" s="45" t="n"/>
      <c r="X43" s="54">
        <f t="array" ref="X43">IF(W43&lt;&gt;"",IF(INDEX(techniques[detection rules for techique],MATCH(W43,techniques[name],0))&gt;=1,INDEX(techniques[detection rules for techique],MATCH(W43,techniques[name],0)),""),"")</f>
        <v/>
      </c>
      <c r="Y43" s="45" t="inlineStr">
        <is>
          <t>Symmetric Cryptography (T1573.001)</t>
        </is>
      </c>
      <c r="Z43" s="54">
        <f t="array" ref="Z43">IF(Y43&lt;&gt;"",IF(INDEX(techniques[detection rules for techique],MATCH(Y43,techniques[name],0))&gt;=1,INDEX(techniques[detection rules for techique],MATCH(Y43,techniques[name],0)),""),"")</f>
        <v/>
      </c>
      <c r="AA43" s="45" t="n"/>
      <c r="AB43" s="54">
        <f t="array" ref="AB43">IF(AA43&lt;&gt;"",IF(INDEX(techniques[detection rules for techique],MATCH(AA43,techniques[name],0))&gt;=1,INDEX(techniques[detection rules for techique],MATCH(AA43,techniques[name],0)),""),"")</f>
        <v/>
      </c>
      <c r="AC43" s="45" t="n"/>
      <c r="AD43" s="54">
        <f t="array" ref="AD43">IF(AC43&lt;&gt;"",IF(INDEX(techniques[detection rules for techique],MATCH(AC43,techniques[name],0))&gt;=1,INDEX(techniques[detection rules for techique],MATCH(AC43,techniques[name],0)),""),"")</f>
        <v/>
      </c>
    </row>
    <row r="44" ht="22.5" customHeight="1">
      <c r="A44" s="45" t="inlineStr">
        <is>
          <t>Spearphishing Link (T1598.003)</t>
        </is>
      </c>
      <c r="B44" s="54">
        <f t="array" ref="B44">IF(A44&lt;&gt;"",IF(INDEX(techniques[detection rules for techique],MATCH(A44,techniques[name],0))&gt;=1,INDEX(techniques[detection rules for techique],MATCH(A44,techniques[name],0)),""),"")</f>
        <v/>
      </c>
      <c r="C44" s="45" t="inlineStr">
        <is>
          <t>Install Digital Certificate (T1608.003)</t>
        </is>
      </c>
      <c r="D44" s="54">
        <f t="array" ref="D44">IF(C44&lt;&gt;"",IF(INDEX(techniques[detection rules for techique],MATCH(C44,techniques[name],0))&gt;=1,INDEX(techniques[detection rules for techique],MATCH(C44,techniques[name],0)),""),"")</f>
        <v/>
      </c>
      <c r="E44" s="45" t="n"/>
      <c r="F44" s="54">
        <f t="array" ref="F44">IF(E44&lt;&gt;"",IF(INDEX(techniques[detection rules for techique],MATCH(E44,techniques[name],0))&gt;=1,INDEX(techniques[detection rules for techique],MATCH(E44,techniques[name],0)),""),"")</f>
        <v/>
      </c>
      <c r="G44" s="45" t="inlineStr">
        <is>
          <t>Service Execution (T1569.002)</t>
        </is>
      </c>
      <c r="H44" s="54">
        <f t="array" ref="H44">IF(G44&lt;&gt;"",IF(INDEX(techniques[detection rules for techique],MATCH(G44,techniques[name],0))&gt;=1,INDEX(techniques[detection rules for techique],MATCH(G44,techniques[name],0)),""),"")</f>
        <v/>
      </c>
      <c r="I44" s="45" t="inlineStr">
        <is>
          <t>Traffic Signaling (T1205)</t>
        </is>
      </c>
      <c r="J44" s="54">
        <f t="array" ref="J44">IF(I44&lt;&gt;"",IF(INDEX(techniques[detection rules for techique],MATCH(I44,techniques[name],0))&gt;=1,INDEX(techniques[detection rules for techique],MATCH(I44,techniques[name],0)),""),"")</f>
        <v/>
      </c>
      <c r="K44" s="45" t="inlineStr">
        <is>
          <t>Make and Impersonate Token (T1134.003)</t>
        </is>
      </c>
      <c r="L44" s="54">
        <f t="array" ref="L44">IF(K44&lt;&gt;"",IF(INDEX(techniques[detection rules for techique],MATCH(K44,techniques[name],0))&gt;=1,INDEX(techniques[detection rules for techique],MATCH(K44,techniques[name],0)),""),"")</f>
        <v/>
      </c>
      <c r="M44" s="45" t="inlineStr">
        <is>
          <t>Extra Window Memory Injection (T1055.011)</t>
        </is>
      </c>
      <c r="N44" s="54">
        <f t="array" ref="N44">IF(M44&lt;&gt;"",IF(INDEX(techniques[detection rules for techique],MATCH(M44,techniques[name],0))&gt;=1,INDEX(techniques[detection rules for techique],MATCH(M44,techniques[name],0)),""),"")</f>
        <v/>
      </c>
      <c r="O44" s="45" t="inlineStr">
        <is>
          <t>Disable or Modify Windows Event Log (T1685.001)</t>
        </is>
      </c>
      <c r="P44" s="54">
        <f t="array" ref="P44">IF(O44&lt;&gt;"",IF(INDEX(techniques[detection rules for techique],MATCH(O44,techniques[name],0))&gt;=1,INDEX(techniques[detection rules for techique],MATCH(O44,techniques[name],0)),""),"")</f>
        <v/>
      </c>
      <c r="Q44" s="45" t="inlineStr">
        <is>
          <t>Domain Controller Authentication (T1556.001)</t>
        </is>
      </c>
      <c r="R44" s="54">
        <f t="array" ref="R44">IF(Q44&lt;&gt;"",IF(INDEX(techniques[detection rules for techique],MATCH(Q44,techniques[name],0))&gt;=1,INDEX(techniques[detection rules for techique],MATCH(Q44,techniques[name],0)),""),"")</f>
        <v/>
      </c>
      <c r="S44" s="45" t="inlineStr">
        <is>
          <t>Group Policy Discovery (T1615)</t>
        </is>
      </c>
      <c r="T44" s="54">
        <f t="array" ref="T44">IF(S44&lt;&gt;"",IF(INDEX(techniques[detection rules for techique],MATCH(S44,techniques[name],0))&gt;=1,INDEX(techniques[detection rules for techique],MATCH(S44,techniques[name],0)),""),"")</f>
        <v/>
      </c>
      <c r="U44" s="45" t="n"/>
      <c r="V44" s="54">
        <f t="array" ref="V44">IF(U44&lt;&gt;"",IF(INDEX(techniques[detection rules for techique],MATCH(U44,techniques[name],0))&gt;=1,INDEX(techniques[detection rules for techique],MATCH(U44,techniques[name],0)),""),"")</f>
        <v/>
      </c>
      <c r="W44" s="45" t="n"/>
      <c r="X44" s="54">
        <f t="array" ref="X44">IF(W44&lt;&gt;"",IF(INDEX(techniques[detection rules for techique],MATCH(W44,techniques[name],0))&gt;=1,INDEX(techniques[detection rules for techique],MATCH(W44,techniques[name],0)),""),"")</f>
        <v/>
      </c>
      <c r="Y44" s="45" t="inlineStr">
        <is>
          <t>Asymmetric Cryptography (T1573.002)</t>
        </is>
      </c>
      <c r="Z44" s="54">
        <f t="array" ref="Z44">IF(Y44&lt;&gt;"",IF(INDEX(techniques[detection rules for techique],MATCH(Y44,techniques[name],0))&gt;=1,INDEX(techniques[detection rules for techique],MATCH(Y44,techniques[name],0)),""),"")</f>
        <v/>
      </c>
      <c r="AA44" s="45" t="n"/>
      <c r="AB44" s="54">
        <f t="array" ref="AB44">IF(AA44&lt;&gt;"",IF(INDEX(techniques[detection rules for techique],MATCH(AA44,techniques[name],0))&gt;=1,INDEX(techniques[detection rules for techique],MATCH(AA44,techniques[name],0)),""),"")</f>
        <v/>
      </c>
      <c r="AC44" s="45" t="n"/>
      <c r="AD44" s="54">
        <f t="array" ref="AD44">IF(AC44&lt;&gt;"",IF(INDEX(techniques[detection rules for techique],MATCH(AC44,techniques[name],0))&gt;=1,INDEX(techniques[detection rules for techique],MATCH(AC44,techniques[name],0)),""),"")</f>
        <v/>
      </c>
    </row>
    <row r="45" ht="22.5" customHeight="1">
      <c r="A45" s="45" t="inlineStr">
        <is>
          <t>Spearphishing Voice (T1598.004)</t>
        </is>
      </c>
      <c r="B45" s="54">
        <f t="array" ref="B45">IF(A45&lt;&gt;"",IF(INDEX(techniques[detection rules for techique],MATCH(A45,techniques[name],0))&gt;=1,INDEX(techniques[detection rules for techique],MATCH(A45,techniques[name],0)),""),"")</f>
        <v/>
      </c>
      <c r="C45" s="45" t="inlineStr">
        <is>
          <t>Drive-by Target (T1608.004)</t>
        </is>
      </c>
      <c r="D45" s="54">
        <f t="array" ref="D45">IF(C45&lt;&gt;"",IF(INDEX(techniques[detection rules for techique],MATCH(C45,techniques[name],0))&gt;=1,INDEX(techniques[detection rules for techique],MATCH(C45,techniques[name],0)),""),"")</f>
        <v/>
      </c>
      <c r="E45" s="45" t="n"/>
      <c r="F45" s="54">
        <f t="array" ref="F45">IF(E45&lt;&gt;"",IF(INDEX(techniques[detection rules for techique],MATCH(E45,techniques[name],0))&gt;=1,INDEX(techniques[detection rules for techique],MATCH(E45,techniques[name],0)),""),"")</f>
        <v/>
      </c>
      <c r="G45" s="45" t="inlineStr">
        <is>
          <t>Systemctl (T1569.003)</t>
        </is>
      </c>
      <c r="H45" s="54">
        <f t="array" ref="H45">IF(G45&lt;&gt;"",IF(INDEX(techniques[detection rules for techique],MATCH(G45,techniques[name],0))&gt;=1,INDEX(techniques[detection rules for techique],MATCH(G45,techniques[name],0)),""),"")</f>
        <v/>
      </c>
      <c r="I45" s="45" t="inlineStr">
        <is>
          <t>Port Knocking (T1205.001)</t>
        </is>
      </c>
      <c r="J45" s="54">
        <f t="array" ref="J45">IF(I45&lt;&gt;"",IF(INDEX(techniques[detection rules for techique],MATCH(I45,techniques[name],0))&gt;=1,INDEX(techniques[detection rules for techique],MATCH(I45,techniques[name],0)),""),"")</f>
        <v/>
      </c>
      <c r="K45" s="45" t="inlineStr">
        <is>
          <t>Parent PID Spoofing (T1134.004)</t>
        </is>
      </c>
      <c r="L45" s="54">
        <f t="array" ref="L45">IF(K45&lt;&gt;"",IF(INDEX(techniques[detection rules for techique],MATCH(K45,techniques[name],0))&gt;=1,INDEX(techniques[detection rules for techique],MATCH(K45,techniques[name],0)),""),"")</f>
        <v/>
      </c>
      <c r="M45" s="45" t="inlineStr">
        <is>
          <t>Process Hollowing (T1055.012)</t>
        </is>
      </c>
      <c r="N45" s="54">
        <f t="array" ref="N45">IF(M45&lt;&gt;"",IF(INDEX(techniques[detection rules for techique],MATCH(M45,techniques[name],0))&gt;=1,INDEX(techniques[detection rules for techique],MATCH(M45,techniques[name],0)),""),"")</f>
        <v/>
      </c>
      <c r="O45" s="45" t="inlineStr">
        <is>
          <t>Disable or Modify Cloud Log (T1685.002)</t>
        </is>
      </c>
      <c r="P45" s="54">
        <f t="array" ref="P45">IF(O45&lt;&gt;"",IF(INDEX(techniques[detection rules for techique],MATCH(O45,techniques[name],0))&gt;=1,INDEX(techniques[detection rules for techique],MATCH(O45,techniques[name],0)),""),"")</f>
        <v/>
      </c>
      <c r="Q45" s="45" t="inlineStr">
        <is>
          <t>Password Filter DLL (T1556.002)</t>
        </is>
      </c>
      <c r="R45" s="54">
        <f t="array" ref="R45">IF(Q45&lt;&gt;"",IF(INDEX(techniques[detection rules for techique],MATCH(Q45,techniques[name],0))&gt;=1,INDEX(techniques[detection rules for techique],MATCH(Q45,techniques[name],0)),""),"")</f>
        <v/>
      </c>
      <c r="S45" s="45" t="inlineStr">
        <is>
          <t>Cloud Storage Object Discovery (T1619)</t>
        </is>
      </c>
      <c r="T45" s="54">
        <f t="array" ref="T45">IF(S45&lt;&gt;"",IF(INDEX(techniques[detection rules for techique],MATCH(S45,techniques[name],0))&gt;=1,INDEX(techniques[detection rules for techique],MATCH(S45,techniques[name],0)),""),"")</f>
        <v/>
      </c>
      <c r="U45" s="45" t="n"/>
      <c r="V45" s="54">
        <f t="array" ref="V45">IF(U45&lt;&gt;"",IF(INDEX(techniques[detection rules for techique],MATCH(U45,techniques[name],0))&gt;=1,INDEX(techniques[detection rules for techique],MATCH(U45,techniques[name],0)),""),"")</f>
        <v/>
      </c>
      <c r="W45" s="45" t="n"/>
      <c r="X45" s="54">
        <f t="array" ref="X45">IF(W45&lt;&gt;"",IF(INDEX(techniques[detection rules for techique],MATCH(W45,techniques[name],0))&gt;=1,INDEX(techniques[detection rules for techique],MATCH(W45,techniques[name],0)),""),"")</f>
        <v/>
      </c>
      <c r="Y45" s="45" t="inlineStr">
        <is>
          <t>Content Injection (T1659)</t>
        </is>
      </c>
      <c r="Z45" s="54">
        <f t="array" ref="Z45">IF(Y45&lt;&gt;"",IF(INDEX(techniques[detection rules for techique],MATCH(Y45,techniques[name],0))&gt;=1,INDEX(techniques[detection rules for techique],MATCH(Y45,techniques[name],0)),""),"")</f>
        <v/>
      </c>
      <c r="AA45" s="45" t="n"/>
      <c r="AB45" s="54">
        <f t="array" ref="AB45">IF(AA45&lt;&gt;"",IF(INDEX(techniques[detection rules for techique],MATCH(AA45,techniques[name],0))&gt;=1,INDEX(techniques[detection rules for techique],MATCH(AA45,techniques[name],0)),""),"")</f>
        <v/>
      </c>
      <c r="AC45" s="45" t="n"/>
      <c r="AD45" s="54">
        <f t="array" ref="AD45">IF(AC45&lt;&gt;"",IF(INDEX(techniques[detection rules for techique],MATCH(AC45,techniques[name],0))&gt;=1,INDEX(techniques[detection rules for techique],MATCH(AC45,techniques[name],0)),""),"")</f>
        <v/>
      </c>
    </row>
    <row r="46" ht="22.5" customHeight="1">
      <c r="A46" s="45" t="inlineStr">
        <is>
          <t>Search Threat Vendor Data (T1681)</t>
        </is>
      </c>
      <c r="B46" s="54">
        <f t="array" ref="B46">IF(A46&lt;&gt;"",IF(INDEX(techniques[detection rules for techique],MATCH(A46,techniques[name],0))&gt;=1,INDEX(techniques[detection rules for techique],MATCH(A46,techniques[name],0)),""),"")</f>
        <v/>
      </c>
      <c r="C46" s="45" t="inlineStr">
        <is>
          <t>Link Target (T1608.005)</t>
        </is>
      </c>
      <c r="D46" s="54">
        <f t="array" ref="D46">IF(C46&lt;&gt;"",IF(INDEX(techniques[detection rules for techique],MATCH(C46,techniques[name],0))&gt;=1,INDEX(techniques[detection rules for techique],MATCH(C46,techniques[name],0)),""),"")</f>
        <v/>
      </c>
      <c r="E46" s="45" t="n"/>
      <c r="F46" s="54">
        <f t="array" ref="F46">IF(E46&lt;&gt;"",IF(INDEX(techniques[detection rules for techique],MATCH(E46,techniques[name],0))&gt;=1,INDEX(techniques[detection rules for techique],MATCH(E46,techniques[name],0)),""),"")</f>
        <v/>
      </c>
      <c r="G46" s="45" t="inlineStr">
        <is>
          <t>Hijack Execution Flow (T1574)</t>
        </is>
      </c>
      <c r="H46" s="54">
        <f t="array" ref="H46">IF(G46&lt;&gt;"",IF(INDEX(techniques[detection rules for techique],MATCH(G46,techniques[name],0))&gt;=1,INDEX(techniques[detection rules for techique],MATCH(G46,techniques[name],0)),""),"")</f>
        <v/>
      </c>
      <c r="I46" s="45" t="inlineStr">
        <is>
          <t>Socket Filters (T1205.002)</t>
        </is>
      </c>
      <c r="J46" s="54">
        <f t="array" ref="J46">IF(I46&lt;&gt;"",IF(INDEX(techniques[detection rules for techique],MATCH(I46,techniques[name],0))&gt;=1,INDEX(techniques[detection rules for techique],MATCH(I46,techniques[name],0)),""),"")</f>
        <v/>
      </c>
      <c r="K46" s="45" t="inlineStr">
        <is>
          <t>SID-History Injection (T1134.005)</t>
        </is>
      </c>
      <c r="L46" s="54">
        <f t="array" ref="L46">IF(K46&lt;&gt;"",IF(INDEX(techniques[detection rules for techique],MATCH(K46,techniques[name],0))&gt;=1,INDEX(techniques[detection rules for techique],MATCH(K46,techniques[name],0)),""),"")</f>
        <v/>
      </c>
      <c r="M46" s="45" t="inlineStr">
        <is>
          <t>Process Doppelgänging (T1055.013)</t>
        </is>
      </c>
      <c r="N46" s="54">
        <f t="array" ref="N46">IF(M46&lt;&gt;"",IF(INDEX(techniques[detection rules for techique],MATCH(M46,techniques[name],0))&gt;=1,INDEX(techniques[detection rules for techique],MATCH(M46,techniques[name],0)),""),"")</f>
        <v/>
      </c>
      <c r="O46" s="45" t="inlineStr">
        <is>
          <t>Modify or Spoof Tool UI (T1685.003)</t>
        </is>
      </c>
      <c r="P46" s="54">
        <f t="array" ref="P46">IF(O46&lt;&gt;"",IF(INDEX(techniques[detection rules for techique],MATCH(O46,techniques[name],0))&gt;=1,INDEX(techniques[detection rules for techique],MATCH(O46,techniques[name],0)),""),"")</f>
        <v/>
      </c>
      <c r="Q46" s="45" t="inlineStr">
        <is>
          <t>Pluggable Authentication Modules (T1556.003)</t>
        </is>
      </c>
      <c r="R46" s="54">
        <f t="array" ref="R46">IF(Q46&lt;&gt;"",IF(INDEX(techniques[detection rules for techique],MATCH(Q46,techniques[name],0))&gt;=1,INDEX(techniques[detection rules for techique],MATCH(Q46,techniques[name],0)),""),"")</f>
        <v/>
      </c>
      <c r="S46" s="45" t="inlineStr">
        <is>
          <t>Debugger Evasion (T1622)</t>
        </is>
      </c>
      <c r="T46" s="54">
        <f t="array" ref="T46">IF(S46&lt;&gt;"",IF(INDEX(techniques[detection rules for techique],MATCH(S46,techniques[name],0))&gt;=1,INDEX(techniques[detection rules for techique],MATCH(S46,techniques[name],0)),""),"")</f>
        <v/>
      </c>
      <c r="U46" s="45" t="n"/>
      <c r="V46" s="54">
        <f t="array" ref="V46">IF(U46&lt;&gt;"",IF(INDEX(techniques[detection rules for techique],MATCH(U46,techniques[name],0))&gt;=1,INDEX(techniques[detection rules for techique],MATCH(U46,techniques[name],0)),""),"")</f>
        <v/>
      </c>
      <c r="W46" s="45" t="n"/>
      <c r="X46" s="54">
        <f t="array" ref="X46">IF(W46&lt;&gt;"",IF(INDEX(techniques[detection rules for techique],MATCH(W46,techniques[name],0))&gt;=1,INDEX(techniques[detection rules for techique],MATCH(W46,techniques[name],0)),""),"")</f>
        <v/>
      </c>
      <c r="Y46" s="45" t="inlineStr">
        <is>
          <t>Hide Infrastructure (T1665)</t>
        </is>
      </c>
      <c r="Z46" s="54">
        <f t="array" ref="Z46">IF(Y46&lt;&gt;"",IF(INDEX(techniques[detection rules for techique],MATCH(Y46,techniques[name],0))&gt;=1,INDEX(techniques[detection rules for techique],MATCH(Y46,techniques[name],0)),""),"")</f>
        <v/>
      </c>
      <c r="AA46" s="45" t="n"/>
      <c r="AB46" s="54">
        <f t="array" ref="AB46">IF(AA46&lt;&gt;"",IF(INDEX(techniques[detection rules for techique],MATCH(AA46,techniques[name],0))&gt;=1,INDEX(techniques[detection rules for techique],MATCH(AA46,techniques[name],0)),""),"")</f>
        <v/>
      </c>
      <c r="AC46" s="45" t="n"/>
      <c r="AD46" s="54">
        <f t="array" ref="AD46">IF(AC46&lt;&gt;"",IF(INDEX(techniques[detection rules for techique],MATCH(AC46,techniques[name],0))&gt;=1,INDEX(techniques[detection rules for techique],MATCH(AC46,techniques[name],0)),""),"")</f>
        <v/>
      </c>
    </row>
    <row r="47" ht="22.5" customHeight="1">
      <c r="A47" s="45" t="inlineStr">
        <is>
          <t>Query Public AI Services (T1682)</t>
        </is>
      </c>
      <c r="B47" s="54">
        <f t="array" ref="B47">IF(A47&lt;&gt;"",IF(INDEX(techniques[detection rules for techique],MATCH(A47,techniques[name],0))&gt;=1,INDEX(techniques[detection rules for techique],MATCH(A47,techniques[name],0)),""),"")</f>
        <v/>
      </c>
      <c r="C47" s="45" t="inlineStr">
        <is>
          <t>SEO Poisoning (T1608.006)</t>
        </is>
      </c>
      <c r="D47" s="54">
        <f t="array" ref="D47">IF(C47&lt;&gt;"",IF(INDEX(techniques[detection rules for techique],MATCH(C47,techniques[name],0))&gt;=1,INDEX(techniques[detection rules for techique],MATCH(C47,techniques[name],0)),""),"")</f>
        <v/>
      </c>
      <c r="E47" s="45" t="n"/>
      <c r="F47" s="54">
        <f t="array" ref="F47">IF(E47&lt;&gt;"",IF(INDEX(techniques[detection rules for techique],MATCH(E47,techniques[name],0))&gt;=1,INDEX(techniques[detection rules for techique],MATCH(E47,techniques[name],0)),""),"")</f>
        <v/>
      </c>
      <c r="G47" s="45" t="inlineStr">
        <is>
          <t>DLL (T1574.001)</t>
        </is>
      </c>
      <c r="H47" s="54">
        <f t="array" ref="H47">IF(G47&lt;&gt;"",IF(INDEX(techniques[detection rules for techique],MATCH(G47,techniques[name],0))&gt;=1,INDEX(techniques[detection rules for techique],MATCH(G47,techniques[name],0)),""),"")</f>
        <v/>
      </c>
      <c r="I47" s="45" t="inlineStr">
        <is>
          <t>Server Software Component (T1505)</t>
        </is>
      </c>
      <c r="J47" s="54">
        <f t="array" ref="J47">IF(I47&lt;&gt;"",IF(INDEX(techniques[detection rules for techique],MATCH(I47,techniques[name],0))&gt;=1,INDEX(techniques[detection rules for techique],MATCH(I47,techniques[name],0)),""),"")</f>
        <v/>
      </c>
      <c r="K47" s="45" t="inlineStr">
        <is>
          <t>Domain or Tenant Policy Modification (T1484)</t>
        </is>
      </c>
      <c r="L47" s="54">
        <f t="array" ref="L47">IF(K47&lt;&gt;"",IF(INDEX(techniques[detection rules for techique],MATCH(K47,techniques[name],0))&gt;=1,INDEX(techniques[detection rules for techique],MATCH(K47,techniques[name],0)),""),"")</f>
        <v/>
      </c>
      <c r="M47" s="45" t="inlineStr">
        <is>
          <t>VDSO Hijacking (T1055.014)</t>
        </is>
      </c>
      <c r="N47" s="54">
        <f t="array" ref="N47">IF(M47&lt;&gt;"",IF(INDEX(techniques[detection rules for techique],MATCH(M47,techniques[name],0))&gt;=1,INDEX(techniques[detection rules for techique],MATCH(M47,techniques[name],0)),""),"")</f>
        <v/>
      </c>
      <c r="O47" s="45" t="inlineStr">
        <is>
          <t>Disable or Modify Linux Audit System Log (T1685.004)</t>
        </is>
      </c>
      <c r="P47" s="54">
        <f t="array" ref="P47">IF(O47&lt;&gt;"",IF(INDEX(techniques[detection rules for techique],MATCH(O47,techniques[name],0))&gt;=1,INDEX(techniques[detection rules for techique],MATCH(O47,techniques[name],0)),""),"")</f>
        <v/>
      </c>
      <c r="Q47" s="45" t="inlineStr">
        <is>
          <t>Network Device Authentication (T1556.004)</t>
        </is>
      </c>
      <c r="R47" s="54">
        <f t="array" ref="R47">IF(Q47&lt;&gt;"",IF(INDEX(techniques[detection rules for techique],MATCH(Q47,techniques[name],0))&gt;=1,INDEX(techniques[detection rules for techique],MATCH(Q47,techniques[name],0)),""),"")</f>
        <v/>
      </c>
      <c r="S47" s="45" t="inlineStr">
        <is>
          <t>Device Driver Discovery (T1652)</t>
        </is>
      </c>
      <c r="T47" s="54">
        <f t="array" ref="T47">IF(S47&lt;&gt;"",IF(INDEX(techniques[detection rules for techique],MATCH(S47,techniques[name],0))&gt;=1,INDEX(techniques[detection rules for techique],MATCH(S47,techniques[name],0)),""),"")</f>
        <v/>
      </c>
      <c r="U47" s="45" t="n"/>
      <c r="V47" s="54">
        <f t="array" ref="V47">IF(U47&lt;&gt;"",IF(INDEX(techniques[detection rules for techique],MATCH(U47,techniques[name],0))&gt;=1,INDEX(techniques[detection rules for techique],MATCH(U47,techniques[name],0)),""),"")</f>
        <v/>
      </c>
      <c r="W47" s="45" t="n"/>
      <c r="X47" s="54">
        <f t="array" ref="X47">IF(W47&lt;&gt;"",IF(INDEX(techniques[detection rules for techique],MATCH(W47,techniques[name],0))&gt;=1,INDEX(techniques[detection rules for techique],MATCH(W47,techniques[name],0)),""),"")</f>
        <v/>
      </c>
      <c r="Y47" s="45" t="n"/>
      <c r="Z47" s="54">
        <f t="array" ref="Z47">IF(Y47&lt;&gt;"",IF(INDEX(techniques[detection rules for techique],MATCH(Y47,techniques[name],0))&gt;=1,INDEX(techniques[detection rules for techique],MATCH(Y47,techniques[name],0)),""),"")</f>
        <v/>
      </c>
      <c r="AA47" s="45" t="n"/>
      <c r="AB47" s="54">
        <f t="array" ref="AB47">IF(AA47&lt;&gt;"",IF(INDEX(techniques[detection rules for techique],MATCH(AA47,techniques[name],0))&gt;=1,INDEX(techniques[detection rules for techique],MATCH(AA47,techniques[name],0)),""),"")</f>
        <v/>
      </c>
      <c r="AC47" s="45" t="n"/>
      <c r="AD47" s="54">
        <f t="array" ref="AD47">IF(AC47&lt;&gt;"",IF(INDEX(techniques[detection rules for techique],MATCH(AC47,techniques[name],0))&gt;=1,INDEX(techniques[detection rules for techique],MATCH(AC47,techniques[name],0)),""),"")</f>
        <v/>
      </c>
    </row>
    <row r="48" ht="22.5" customHeight="1">
      <c r="A48" s="45" t="n"/>
      <c r="B48" s="54">
        <f t="array" ref="B48">IF(A48&lt;&gt;"",IF(INDEX(techniques[detection rules for techique],MATCH(A48,techniques[name],0))&gt;=1,INDEX(techniques[detection rules for techique],MATCH(A48,techniques[name],0)),""),"")</f>
        <v/>
      </c>
      <c r="C48" s="45" t="inlineStr">
        <is>
          <t>Acquire Access (T1650)</t>
        </is>
      </c>
      <c r="D48" s="54">
        <f t="array" ref="D48">IF(C48&lt;&gt;"",IF(INDEX(techniques[detection rules for techique],MATCH(C48,techniques[name],0))&gt;=1,INDEX(techniques[detection rules for techique],MATCH(C48,techniques[name],0)),""),"")</f>
        <v/>
      </c>
      <c r="E48" s="45" t="n"/>
      <c r="F48" s="54">
        <f t="array" ref="F48">IF(E48&lt;&gt;"",IF(INDEX(techniques[detection rules for techique],MATCH(E48,techniques[name],0))&gt;=1,INDEX(techniques[detection rules for techique],MATCH(E48,techniques[name],0)),""),"")</f>
        <v/>
      </c>
      <c r="G48" s="45" t="inlineStr">
        <is>
          <t>Dylib Hijacking (T1574.004)</t>
        </is>
      </c>
      <c r="H48" s="54">
        <f t="array" ref="H48">IF(G48&lt;&gt;"",IF(INDEX(techniques[detection rules for techique],MATCH(G48,techniques[name],0))&gt;=1,INDEX(techniques[detection rules for techique],MATCH(G48,techniques[name],0)),""),"")</f>
        <v/>
      </c>
      <c r="I48" s="45" t="inlineStr">
        <is>
          <t>SQL Stored Procedures (T1505.001)</t>
        </is>
      </c>
      <c r="J48" s="54">
        <f t="array" ref="J48">IF(I48&lt;&gt;"",IF(INDEX(techniques[detection rules for techique],MATCH(I48,techniques[name],0))&gt;=1,INDEX(techniques[detection rules for techique],MATCH(I48,techniques[name],0)),""),"")</f>
        <v/>
      </c>
      <c r="K48" s="45" t="inlineStr">
        <is>
          <t>Group Policy Modification (T1484.001)</t>
        </is>
      </c>
      <c r="L48" s="54">
        <f t="array" ref="L48">IF(K48&lt;&gt;"",IF(INDEX(techniques[detection rules for techique],MATCH(K48,techniques[name],0))&gt;=1,INDEX(techniques[detection rules for techique],MATCH(K48,techniques[name],0)),""),"")</f>
        <v/>
      </c>
      <c r="M48" s="45" t="inlineStr">
        <is>
          <t>ListPlanting (T1055.015)</t>
        </is>
      </c>
      <c r="N48" s="54">
        <f t="array" ref="N48">IF(M48&lt;&gt;"",IF(INDEX(techniques[detection rules for techique],MATCH(M48,techniques[name],0))&gt;=1,INDEX(techniques[detection rules for techique],MATCH(M48,techniques[name],0)),""),"")</f>
        <v/>
      </c>
      <c r="O48" s="45" t="inlineStr">
        <is>
          <t>Clear Windows Event Logs (T1685.005)</t>
        </is>
      </c>
      <c r="P48" s="54">
        <f t="array" ref="P48">IF(O48&lt;&gt;"",IF(INDEX(techniques[detection rules for techique],MATCH(O48,techniques[name],0))&gt;=1,INDEX(techniques[detection rules for techique],MATCH(O48,techniques[name],0)),""),"")</f>
        <v/>
      </c>
      <c r="Q48" s="45" t="inlineStr">
        <is>
          <t>Reversible Encryption (T1556.005)</t>
        </is>
      </c>
      <c r="R48" s="54">
        <f t="array" ref="R48">IF(Q48&lt;&gt;"",IF(INDEX(techniques[detection rules for techique],MATCH(Q48,techniques[name],0))&gt;=1,INDEX(techniques[detection rules for techique],MATCH(Q48,techniques[name],0)),""),"")</f>
        <v/>
      </c>
      <c r="S48" s="45" t="inlineStr">
        <is>
          <t>Log Enumeration (T1654)</t>
        </is>
      </c>
      <c r="T48" s="54">
        <f t="array" ref="T48">IF(S48&lt;&gt;"",IF(INDEX(techniques[detection rules for techique],MATCH(S48,techniques[name],0))&gt;=1,INDEX(techniques[detection rules for techique],MATCH(S48,techniques[name],0)),""),"")</f>
        <v/>
      </c>
      <c r="U48" s="45" t="n"/>
      <c r="V48" s="54">
        <f t="array" ref="V48">IF(U48&lt;&gt;"",IF(INDEX(techniques[detection rules for techique],MATCH(U48,techniques[name],0))&gt;=1,INDEX(techniques[detection rules for techique],MATCH(U48,techniques[name],0)),""),"")</f>
        <v/>
      </c>
      <c r="W48" s="45" t="n"/>
      <c r="X48" s="54">
        <f t="array" ref="X48">IF(W48&lt;&gt;"",IF(INDEX(techniques[detection rules for techique],MATCH(W48,techniques[name],0))&gt;=1,INDEX(techniques[detection rules for techique],MATCH(W48,techniques[name],0)),""),"")</f>
        <v/>
      </c>
      <c r="Y48" s="45" t="n"/>
      <c r="Z48" s="54">
        <f t="array" ref="Z48">IF(Y48&lt;&gt;"",IF(INDEX(techniques[detection rules for techique],MATCH(Y48,techniques[name],0))&gt;=1,INDEX(techniques[detection rules for techique],MATCH(Y48,techniques[name],0)),""),"")</f>
        <v/>
      </c>
      <c r="AA48" s="45" t="n"/>
      <c r="AB48" s="54">
        <f t="array" ref="AB48">IF(AA48&lt;&gt;"",IF(INDEX(techniques[detection rules for techique],MATCH(AA48,techniques[name],0))&gt;=1,INDEX(techniques[detection rules for techique],MATCH(AA48,techniques[name],0)),""),"")</f>
        <v/>
      </c>
      <c r="AC48" s="45" t="n"/>
      <c r="AD48" s="54">
        <f t="array" ref="AD48">IF(AC48&lt;&gt;"",IF(INDEX(techniques[detection rules for techique],MATCH(AC48,techniques[name],0))&gt;=1,INDEX(techniques[detection rules for techique],MATCH(AC48,techniques[name],0)),""),"")</f>
        <v/>
      </c>
    </row>
    <row r="49" ht="22.5" customHeight="1">
      <c r="A49" s="45" t="n"/>
      <c r="B49" s="54">
        <f t="array" ref="B49">IF(A49&lt;&gt;"",IF(INDEX(techniques[detection rules for techique],MATCH(A49,techniques[name],0))&gt;=1,INDEX(techniques[detection rules for techique],MATCH(A49,techniques[name],0)),""),"")</f>
        <v/>
      </c>
      <c r="C49" s="45" t="inlineStr">
        <is>
          <t>Generate Content (T1683)</t>
        </is>
      </c>
      <c r="D49" s="54">
        <f t="array" ref="D49">IF(C49&lt;&gt;"",IF(INDEX(techniques[detection rules for techique],MATCH(C49,techniques[name],0))&gt;=1,INDEX(techniques[detection rules for techique],MATCH(C49,techniques[name],0)),""),"")</f>
        <v/>
      </c>
      <c r="E49" s="45" t="n"/>
      <c r="F49" s="54">
        <f t="array" ref="F49">IF(E49&lt;&gt;"",IF(INDEX(techniques[detection rules for techique],MATCH(E49,techniques[name],0))&gt;=1,INDEX(techniques[detection rules for techique],MATCH(E49,techniques[name],0)),""),"")</f>
        <v/>
      </c>
      <c r="G49" s="45" t="inlineStr">
        <is>
          <t>Executable Installer File Permissions Weakness (T1574.005)</t>
        </is>
      </c>
      <c r="H49" s="54">
        <f t="array" ref="H49">IF(G49&lt;&gt;"",IF(INDEX(techniques[detection rules for techique],MATCH(G49,techniques[name],0))&gt;=1,INDEX(techniques[detection rules for techique],MATCH(G49,techniques[name],0)),""),"")</f>
        <v/>
      </c>
      <c r="I49" s="45" t="inlineStr">
        <is>
          <t>Transport Agent (T1505.002)</t>
        </is>
      </c>
      <c r="J49" s="54">
        <f t="array" ref="J49">IF(I49&lt;&gt;"",IF(INDEX(techniques[detection rules for techique],MATCH(I49,techniques[name],0))&gt;=1,INDEX(techniques[detection rules for techique],MATCH(I49,techniques[name],0)),""),"")</f>
        <v/>
      </c>
      <c r="K49" s="45" t="inlineStr">
        <is>
          <t>Trust Modification (T1484.002)</t>
        </is>
      </c>
      <c r="L49" s="54">
        <f t="array" ref="L49">IF(K49&lt;&gt;"",IF(INDEX(techniques[detection rules for techique],MATCH(K49,techniques[name],0))&gt;=1,INDEX(techniques[detection rules for techique],MATCH(K49,techniques[name],0)),""),"")</f>
        <v/>
      </c>
      <c r="M49" s="45" t="inlineStr">
        <is>
          <t>Indicator Removal (T1070)</t>
        </is>
      </c>
      <c r="N49" s="54">
        <f t="array" ref="N49">IF(M49&lt;&gt;"",IF(INDEX(techniques[detection rules for techique],MATCH(M49,techniques[name],0))&gt;=1,INDEX(techniques[detection rules for techique],MATCH(M49,techniques[name],0)),""),"")</f>
        <v/>
      </c>
      <c r="O49" s="45" t="inlineStr">
        <is>
          <t>Clear Linux or Mac System Logs (T1685.006)</t>
        </is>
      </c>
      <c r="P49" s="54">
        <f t="array" ref="P49">IF(O49&lt;&gt;"",IF(INDEX(techniques[detection rules for techique],MATCH(O49,techniques[name],0))&gt;=1,INDEX(techniques[detection rules for techique],MATCH(O49,techniques[name],0)),""),"")</f>
        <v/>
      </c>
      <c r="Q49" s="45" t="inlineStr">
        <is>
          <t>Multi-Factor Authentication (T1556.006)</t>
        </is>
      </c>
      <c r="R49" s="54">
        <f t="array" ref="R49">IF(Q49&lt;&gt;"",IF(INDEX(techniques[detection rules for techique],MATCH(Q49,techniques[name],0))&gt;=1,INDEX(techniques[detection rules for techique],MATCH(Q49,techniques[name],0)),""),"")</f>
        <v/>
      </c>
      <c r="S49" s="45" t="inlineStr">
        <is>
          <t>Virtual Machine Discovery (T1673)</t>
        </is>
      </c>
      <c r="T49" s="54">
        <f t="array" ref="T49">IF(S49&lt;&gt;"",IF(INDEX(techniques[detection rules for techique],MATCH(S49,techniques[name],0))&gt;=1,INDEX(techniques[detection rules for techique],MATCH(S49,techniques[name],0)),""),"")</f>
        <v/>
      </c>
      <c r="U49" s="45" t="n"/>
      <c r="V49" s="54">
        <f t="array" ref="V49">IF(U49&lt;&gt;"",IF(INDEX(techniques[detection rules for techique],MATCH(U49,techniques[name],0))&gt;=1,INDEX(techniques[detection rules for techique],MATCH(U49,techniques[name],0)),""),"")</f>
        <v/>
      </c>
      <c r="W49" s="45" t="n"/>
      <c r="X49" s="54">
        <f t="array" ref="X49">IF(W49&lt;&gt;"",IF(INDEX(techniques[detection rules for techique],MATCH(W49,techniques[name],0))&gt;=1,INDEX(techniques[detection rules for techique],MATCH(W49,techniques[name],0)),""),"")</f>
        <v/>
      </c>
      <c r="Y49" s="45" t="n"/>
      <c r="Z49" s="54">
        <f t="array" ref="Z49">IF(Y49&lt;&gt;"",IF(INDEX(techniques[detection rules for techique],MATCH(Y49,techniques[name],0))&gt;=1,INDEX(techniques[detection rules for techique],MATCH(Y49,techniques[name],0)),""),"")</f>
        <v/>
      </c>
      <c r="AA49" s="45" t="n"/>
      <c r="AB49" s="54">
        <f t="array" ref="AB49">IF(AA49&lt;&gt;"",IF(INDEX(techniques[detection rules for techique],MATCH(AA49,techniques[name],0))&gt;=1,INDEX(techniques[detection rules for techique],MATCH(AA49,techniques[name],0)),""),"")</f>
        <v/>
      </c>
      <c r="AC49" s="45" t="n"/>
      <c r="AD49" s="54">
        <f t="array" ref="AD49">IF(AC49&lt;&gt;"",IF(INDEX(techniques[detection rules for techique],MATCH(AC49,techniques[name],0))&gt;=1,INDEX(techniques[detection rules for techique],MATCH(AC49,techniques[name],0)),""),"")</f>
        <v/>
      </c>
    </row>
    <row r="50" ht="22.5" customHeight="1">
      <c r="A50" s="45" t="n"/>
      <c r="B50" s="54">
        <f t="array" ref="B50">IF(A50&lt;&gt;"",IF(INDEX(techniques[detection rules for techique],MATCH(A50,techniques[name],0))&gt;=1,INDEX(techniques[detection rules for techique],MATCH(A50,techniques[name],0)),""),"")</f>
        <v/>
      </c>
      <c r="C50" s="45" t="inlineStr">
        <is>
          <t>Written Content (T1683.001)</t>
        </is>
      </c>
      <c r="D50" s="54">
        <f t="array" ref="D50">IF(C50&lt;&gt;"",IF(INDEX(techniques[detection rules for techique],MATCH(C50,techniques[name],0))&gt;=1,INDEX(techniques[detection rules for techique],MATCH(C50,techniques[name],0)),""),"")</f>
        <v/>
      </c>
      <c r="E50" s="45" t="n"/>
      <c r="F50" s="54">
        <f t="array" ref="F50">IF(E50&lt;&gt;"",IF(INDEX(techniques[detection rules for techique],MATCH(E50,techniques[name],0))&gt;=1,INDEX(techniques[detection rules for techique],MATCH(E50,techniques[name],0)),""),"")</f>
        <v/>
      </c>
      <c r="G50" s="45" t="inlineStr">
        <is>
          <t>Dynamic Linker Hijacking (T1574.006)</t>
        </is>
      </c>
      <c r="H50" s="54">
        <f t="array" ref="H50">IF(G50&lt;&gt;"",IF(INDEX(techniques[detection rules for techique],MATCH(G50,techniques[name],0))&gt;=1,INDEX(techniques[detection rules for techique],MATCH(G50,techniques[name],0)),""),"")</f>
        <v/>
      </c>
      <c r="I50" s="45" t="inlineStr">
        <is>
          <t>Web Shell (T1505.003)</t>
        </is>
      </c>
      <c r="J50" s="54">
        <f t="array" ref="J50">IF(I50&lt;&gt;"",IF(INDEX(techniques[detection rules for techique],MATCH(I50,techniques[name],0))&gt;=1,INDEX(techniques[detection rules for techique],MATCH(I50,techniques[name],0)),""),"")</f>
        <v/>
      </c>
      <c r="K50" s="45" t="inlineStr">
        <is>
          <t>Create or Modify System Process (T1543)</t>
        </is>
      </c>
      <c r="L50" s="54">
        <f t="array" ref="L50">IF(K50&lt;&gt;"",IF(INDEX(techniques[detection rules for techique],MATCH(K50,techniques[name],0))&gt;=1,INDEX(techniques[detection rules for techique],MATCH(K50,techniques[name],0)),""),"")</f>
        <v/>
      </c>
      <c r="M50" s="45" t="inlineStr">
        <is>
          <t>Clear Command History (T1070.003)</t>
        </is>
      </c>
      <c r="N50" s="54">
        <f t="array" ref="N50">IF(M50&lt;&gt;"",IF(INDEX(techniques[detection rules for techique],MATCH(M50,techniques[name],0))&gt;=1,INDEX(techniques[detection rules for techique],MATCH(M50,techniques[name],0)),""),"")</f>
        <v/>
      </c>
      <c r="O50" s="45" t="inlineStr">
        <is>
          <t>Disable or Modify System Firewall (T1686)</t>
        </is>
      </c>
      <c r="P50" s="54">
        <f t="array" ref="P50">IF(O50&lt;&gt;"",IF(INDEX(techniques[detection rules for techique],MATCH(O50,techniques[name],0))&gt;=1,INDEX(techniques[detection rules for techique],MATCH(O50,techniques[name],0)),""),"")</f>
        <v/>
      </c>
      <c r="Q50" s="45" t="inlineStr">
        <is>
          <t>Hybrid Identity (T1556.007)</t>
        </is>
      </c>
      <c r="R50" s="54">
        <f t="array" ref="R50">IF(Q50&lt;&gt;"",IF(INDEX(techniques[detection rules for techique],MATCH(Q50,techniques[name],0))&gt;=1,INDEX(techniques[detection rules for techique],MATCH(Q50,techniques[name],0)),""),"")</f>
        <v/>
      </c>
      <c r="S50" s="45" t="inlineStr">
        <is>
          <t>Local Storage Discovery (T1680)</t>
        </is>
      </c>
      <c r="T50" s="54">
        <f t="array" ref="T50">IF(S50&lt;&gt;"",IF(INDEX(techniques[detection rules for techique],MATCH(S50,techniques[name],0))&gt;=1,INDEX(techniques[detection rules for techique],MATCH(S50,techniques[name],0)),""),"")</f>
        <v/>
      </c>
      <c r="U50" s="45" t="n"/>
      <c r="V50" s="54">
        <f t="array" ref="V50">IF(U50&lt;&gt;"",IF(INDEX(techniques[detection rules for techique],MATCH(U50,techniques[name],0))&gt;=1,INDEX(techniques[detection rules for techique],MATCH(U50,techniques[name],0)),""),"")</f>
        <v/>
      </c>
      <c r="W50" s="45" t="n"/>
      <c r="X50" s="54">
        <f t="array" ref="X50">IF(W50&lt;&gt;"",IF(INDEX(techniques[detection rules for techique],MATCH(W50,techniques[name],0))&gt;=1,INDEX(techniques[detection rules for techique],MATCH(W50,techniques[name],0)),""),"")</f>
        <v/>
      </c>
      <c r="Y50" s="45" t="n"/>
      <c r="Z50" s="54">
        <f t="array" ref="Z50">IF(Y50&lt;&gt;"",IF(INDEX(techniques[detection rules for techique],MATCH(Y50,techniques[name],0))&gt;=1,INDEX(techniques[detection rules for techique],MATCH(Y50,techniques[name],0)),""),"")</f>
        <v/>
      </c>
      <c r="AA50" s="45" t="n"/>
      <c r="AB50" s="54">
        <f t="array" ref="AB50">IF(AA50&lt;&gt;"",IF(INDEX(techniques[detection rules for techique],MATCH(AA50,techniques[name],0))&gt;=1,INDEX(techniques[detection rules for techique],MATCH(AA50,techniques[name],0)),""),"")</f>
        <v/>
      </c>
      <c r="AC50" s="45" t="n"/>
      <c r="AD50" s="54">
        <f t="array" ref="AD50">IF(AC50&lt;&gt;"",IF(INDEX(techniques[detection rules for techique],MATCH(AC50,techniques[name],0))&gt;=1,INDEX(techniques[detection rules for techique],MATCH(AC50,techniques[name],0)),""),"")</f>
        <v/>
      </c>
    </row>
    <row r="51" ht="33.75" customHeight="1">
      <c r="A51" s="45" t="n"/>
      <c r="B51" s="54">
        <f t="array" ref="B51">IF(A51&lt;&gt;"",IF(INDEX(techniques[detection rules for techique],MATCH(A51,techniques[name],0))&gt;=1,INDEX(techniques[detection rules for techique],MATCH(A51,techniques[name],0)),""),"")</f>
        <v/>
      </c>
      <c r="C51" s="45" t="inlineStr">
        <is>
          <t>Audio-Visual Content (T1683.002)</t>
        </is>
      </c>
      <c r="D51" s="54">
        <f t="array" ref="D51">IF(C51&lt;&gt;"",IF(INDEX(techniques[detection rules for techique],MATCH(C51,techniques[name],0))&gt;=1,INDEX(techniques[detection rules for techique],MATCH(C51,techniques[name],0)),""),"")</f>
        <v/>
      </c>
      <c r="E51" s="45" t="n"/>
      <c r="F51" s="54">
        <f t="array" ref="F51">IF(E51&lt;&gt;"",IF(INDEX(techniques[detection rules for techique],MATCH(E51,techniques[name],0))&gt;=1,INDEX(techniques[detection rules for techique],MATCH(E51,techniques[name],0)),""),"")</f>
        <v/>
      </c>
      <c r="G51" s="45" t="inlineStr">
        <is>
          <t>Path Interception by PATH Environment Variable (T1574.007)</t>
        </is>
      </c>
      <c r="H51" s="54">
        <f t="array" ref="H51">IF(G51&lt;&gt;"",IF(INDEX(techniques[detection rules for techique],MATCH(G51,techniques[name],0))&gt;=1,INDEX(techniques[detection rules for techique],MATCH(G51,techniques[name],0)),""),"")</f>
        <v/>
      </c>
      <c r="I51" s="45" t="inlineStr">
        <is>
          <t>IIS Components (T1505.004)</t>
        </is>
      </c>
      <c r="J51" s="54">
        <f t="array" ref="J51">IF(I51&lt;&gt;"",IF(INDEX(techniques[detection rules for techique],MATCH(I51,techniques[name],0))&gt;=1,INDEX(techniques[detection rules for techique],MATCH(I51,techniques[name],0)),""),"")</f>
        <v/>
      </c>
      <c r="K51" s="45" t="inlineStr">
        <is>
          <t>Launch Agent (T1543.001)</t>
        </is>
      </c>
      <c r="L51" s="54">
        <f t="array" ref="L51">IF(K51&lt;&gt;"",IF(INDEX(techniques[detection rules for techique],MATCH(K51,techniques[name],0))&gt;=1,INDEX(techniques[detection rules for techique],MATCH(K51,techniques[name],0)),""),"")</f>
        <v/>
      </c>
      <c r="M51" s="45" t="inlineStr">
        <is>
          <t>File Deletion (T1070.004)</t>
        </is>
      </c>
      <c r="N51" s="54">
        <f t="array" ref="N51">IF(M51&lt;&gt;"",IF(INDEX(techniques[detection rules for techique],MATCH(M51,techniques[name],0))&gt;=1,INDEX(techniques[detection rules for techique],MATCH(M51,techniques[name],0)),""),"")</f>
        <v/>
      </c>
      <c r="O51" s="45" t="inlineStr">
        <is>
          <t>Cloud Firewall (T1686.001)</t>
        </is>
      </c>
      <c r="P51" s="54">
        <f t="array" ref="P51">IF(O51&lt;&gt;"",IF(INDEX(techniques[detection rules for techique],MATCH(O51,techniques[name],0))&gt;=1,INDEX(techniques[detection rules for techique],MATCH(O51,techniques[name],0)),""),"")</f>
        <v/>
      </c>
      <c r="Q51" s="45" t="inlineStr">
        <is>
          <t>Network Provider DLL (T1556.008)</t>
        </is>
      </c>
      <c r="R51" s="54">
        <f t="array" ref="R51">IF(Q51&lt;&gt;"",IF(INDEX(techniques[detection rules for techique],MATCH(Q51,techniques[name],0))&gt;=1,INDEX(techniques[detection rules for techique],MATCH(Q51,techniques[name],0)),""),"")</f>
        <v/>
      </c>
      <c r="S51" s="45" t="n"/>
      <c r="T51" s="54">
        <f t="array" ref="T51">IF(S51&lt;&gt;"",IF(INDEX(techniques[detection rules for techique],MATCH(S51,techniques[name],0))&gt;=1,INDEX(techniques[detection rules for techique],MATCH(S51,techniques[name],0)),""),"")</f>
        <v/>
      </c>
      <c r="U51" s="45" t="n"/>
      <c r="V51" s="54">
        <f t="array" ref="V51">IF(U51&lt;&gt;"",IF(INDEX(techniques[detection rules for techique],MATCH(U51,techniques[name],0))&gt;=1,INDEX(techniques[detection rules for techique],MATCH(U51,techniques[name],0)),""),"")</f>
        <v/>
      </c>
      <c r="W51" s="45" t="n"/>
      <c r="X51" s="54">
        <f t="array" ref="X51">IF(W51&lt;&gt;"",IF(INDEX(techniques[detection rules for techique],MATCH(W51,techniques[name],0))&gt;=1,INDEX(techniques[detection rules for techique],MATCH(W51,techniques[name],0)),""),"")</f>
        <v/>
      </c>
      <c r="Y51" s="45" t="n"/>
      <c r="Z51" s="54">
        <f t="array" ref="Z51">IF(Y51&lt;&gt;"",IF(INDEX(techniques[detection rules for techique],MATCH(Y51,techniques[name],0))&gt;=1,INDEX(techniques[detection rules for techique],MATCH(Y51,techniques[name],0)),""),"")</f>
        <v/>
      </c>
      <c r="AA51" s="45" t="n"/>
      <c r="AB51" s="54">
        <f t="array" ref="AB51">IF(AA51&lt;&gt;"",IF(INDEX(techniques[detection rules for techique],MATCH(AA51,techniques[name],0))&gt;=1,INDEX(techniques[detection rules for techique],MATCH(AA51,techniques[name],0)),""),"")</f>
        <v/>
      </c>
      <c r="AC51" s="45" t="n"/>
      <c r="AD51" s="54">
        <f t="array" ref="AD51">IF(AC51&lt;&gt;"",IF(INDEX(techniques[detection rules for techique],MATCH(AC51,techniques[name],0))&gt;=1,INDEX(techniques[detection rules for techique],MATCH(AC51,techniques[name],0)),""),"")</f>
        <v/>
      </c>
    </row>
    <row r="52" ht="22.5" customHeight="1">
      <c r="A52" s="45" t="n"/>
      <c r="B52" s="54">
        <f t="array" ref="B52">IF(A52&lt;&gt;"",IF(INDEX(techniques[detection rules for techique],MATCH(A52,techniques[name],0))&gt;=1,INDEX(techniques[detection rules for techique],MATCH(A52,techniques[name],0)),""),"")</f>
        <v/>
      </c>
      <c r="C52" s="45" t="n"/>
      <c r="D52" s="54">
        <f t="array" ref="D52">IF(C52&lt;&gt;"",IF(INDEX(techniques[detection rules for techique],MATCH(C52,techniques[name],0))&gt;=1,INDEX(techniques[detection rules for techique],MATCH(C52,techniques[name],0)),""),"")</f>
        <v/>
      </c>
      <c r="E52" s="45" t="n"/>
      <c r="F52" s="54">
        <f t="array" ref="F52">IF(E52&lt;&gt;"",IF(INDEX(techniques[detection rules for techique],MATCH(E52,techniques[name],0))&gt;=1,INDEX(techniques[detection rules for techique],MATCH(E52,techniques[name],0)),""),"")</f>
        <v/>
      </c>
      <c r="G52" s="45" t="inlineStr">
        <is>
          <t>Path Interception by Search Order Hijacking (T1574.008)</t>
        </is>
      </c>
      <c r="H52" s="54">
        <f t="array" ref="H52">IF(G52&lt;&gt;"",IF(INDEX(techniques[detection rules for techique],MATCH(G52,techniques[name],0))&gt;=1,INDEX(techniques[detection rules for techique],MATCH(G52,techniques[name],0)),""),"")</f>
        <v/>
      </c>
      <c r="I52" s="45" t="inlineStr">
        <is>
          <t>Terminal Services DLL (T1505.005)</t>
        </is>
      </c>
      <c r="J52" s="54">
        <f t="array" ref="J52">IF(I52&lt;&gt;"",IF(INDEX(techniques[detection rules for techique],MATCH(I52,techniques[name],0))&gt;=1,INDEX(techniques[detection rules for techique],MATCH(I52,techniques[name],0)),""),"")</f>
        <v/>
      </c>
      <c r="K52" s="45" t="inlineStr">
        <is>
          <t>Systemd Service (T1543.002)</t>
        </is>
      </c>
      <c r="L52" s="54">
        <f t="array" ref="L52">IF(K52&lt;&gt;"",IF(INDEX(techniques[detection rules for techique],MATCH(K52,techniques[name],0))&gt;=1,INDEX(techniques[detection rules for techique],MATCH(K52,techniques[name],0)),""),"")</f>
        <v/>
      </c>
      <c r="M52" s="45" t="inlineStr">
        <is>
          <t>Network Share Connection Removal (T1070.005)</t>
        </is>
      </c>
      <c r="N52" s="54">
        <f t="array" ref="N52">IF(M52&lt;&gt;"",IF(INDEX(techniques[detection rules for techique],MATCH(M52,techniques[name],0))&gt;=1,INDEX(techniques[detection rules for techique],MATCH(M52,techniques[name],0)),""),"")</f>
        <v/>
      </c>
      <c r="O52" s="45" t="inlineStr">
        <is>
          <t>Network Device Firewall (T1686.002)</t>
        </is>
      </c>
      <c r="P52" s="54">
        <f t="array" ref="P52">IF(O52&lt;&gt;"",IF(INDEX(techniques[detection rules for techique],MATCH(O52,techniques[name],0))&gt;=1,INDEX(techniques[detection rules for techique],MATCH(O52,techniques[name],0)),""),"")</f>
        <v/>
      </c>
      <c r="Q52" s="45" t="inlineStr">
        <is>
          <t>Conditional Access Policies (T1556.009)</t>
        </is>
      </c>
      <c r="R52" s="54">
        <f t="array" ref="R52">IF(Q52&lt;&gt;"",IF(INDEX(techniques[detection rules for techique],MATCH(Q52,techniques[name],0))&gt;=1,INDEX(techniques[detection rules for techique],MATCH(Q52,techniques[name],0)),""),"")</f>
        <v/>
      </c>
      <c r="S52" s="45" t="n"/>
      <c r="T52" s="54">
        <f t="array" ref="T52">IF(S52&lt;&gt;"",IF(INDEX(techniques[detection rules for techique],MATCH(S52,techniques[name],0))&gt;=1,INDEX(techniques[detection rules for techique],MATCH(S52,techniques[name],0)),""),"")</f>
        <v/>
      </c>
      <c r="U52" s="45" t="n"/>
      <c r="V52" s="54">
        <f t="array" ref="V52">IF(U52&lt;&gt;"",IF(INDEX(techniques[detection rules for techique],MATCH(U52,techniques[name],0))&gt;=1,INDEX(techniques[detection rules for techique],MATCH(U52,techniques[name],0)),""),"")</f>
        <v/>
      </c>
      <c r="W52" s="45" t="n"/>
      <c r="X52" s="54">
        <f t="array" ref="X52">IF(W52&lt;&gt;"",IF(INDEX(techniques[detection rules for techique],MATCH(W52,techniques[name],0))&gt;=1,INDEX(techniques[detection rules for techique],MATCH(W52,techniques[name],0)),""),"")</f>
        <v/>
      </c>
      <c r="Y52" s="45" t="n"/>
      <c r="Z52" s="54">
        <f t="array" ref="Z52">IF(Y52&lt;&gt;"",IF(INDEX(techniques[detection rules for techique],MATCH(Y52,techniques[name],0))&gt;=1,INDEX(techniques[detection rules for techique],MATCH(Y52,techniques[name],0)),""),"")</f>
        <v/>
      </c>
      <c r="AA52" s="45" t="n"/>
      <c r="AB52" s="54">
        <f t="array" ref="AB52">IF(AA52&lt;&gt;"",IF(INDEX(techniques[detection rules for techique],MATCH(AA52,techniques[name],0))&gt;=1,INDEX(techniques[detection rules for techique],MATCH(AA52,techniques[name],0)),""),"")</f>
        <v/>
      </c>
      <c r="AC52" s="45" t="n"/>
      <c r="AD52" s="54">
        <f t="array" ref="AD52">IF(AC52&lt;&gt;"",IF(INDEX(techniques[detection rules for techique],MATCH(AC52,techniques[name],0))&gt;=1,INDEX(techniques[detection rules for techique],MATCH(AC52,techniques[name],0)),""),"")</f>
        <v/>
      </c>
    </row>
    <row r="53" ht="22.5" customHeight="1">
      <c r="A53" s="45" t="n"/>
      <c r="B53" s="54">
        <f t="array" ref="B53">IF(A53&lt;&gt;"",IF(INDEX(techniques[detection rules for techique],MATCH(A53,techniques[name],0))&gt;=1,INDEX(techniques[detection rules for techique],MATCH(A53,techniques[name],0)),""),"")</f>
        <v/>
      </c>
      <c r="C53" s="45" t="n"/>
      <c r="D53" s="54">
        <f t="array" ref="D53">IF(C53&lt;&gt;"",IF(INDEX(techniques[detection rules for techique],MATCH(C53,techniques[name],0))&gt;=1,INDEX(techniques[detection rules for techique],MATCH(C53,techniques[name],0)),""),"")</f>
        <v/>
      </c>
      <c r="E53" s="45" t="n"/>
      <c r="F53" s="54">
        <f t="array" ref="F53">IF(E53&lt;&gt;"",IF(INDEX(techniques[detection rules for techique],MATCH(E53,techniques[name],0))&gt;=1,INDEX(techniques[detection rules for techique],MATCH(E53,techniques[name],0)),""),"")</f>
        <v/>
      </c>
      <c r="G53" s="45" t="inlineStr">
        <is>
          <t>Path Interception by Unquoted Path (T1574.009)</t>
        </is>
      </c>
      <c r="H53" s="54">
        <f t="array" ref="H53">IF(G53&lt;&gt;"",IF(INDEX(techniques[detection rules for techique],MATCH(G53,techniques[name],0))&gt;=1,INDEX(techniques[detection rules for techique],MATCH(G53,techniques[name],0)),""),"")</f>
        <v/>
      </c>
      <c r="I53" s="45" t="inlineStr">
        <is>
          <t>vSphere Installation Bundles (T1505.006)</t>
        </is>
      </c>
      <c r="J53" s="54">
        <f t="array" ref="J53">IF(I53&lt;&gt;"",IF(INDEX(techniques[detection rules for techique],MATCH(I53,techniques[name],0))&gt;=1,INDEX(techniques[detection rules for techique],MATCH(I53,techniques[name],0)),""),"")</f>
        <v/>
      </c>
      <c r="K53" s="45" t="inlineStr">
        <is>
          <t>Windows Service (T1543.003)</t>
        </is>
      </c>
      <c r="L53" s="54">
        <f t="array" ref="L53">IF(K53&lt;&gt;"",IF(INDEX(techniques[detection rules for techique],MATCH(K53,techniques[name],0))&gt;=1,INDEX(techniques[detection rules for techique],MATCH(K53,techniques[name],0)),""),"")</f>
        <v/>
      </c>
      <c r="M53" s="45" t="inlineStr">
        <is>
          <t>Timestomp (T1070.006)</t>
        </is>
      </c>
      <c r="N53" s="54">
        <f t="array" ref="N53">IF(M53&lt;&gt;"",IF(INDEX(techniques[detection rules for techique],MATCH(M53,techniques[name],0))&gt;=1,INDEX(techniques[detection rules for techique],MATCH(M53,techniques[name],0)),""),"")</f>
        <v/>
      </c>
      <c r="O53" s="45" t="inlineStr">
        <is>
          <t>Windows Host Firewall (T1686.003)</t>
        </is>
      </c>
      <c r="P53" s="54">
        <f t="array" ref="P53">IF(O53&lt;&gt;"",IF(INDEX(techniques[detection rules for techique],MATCH(O53,techniques[name],0))&gt;=1,INDEX(techniques[detection rules for techique],MATCH(O53,techniques[name],0)),""),"")</f>
        <v/>
      </c>
      <c r="Q53" s="45" t="inlineStr">
        <is>
          <t>Adversary-in-the-Middle (T1557)</t>
        </is>
      </c>
      <c r="R53" s="54">
        <f t="array" ref="R53">IF(Q53&lt;&gt;"",IF(INDEX(techniques[detection rules for techique],MATCH(Q53,techniques[name],0))&gt;=1,INDEX(techniques[detection rules for techique],MATCH(Q53,techniques[name],0)),""),"")</f>
        <v/>
      </c>
      <c r="S53" s="45" t="n"/>
      <c r="T53" s="54">
        <f t="array" ref="T53">IF(S53&lt;&gt;"",IF(INDEX(techniques[detection rules for techique],MATCH(S53,techniques[name],0))&gt;=1,INDEX(techniques[detection rules for techique],MATCH(S53,techniques[name],0)),""),"")</f>
        <v/>
      </c>
      <c r="U53" s="45" t="n"/>
      <c r="V53" s="54">
        <f t="array" ref="V53">IF(U53&lt;&gt;"",IF(INDEX(techniques[detection rules for techique],MATCH(U53,techniques[name],0))&gt;=1,INDEX(techniques[detection rules for techique],MATCH(U53,techniques[name],0)),""),"")</f>
        <v/>
      </c>
      <c r="W53" s="45" t="n"/>
      <c r="X53" s="54">
        <f t="array" ref="X53">IF(W53&lt;&gt;"",IF(INDEX(techniques[detection rules for techique],MATCH(W53,techniques[name],0))&gt;=1,INDEX(techniques[detection rules for techique],MATCH(W53,techniques[name],0)),""),"")</f>
        <v/>
      </c>
      <c r="Y53" s="45" t="n"/>
      <c r="Z53" s="54">
        <f t="array" ref="Z53">IF(Y53&lt;&gt;"",IF(INDEX(techniques[detection rules for techique],MATCH(Y53,techniques[name],0))&gt;=1,INDEX(techniques[detection rules for techique],MATCH(Y53,techniques[name],0)),""),"")</f>
        <v/>
      </c>
      <c r="AA53" s="45" t="n"/>
      <c r="AB53" s="54">
        <f t="array" ref="AB53">IF(AA53&lt;&gt;"",IF(INDEX(techniques[detection rules for techique],MATCH(AA53,techniques[name],0))&gt;=1,INDEX(techniques[detection rules for techique],MATCH(AA53,techniques[name],0)),""),"")</f>
        <v/>
      </c>
      <c r="AC53" s="45" t="n"/>
      <c r="AD53" s="54">
        <f t="array" ref="AD53">IF(AC53&lt;&gt;"",IF(INDEX(techniques[detection rules for techique],MATCH(AC53,techniques[name],0))&gt;=1,INDEX(techniques[detection rules for techique],MATCH(AC53,techniques[name],0)),""),"")</f>
        <v/>
      </c>
    </row>
    <row r="54" ht="22.5" customHeight="1">
      <c r="A54" s="45" t="n"/>
      <c r="B54" s="54">
        <f t="array" ref="B54">IF(A54&lt;&gt;"",IF(INDEX(techniques[detection rules for techique],MATCH(A54,techniques[name],0))&gt;=1,INDEX(techniques[detection rules for techique],MATCH(A54,techniques[name],0)),""),"")</f>
        <v/>
      </c>
      <c r="C54" s="45" t="n"/>
      <c r="D54" s="54">
        <f t="array" ref="D54">IF(C54&lt;&gt;"",IF(INDEX(techniques[detection rules for techique],MATCH(C54,techniques[name],0))&gt;=1,INDEX(techniques[detection rules for techique],MATCH(C54,techniques[name],0)),""),"")</f>
        <v/>
      </c>
      <c r="E54" s="45" t="n"/>
      <c r="F54" s="54">
        <f t="array" ref="F54">IF(E54&lt;&gt;"",IF(INDEX(techniques[detection rules for techique],MATCH(E54,techniques[name],0))&gt;=1,INDEX(techniques[detection rules for techique],MATCH(E54,techniques[name],0)),""),"")</f>
        <v/>
      </c>
      <c r="G54" s="45" t="inlineStr">
        <is>
          <t>Services File Permissions Weakness (T1574.010)</t>
        </is>
      </c>
      <c r="H54" s="54">
        <f t="array" ref="H54">IF(G54&lt;&gt;"",IF(INDEX(techniques[detection rules for techique],MATCH(G54,techniques[name],0))&gt;=1,INDEX(techniques[detection rules for techique],MATCH(G54,techniques[name],0)),""),"")</f>
        <v/>
      </c>
      <c r="I54" s="45" t="inlineStr">
        <is>
          <t>Implant Internal Image (T1525)</t>
        </is>
      </c>
      <c r="J54" s="54">
        <f t="array" ref="J54">IF(I54&lt;&gt;"",IF(INDEX(techniques[detection rules for techique],MATCH(I54,techniques[name],0))&gt;=1,INDEX(techniques[detection rules for techique],MATCH(I54,techniques[name],0)),""),"")</f>
        <v/>
      </c>
      <c r="K54" s="45" t="inlineStr">
        <is>
          <t>Launch Daemon (T1543.004)</t>
        </is>
      </c>
      <c r="L54" s="54">
        <f t="array" ref="L54">IF(K54&lt;&gt;"",IF(INDEX(techniques[detection rules for techique],MATCH(K54,techniques[name],0))&gt;=1,INDEX(techniques[detection rules for techique],MATCH(K54,techniques[name],0)),""),"")</f>
        <v/>
      </c>
      <c r="M54" s="45" t="inlineStr">
        <is>
          <t>Clear Network Connection History and Configurations (T1070.007)</t>
        </is>
      </c>
      <c r="N54" s="54">
        <f t="array" ref="N54">IF(M54&lt;&gt;"",IF(INDEX(techniques[detection rules for techique],MATCH(M54,techniques[name],0))&gt;=1,INDEX(techniques[detection rules for techique],MATCH(M54,techniques[name],0)),""),"")</f>
        <v/>
      </c>
      <c r="O54" s="45" t="inlineStr">
        <is>
          <t>Exploitation for Defense Impairment (T1687)</t>
        </is>
      </c>
      <c r="P54" s="54">
        <f t="array" ref="P54">IF(O54&lt;&gt;"",IF(INDEX(techniques[detection rules for techique],MATCH(O54,techniques[name],0))&gt;=1,INDEX(techniques[detection rules for techique],MATCH(O54,techniques[name],0)),""),"")</f>
        <v/>
      </c>
      <c r="Q54" s="45" t="inlineStr">
        <is>
          <t>Name Resolution Poisoning and SMB Relay (T1557.001)</t>
        </is>
      </c>
      <c r="R54" s="54">
        <f t="array" ref="R54">IF(Q54&lt;&gt;"",IF(INDEX(techniques[detection rules for techique],MATCH(Q54,techniques[name],0))&gt;=1,INDEX(techniques[detection rules for techique],MATCH(Q54,techniques[name],0)),""),"")</f>
        <v/>
      </c>
      <c r="S54" s="45" t="n"/>
      <c r="T54" s="54">
        <f t="array" ref="T54">IF(S54&lt;&gt;"",IF(INDEX(techniques[detection rules for techique],MATCH(S54,techniques[name],0))&gt;=1,INDEX(techniques[detection rules for techique],MATCH(S54,techniques[name],0)),""),"")</f>
        <v/>
      </c>
      <c r="U54" s="45" t="n"/>
      <c r="V54" s="54">
        <f t="array" ref="V54">IF(U54&lt;&gt;"",IF(INDEX(techniques[detection rules for techique],MATCH(U54,techniques[name],0))&gt;=1,INDEX(techniques[detection rules for techique],MATCH(U54,techniques[name],0)),""),"")</f>
        <v/>
      </c>
      <c r="W54" s="45" t="n"/>
      <c r="X54" s="54">
        <f t="array" ref="X54">IF(W54&lt;&gt;"",IF(INDEX(techniques[detection rules for techique],MATCH(W54,techniques[name],0))&gt;=1,INDEX(techniques[detection rules for techique],MATCH(W54,techniques[name],0)),""),"")</f>
        <v/>
      </c>
      <c r="Y54" s="45" t="n"/>
      <c r="Z54" s="54">
        <f t="array" ref="Z54">IF(Y54&lt;&gt;"",IF(INDEX(techniques[detection rules for techique],MATCH(Y54,techniques[name],0))&gt;=1,INDEX(techniques[detection rules for techique],MATCH(Y54,techniques[name],0)),""),"")</f>
        <v/>
      </c>
      <c r="AA54" s="45" t="n"/>
      <c r="AB54" s="54">
        <f t="array" ref="AB54">IF(AA54&lt;&gt;"",IF(INDEX(techniques[detection rules for techique],MATCH(AA54,techniques[name],0))&gt;=1,INDEX(techniques[detection rules for techique],MATCH(AA54,techniques[name],0)),""),"")</f>
        <v/>
      </c>
      <c r="AC54" s="45" t="n"/>
      <c r="AD54" s="54">
        <f t="array" ref="AD54">IF(AC54&lt;&gt;"",IF(INDEX(techniques[detection rules for techique],MATCH(AC54,techniques[name],0))&gt;=1,INDEX(techniques[detection rules for techique],MATCH(AC54,techniques[name],0)),""),"")</f>
        <v/>
      </c>
    </row>
    <row r="55" ht="22.5" customHeight="1">
      <c r="A55" s="45" t="n"/>
      <c r="B55" s="54">
        <f t="array" ref="B55">IF(A55&lt;&gt;"",IF(INDEX(techniques[detection rules for techique],MATCH(A55,techniques[name],0))&gt;=1,INDEX(techniques[detection rules for techique],MATCH(A55,techniques[name],0)),""),"")</f>
        <v/>
      </c>
      <c r="C55" s="45" t="n"/>
      <c r="D55" s="54">
        <f t="array" ref="D55">IF(C55&lt;&gt;"",IF(INDEX(techniques[detection rules for techique],MATCH(C55,techniques[name],0))&gt;=1,INDEX(techniques[detection rules for techique],MATCH(C55,techniques[name],0)),""),"")</f>
        <v/>
      </c>
      <c r="E55" s="45" t="n"/>
      <c r="F55" s="54">
        <f t="array" ref="F55">IF(E55&lt;&gt;"",IF(INDEX(techniques[detection rules for techique],MATCH(E55,techniques[name],0))&gt;=1,INDEX(techniques[detection rules for techique],MATCH(E55,techniques[name],0)),""),"")</f>
        <v/>
      </c>
      <c r="G55" s="45" t="inlineStr">
        <is>
          <t>Services Registry Permissions Weakness (T1574.011)</t>
        </is>
      </c>
      <c r="H55" s="54">
        <f t="array" ref="H55">IF(G55&lt;&gt;"",IF(INDEX(techniques[detection rules for techique],MATCH(G55,techniques[name],0))&gt;=1,INDEX(techniques[detection rules for techique],MATCH(G55,techniques[name],0)),""),"")</f>
        <v/>
      </c>
      <c r="I55" s="45" t="inlineStr">
        <is>
          <t>Pre-OS Boot (T1542)</t>
        </is>
      </c>
      <c r="J55" s="54">
        <f t="array" ref="J55">IF(I55&lt;&gt;"",IF(INDEX(techniques[detection rules for techique],MATCH(I55,techniques[name],0))&gt;=1,INDEX(techniques[detection rules for techique],MATCH(I55,techniques[name],0)),""),"")</f>
        <v/>
      </c>
      <c r="K55" s="45" t="inlineStr">
        <is>
          <t>Container Service (T1543.005)</t>
        </is>
      </c>
      <c r="L55" s="54">
        <f t="array" ref="L55">IF(K55&lt;&gt;"",IF(INDEX(techniques[detection rules for techique],MATCH(K55,techniques[name],0))&gt;=1,INDEX(techniques[detection rules for techique],MATCH(K55,techniques[name],0)),""),"")</f>
        <v/>
      </c>
      <c r="M55" s="45" t="inlineStr">
        <is>
          <t>Clear Mailbox Data (T1070.008)</t>
        </is>
      </c>
      <c r="N55" s="54">
        <f t="array" ref="N55">IF(M55&lt;&gt;"",IF(INDEX(techniques[detection rules for techique],MATCH(M55,techniques[name],0))&gt;=1,INDEX(techniques[detection rules for techique],MATCH(M55,techniques[name],0)),""),"")</f>
        <v/>
      </c>
      <c r="O55" s="45" t="inlineStr">
        <is>
          <t>Safe Mode Boot (T1688)</t>
        </is>
      </c>
      <c r="P55" s="54">
        <f t="array" ref="P55">IF(O55&lt;&gt;"",IF(INDEX(techniques[detection rules for techique],MATCH(O55,techniques[name],0))&gt;=1,INDEX(techniques[detection rules for techique],MATCH(O55,techniques[name],0)),""),"")</f>
        <v/>
      </c>
      <c r="Q55" s="45" t="inlineStr">
        <is>
          <t>ARP Cache Poisoning (T1557.002)</t>
        </is>
      </c>
      <c r="R55" s="54">
        <f t="array" ref="R55">IF(Q55&lt;&gt;"",IF(INDEX(techniques[detection rules for techique],MATCH(Q55,techniques[name],0))&gt;=1,INDEX(techniques[detection rules for techique],MATCH(Q55,techniques[name],0)),""),"")</f>
        <v/>
      </c>
      <c r="S55" s="45" t="n"/>
      <c r="T55" s="54">
        <f t="array" ref="T55">IF(S55&lt;&gt;"",IF(INDEX(techniques[detection rules for techique],MATCH(S55,techniques[name],0))&gt;=1,INDEX(techniques[detection rules for techique],MATCH(S55,techniques[name],0)),""),"")</f>
        <v/>
      </c>
      <c r="U55" s="45" t="n"/>
      <c r="V55" s="54">
        <f t="array" ref="V55">IF(U55&lt;&gt;"",IF(INDEX(techniques[detection rules for techique],MATCH(U55,techniques[name],0))&gt;=1,INDEX(techniques[detection rules for techique],MATCH(U55,techniques[name],0)),""),"")</f>
        <v/>
      </c>
      <c r="W55" s="45" t="n"/>
      <c r="X55" s="54">
        <f t="array" ref="X55">IF(W55&lt;&gt;"",IF(INDEX(techniques[detection rules for techique],MATCH(W55,techniques[name],0))&gt;=1,INDEX(techniques[detection rules for techique],MATCH(W55,techniques[name],0)),""),"")</f>
        <v/>
      </c>
      <c r="Y55" s="45" t="n"/>
      <c r="Z55" s="54">
        <f t="array" ref="Z55">IF(Y55&lt;&gt;"",IF(INDEX(techniques[detection rules for techique],MATCH(Y55,techniques[name],0))&gt;=1,INDEX(techniques[detection rules for techique],MATCH(Y55,techniques[name],0)),""),"")</f>
        <v/>
      </c>
      <c r="AA55" s="45" t="n"/>
      <c r="AB55" s="54">
        <f t="array" ref="AB55">IF(AA55&lt;&gt;"",IF(INDEX(techniques[detection rules for techique],MATCH(AA55,techniques[name],0))&gt;=1,INDEX(techniques[detection rules for techique],MATCH(AA55,techniques[name],0)),""),"")</f>
        <v/>
      </c>
      <c r="AC55" s="45" t="n"/>
      <c r="AD55" s="54">
        <f t="array" ref="AD55">IF(AC55&lt;&gt;"",IF(INDEX(techniques[detection rules for techique],MATCH(AC55,techniques[name],0))&gt;=1,INDEX(techniques[detection rules for techique],MATCH(AC55,techniques[name],0)),""),"")</f>
        <v/>
      </c>
    </row>
    <row r="56" ht="22.5" customHeight="1">
      <c r="A56" s="45" t="n"/>
      <c r="B56" s="54">
        <f t="array" ref="B56">IF(A56&lt;&gt;"",IF(INDEX(techniques[detection rules for techique],MATCH(A56,techniques[name],0))&gt;=1,INDEX(techniques[detection rules for techique],MATCH(A56,techniques[name],0)),""),"")</f>
        <v/>
      </c>
      <c r="C56" s="45" t="n"/>
      <c r="D56" s="54">
        <f t="array" ref="D56">IF(C56&lt;&gt;"",IF(INDEX(techniques[detection rules for techique],MATCH(C56,techniques[name],0))&gt;=1,INDEX(techniques[detection rules for techique],MATCH(C56,techniques[name],0)),""),"")</f>
        <v/>
      </c>
      <c r="E56" s="45" t="n"/>
      <c r="F56" s="54">
        <f t="array" ref="F56">IF(E56&lt;&gt;"",IF(INDEX(techniques[detection rules for techique],MATCH(E56,techniques[name],0))&gt;=1,INDEX(techniques[detection rules for techique],MATCH(E56,techniques[name],0)),""),"")</f>
        <v/>
      </c>
      <c r="G56" s="45" t="inlineStr">
        <is>
          <t>COR_PROFILER (T1574.012)</t>
        </is>
      </c>
      <c r="H56" s="54">
        <f t="array" ref="H56">IF(G56&lt;&gt;"",IF(INDEX(techniques[detection rules for techique],MATCH(G56,techniques[name],0))&gt;=1,INDEX(techniques[detection rules for techique],MATCH(G56,techniques[name],0)),""),"")</f>
        <v/>
      </c>
      <c r="I56" s="45" t="inlineStr">
        <is>
          <t>System Firmware (T1542.001)</t>
        </is>
      </c>
      <c r="J56" s="54">
        <f t="array" ref="J56">IF(I56&lt;&gt;"",IF(INDEX(techniques[detection rules for techique],MATCH(I56,techniques[name],0))&gt;=1,INDEX(techniques[detection rules for techique],MATCH(I56,techniques[name],0)),""),"")</f>
        <v/>
      </c>
      <c r="K56" s="45" t="inlineStr">
        <is>
          <t>Event Triggered Execution (T1546)</t>
        </is>
      </c>
      <c r="L56" s="54">
        <f t="array" ref="L56">IF(K56&lt;&gt;"",IF(INDEX(techniques[detection rules for techique],MATCH(K56,techniques[name],0))&gt;=1,INDEX(techniques[detection rules for techique],MATCH(K56,techniques[name],0)),""),"")</f>
        <v/>
      </c>
      <c r="M56" s="45" t="inlineStr">
        <is>
          <t>Clear Persistence (T1070.009)</t>
        </is>
      </c>
      <c r="N56" s="54">
        <f t="array" ref="N56">IF(M56&lt;&gt;"",IF(INDEX(techniques[detection rules for techique],MATCH(M56,techniques[name],0))&gt;=1,INDEX(techniques[detection rules for techique],MATCH(M56,techniques[name],0)),""),"")</f>
        <v/>
      </c>
      <c r="O56" s="45" t="inlineStr">
        <is>
          <t>Downgrade Attack (T1689)</t>
        </is>
      </c>
      <c r="P56" s="54">
        <f t="array" ref="P56">IF(O56&lt;&gt;"",IF(INDEX(techniques[detection rules for techique],MATCH(O56,techniques[name],0))&gt;=1,INDEX(techniques[detection rules for techique],MATCH(O56,techniques[name],0)),""),"")</f>
        <v/>
      </c>
      <c r="Q56" s="45" t="inlineStr">
        <is>
          <t>DHCP Spoofing (T1557.003)</t>
        </is>
      </c>
      <c r="R56" s="54">
        <f t="array" ref="R56">IF(Q56&lt;&gt;"",IF(INDEX(techniques[detection rules for techique],MATCH(Q56,techniques[name],0))&gt;=1,INDEX(techniques[detection rules for techique],MATCH(Q56,techniques[name],0)),""),"")</f>
        <v/>
      </c>
      <c r="S56" s="45" t="n"/>
      <c r="T56" s="54">
        <f t="array" ref="T56">IF(S56&lt;&gt;"",IF(INDEX(techniques[detection rules for techique],MATCH(S56,techniques[name],0))&gt;=1,INDEX(techniques[detection rules for techique],MATCH(S56,techniques[name],0)),""),"")</f>
        <v/>
      </c>
      <c r="U56" s="45" t="n"/>
      <c r="V56" s="54">
        <f t="array" ref="V56">IF(U56&lt;&gt;"",IF(INDEX(techniques[detection rules for techique],MATCH(U56,techniques[name],0))&gt;=1,INDEX(techniques[detection rules for techique],MATCH(U56,techniques[name],0)),""),"")</f>
        <v/>
      </c>
      <c r="W56" s="45" t="n"/>
      <c r="X56" s="54">
        <f t="array" ref="X56">IF(W56&lt;&gt;"",IF(INDEX(techniques[detection rules for techique],MATCH(W56,techniques[name],0))&gt;=1,INDEX(techniques[detection rules for techique],MATCH(W56,techniques[name],0)),""),"")</f>
        <v/>
      </c>
      <c r="Y56" s="45" t="n"/>
      <c r="Z56" s="54">
        <f t="array" ref="Z56">IF(Y56&lt;&gt;"",IF(INDEX(techniques[detection rules for techique],MATCH(Y56,techniques[name],0))&gt;=1,INDEX(techniques[detection rules for techique],MATCH(Y56,techniques[name],0)),""),"")</f>
        <v/>
      </c>
      <c r="AA56" s="45" t="n"/>
      <c r="AB56" s="54">
        <f t="array" ref="AB56">IF(AA56&lt;&gt;"",IF(INDEX(techniques[detection rules for techique],MATCH(AA56,techniques[name],0))&gt;=1,INDEX(techniques[detection rules for techique],MATCH(AA56,techniques[name],0)),""),"")</f>
        <v/>
      </c>
      <c r="AC56" s="45" t="n"/>
      <c r="AD56" s="54">
        <f t="array" ref="AD56">IF(AC56&lt;&gt;"",IF(INDEX(techniques[detection rules for techique],MATCH(AC56,techniques[name],0))&gt;=1,INDEX(techniques[detection rules for techique],MATCH(AC56,techniques[name],0)),""),"")</f>
        <v/>
      </c>
    </row>
    <row r="57" ht="22.5" customHeight="1">
      <c r="A57" s="45" t="n"/>
      <c r="B57" s="54">
        <f t="array" ref="B57">IF(A57&lt;&gt;"",IF(INDEX(techniques[detection rules for techique],MATCH(A57,techniques[name],0))&gt;=1,INDEX(techniques[detection rules for techique],MATCH(A57,techniques[name],0)),""),"")</f>
        <v/>
      </c>
      <c r="C57" s="45" t="n"/>
      <c r="D57" s="54">
        <f t="array" ref="D57">IF(C57&lt;&gt;"",IF(INDEX(techniques[detection rules for techique],MATCH(C57,techniques[name],0))&gt;=1,INDEX(techniques[detection rules for techique],MATCH(C57,techniques[name],0)),""),"")</f>
        <v/>
      </c>
      <c r="E57" s="45" t="n"/>
      <c r="F57" s="54">
        <f t="array" ref="F57">IF(E57&lt;&gt;"",IF(INDEX(techniques[detection rules for techique],MATCH(E57,techniques[name],0))&gt;=1,INDEX(techniques[detection rules for techique],MATCH(E57,techniques[name],0)),""),"")</f>
        <v/>
      </c>
      <c r="G57" s="45" t="inlineStr">
        <is>
          <t>KernelCallbackTable (T1574.013)</t>
        </is>
      </c>
      <c r="H57" s="54">
        <f t="array" ref="H57">IF(G57&lt;&gt;"",IF(INDEX(techniques[detection rules for techique],MATCH(G57,techniques[name],0))&gt;=1,INDEX(techniques[detection rules for techique],MATCH(G57,techniques[name],0)),""),"")</f>
        <v/>
      </c>
      <c r="I57" s="45" t="inlineStr">
        <is>
          <t>Component Firmware (T1542.002)</t>
        </is>
      </c>
      <c r="J57" s="54">
        <f t="array" ref="J57">IF(I57&lt;&gt;"",IF(INDEX(techniques[detection rules for techique],MATCH(I57,techniques[name],0))&gt;=1,INDEX(techniques[detection rules for techique],MATCH(I57,techniques[name],0)),""),"")</f>
        <v/>
      </c>
      <c r="K57" s="45" t="inlineStr">
        <is>
          <t>Change Default File Association (T1546.001)</t>
        </is>
      </c>
      <c r="L57" s="54">
        <f t="array" ref="L57">IF(K57&lt;&gt;"",IF(INDEX(techniques[detection rules for techique],MATCH(K57,techniques[name],0))&gt;=1,INDEX(techniques[detection rules for techique],MATCH(K57,techniques[name],0)),""),"")</f>
        <v/>
      </c>
      <c r="M57" s="45" t="inlineStr">
        <is>
          <t>Relocate Malware (T1070.010)</t>
        </is>
      </c>
      <c r="N57" s="54">
        <f t="array" ref="N57">IF(M57&lt;&gt;"",IF(INDEX(techniques[detection rules for techique],MATCH(M57,techniques[name],0))&gt;=1,INDEX(techniques[detection rules for techique],MATCH(M57,techniques[name],0)),""),"")</f>
        <v/>
      </c>
      <c r="O57" s="45" t="inlineStr">
        <is>
          <t>Prevent Command History Logging (T1690)</t>
        </is>
      </c>
      <c r="P57" s="54">
        <f t="array" ref="P57">IF(O57&lt;&gt;"",IF(INDEX(techniques[detection rules for techique],MATCH(O57,techniques[name],0))&gt;=1,INDEX(techniques[detection rules for techique],MATCH(O57,techniques[name],0)),""),"")</f>
        <v/>
      </c>
      <c r="Q57" s="45" t="inlineStr">
        <is>
          <t>Evil Twin (T1557.004)</t>
        </is>
      </c>
      <c r="R57" s="54">
        <f t="array" ref="R57">IF(Q57&lt;&gt;"",IF(INDEX(techniques[detection rules for techique],MATCH(Q57,techniques[name],0))&gt;=1,INDEX(techniques[detection rules for techique],MATCH(Q57,techniques[name],0)),""),"")</f>
        <v/>
      </c>
      <c r="S57" s="45" t="n"/>
      <c r="T57" s="54">
        <f t="array" ref="T57">IF(S57&lt;&gt;"",IF(INDEX(techniques[detection rules for techique],MATCH(S57,techniques[name],0))&gt;=1,INDEX(techniques[detection rules for techique],MATCH(S57,techniques[name],0)),""),"")</f>
        <v/>
      </c>
      <c r="U57" s="45" t="n"/>
      <c r="V57" s="54">
        <f t="array" ref="V57">IF(U57&lt;&gt;"",IF(INDEX(techniques[detection rules for techique],MATCH(U57,techniques[name],0))&gt;=1,INDEX(techniques[detection rules for techique],MATCH(U57,techniques[name],0)),""),"")</f>
        <v/>
      </c>
      <c r="W57" s="45" t="n"/>
      <c r="X57" s="54">
        <f t="array" ref="X57">IF(W57&lt;&gt;"",IF(INDEX(techniques[detection rules for techique],MATCH(W57,techniques[name],0))&gt;=1,INDEX(techniques[detection rules for techique],MATCH(W57,techniques[name],0)),""),"")</f>
        <v/>
      </c>
      <c r="Y57" s="45" t="n"/>
      <c r="Z57" s="54">
        <f t="array" ref="Z57">IF(Y57&lt;&gt;"",IF(INDEX(techniques[detection rules for techique],MATCH(Y57,techniques[name],0))&gt;=1,INDEX(techniques[detection rules for techique],MATCH(Y57,techniques[name],0)),""),"")</f>
        <v/>
      </c>
      <c r="AA57" s="45" t="n"/>
      <c r="AB57" s="54">
        <f t="array" ref="AB57">IF(AA57&lt;&gt;"",IF(INDEX(techniques[detection rules for techique],MATCH(AA57,techniques[name],0))&gt;=1,INDEX(techniques[detection rules for techique],MATCH(AA57,techniques[name],0)),""),"")</f>
        <v/>
      </c>
      <c r="AC57" s="45" t="n"/>
      <c r="AD57" s="54">
        <f t="array" ref="AD57">IF(AC57&lt;&gt;"",IF(INDEX(techniques[detection rules for techique],MATCH(AC57,techniques[name],0))&gt;=1,INDEX(techniques[detection rules for techique],MATCH(AC57,techniques[name],0)),""),"")</f>
        <v/>
      </c>
    </row>
    <row r="58" ht="22.5" customHeight="1">
      <c r="A58" s="45" t="n"/>
      <c r="B58" s="54">
        <f t="array" ref="B58">IF(A58&lt;&gt;"",IF(INDEX(techniques[detection rules for techique],MATCH(A58,techniques[name],0))&gt;=1,INDEX(techniques[detection rules for techique],MATCH(A58,techniques[name],0)),""),"")</f>
        <v/>
      </c>
      <c r="C58" s="45" t="n"/>
      <c r="D58" s="54">
        <f t="array" ref="D58">IF(C58&lt;&gt;"",IF(INDEX(techniques[detection rules for techique],MATCH(C58,techniques[name],0))&gt;=1,INDEX(techniques[detection rules for techique],MATCH(C58,techniques[name],0)),""),"")</f>
        <v/>
      </c>
      <c r="E58" s="45" t="n"/>
      <c r="F58" s="54">
        <f t="array" ref="F58">IF(E58&lt;&gt;"",IF(INDEX(techniques[detection rules for techique],MATCH(E58,techniques[name],0))&gt;=1,INDEX(techniques[detection rules for techique],MATCH(E58,techniques[name],0)),""),"")</f>
        <v/>
      </c>
      <c r="G58" s="45" t="inlineStr">
        <is>
          <t>AppDomainManager (T1574.014)</t>
        </is>
      </c>
      <c r="H58" s="54">
        <f t="array" ref="H58">IF(G58&lt;&gt;"",IF(INDEX(techniques[detection rules for techique],MATCH(G58,techniques[name],0))&gt;=1,INDEX(techniques[detection rules for techique],MATCH(G58,techniques[name],0)),""),"")</f>
        <v/>
      </c>
      <c r="I58" s="45" t="inlineStr">
        <is>
          <t>Bootkit (T1542.003)</t>
        </is>
      </c>
      <c r="J58" s="54">
        <f t="array" ref="J58">IF(I58&lt;&gt;"",IF(INDEX(techniques[detection rules for techique],MATCH(I58,techniques[name],0))&gt;=1,INDEX(techniques[detection rules for techique],MATCH(I58,techniques[name],0)),""),"")</f>
        <v/>
      </c>
      <c r="K58" s="45" t="inlineStr">
        <is>
          <t>Screensaver (T1546.002)</t>
        </is>
      </c>
      <c r="L58" s="54">
        <f t="array" ref="L58">IF(K58&lt;&gt;"",IF(INDEX(techniques[detection rules for techique],MATCH(K58,techniques[name],0))&gt;=1,INDEX(techniques[detection rules for techique],MATCH(K58,techniques[name],0)),""),"")</f>
        <v/>
      </c>
      <c r="M58" s="45" t="inlineStr">
        <is>
          <t>Valid Accounts (T1078)</t>
        </is>
      </c>
      <c r="N58" s="54">
        <f t="array" ref="N58">IF(M58&lt;&gt;"",IF(INDEX(techniques[detection rules for techique],MATCH(M58,techniques[name],0))&gt;=1,INDEX(techniques[detection rules for techique],MATCH(M58,techniques[name],0)),""),"")</f>
        <v/>
      </c>
      <c r="O58" s="45" t="n"/>
      <c r="P58" s="54">
        <f t="array" ref="P58">IF(O58&lt;&gt;"",IF(INDEX(techniques[detection rules for techique],MATCH(O58,techniques[name],0))&gt;=1,INDEX(techniques[detection rules for techique],MATCH(O58,techniques[name],0)),""),"")</f>
        <v/>
      </c>
      <c r="Q58" s="45" t="inlineStr">
        <is>
          <t>Steal or Forge Kerberos Tickets (T1558)</t>
        </is>
      </c>
      <c r="R58" s="54">
        <f t="array" ref="R58">IF(Q58&lt;&gt;"",IF(INDEX(techniques[detection rules for techique],MATCH(Q58,techniques[name],0))&gt;=1,INDEX(techniques[detection rules for techique],MATCH(Q58,techniques[name],0)),""),"")</f>
        <v/>
      </c>
      <c r="S58" s="45" t="n"/>
      <c r="T58" s="54">
        <f t="array" ref="T58">IF(S58&lt;&gt;"",IF(INDEX(techniques[detection rules for techique],MATCH(S58,techniques[name],0))&gt;=1,INDEX(techniques[detection rules for techique],MATCH(S58,techniques[name],0)),""),"")</f>
        <v/>
      </c>
      <c r="U58" s="45" t="n"/>
      <c r="V58" s="54">
        <f t="array" ref="V58">IF(U58&lt;&gt;"",IF(INDEX(techniques[detection rules for techique],MATCH(U58,techniques[name],0))&gt;=1,INDEX(techniques[detection rules for techique],MATCH(U58,techniques[name],0)),""),"")</f>
        <v/>
      </c>
      <c r="W58" s="45" t="n"/>
      <c r="X58" s="54">
        <f t="array" ref="X58">IF(W58&lt;&gt;"",IF(INDEX(techniques[detection rules for techique],MATCH(W58,techniques[name],0))&gt;=1,INDEX(techniques[detection rules for techique],MATCH(W58,techniques[name],0)),""),"")</f>
        <v/>
      </c>
      <c r="Y58" s="45" t="n"/>
      <c r="Z58" s="54">
        <f t="array" ref="Z58">IF(Y58&lt;&gt;"",IF(INDEX(techniques[detection rules for techique],MATCH(Y58,techniques[name],0))&gt;=1,INDEX(techniques[detection rules for techique],MATCH(Y58,techniques[name],0)),""),"")</f>
        <v/>
      </c>
      <c r="AA58" s="45" t="n"/>
      <c r="AB58" s="54">
        <f t="array" ref="AB58">IF(AA58&lt;&gt;"",IF(INDEX(techniques[detection rules for techique],MATCH(AA58,techniques[name],0))&gt;=1,INDEX(techniques[detection rules for techique],MATCH(AA58,techniques[name],0)),""),"")</f>
        <v/>
      </c>
      <c r="AC58" s="45" t="n"/>
      <c r="AD58" s="54">
        <f t="array" ref="AD58">IF(AC58&lt;&gt;"",IF(INDEX(techniques[detection rules for techique],MATCH(AC58,techniques[name],0))&gt;=1,INDEX(techniques[detection rules for techique],MATCH(AC58,techniques[name],0)),""),"")</f>
        <v/>
      </c>
    </row>
    <row r="59" ht="22.5" customHeight="1">
      <c r="A59" s="45" t="n"/>
      <c r="B59" s="54">
        <f t="array" ref="B59">IF(A59&lt;&gt;"",IF(INDEX(techniques[detection rules for techique],MATCH(A59,techniques[name],0))&gt;=1,INDEX(techniques[detection rules for techique],MATCH(A59,techniques[name],0)),""),"")</f>
        <v/>
      </c>
      <c r="C59" s="45" t="n"/>
      <c r="D59" s="54">
        <f t="array" ref="D59">IF(C59&lt;&gt;"",IF(INDEX(techniques[detection rules for techique],MATCH(C59,techniques[name],0))&gt;=1,INDEX(techniques[detection rules for techique],MATCH(C59,techniques[name],0)),""),"")</f>
        <v/>
      </c>
      <c r="E59" s="45" t="n"/>
      <c r="F59" s="54">
        <f t="array" ref="F59">IF(E59&lt;&gt;"",IF(INDEX(techniques[detection rules for techique],MATCH(E59,techniques[name],0))&gt;=1,INDEX(techniques[detection rules for techique],MATCH(E59,techniques[name],0)),""),"")</f>
        <v/>
      </c>
      <c r="G59" s="45" t="inlineStr">
        <is>
          <t>Container Administration Command (T1609)</t>
        </is>
      </c>
      <c r="H59" s="54">
        <f t="array" ref="H59">IF(G59&lt;&gt;"",IF(INDEX(techniques[detection rules for techique],MATCH(G59,techniques[name],0))&gt;=1,INDEX(techniques[detection rules for techique],MATCH(G59,techniques[name],0)),""),"")</f>
        <v/>
      </c>
      <c r="I59" s="45" t="inlineStr">
        <is>
          <t>ROMMONkit (T1542.004)</t>
        </is>
      </c>
      <c r="J59" s="54">
        <f t="array" ref="J59">IF(I59&lt;&gt;"",IF(INDEX(techniques[detection rules for techique],MATCH(I59,techniques[name],0))&gt;=1,INDEX(techniques[detection rules for techique],MATCH(I59,techniques[name],0)),""),"")</f>
        <v/>
      </c>
      <c r="K59" s="45" t="inlineStr">
        <is>
          <t>Windows Management Instrumentation Event Subscription (T1546.003)</t>
        </is>
      </c>
      <c r="L59" s="54">
        <f t="array" ref="L59">IF(K59&lt;&gt;"",IF(INDEX(techniques[detection rules for techique],MATCH(K59,techniques[name],0))&gt;=1,INDEX(techniques[detection rules for techique],MATCH(K59,techniques[name],0)),""),"")</f>
        <v/>
      </c>
      <c r="M59" s="45" t="inlineStr">
        <is>
          <t>Default Accounts (T1078.001)</t>
        </is>
      </c>
      <c r="N59" s="54">
        <f t="array" ref="N59">IF(M59&lt;&gt;"",IF(INDEX(techniques[detection rules for techique],MATCH(M59,techniques[name],0))&gt;=1,INDEX(techniques[detection rules for techique],MATCH(M59,techniques[name],0)),""),"")</f>
        <v/>
      </c>
      <c r="O59" s="45" t="n"/>
      <c r="P59" s="54">
        <f t="array" ref="P59">IF(O59&lt;&gt;"",IF(INDEX(techniques[detection rules for techique],MATCH(O59,techniques[name],0))&gt;=1,INDEX(techniques[detection rules for techique],MATCH(O59,techniques[name],0)),""),"")</f>
        <v/>
      </c>
      <c r="Q59" s="45" t="inlineStr">
        <is>
          <t>Golden Ticket (T1558.001)</t>
        </is>
      </c>
      <c r="R59" s="54">
        <f t="array" ref="R59">IF(Q59&lt;&gt;"",IF(INDEX(techniques[detection rules for techique],MATCH(Q59,techniques[name],0))&gt;=1,INDEX(techniques[detection rules for techique],MATCH(Q59,techniques[name],0)),""),"")</f>
        <v/>
      </c>
      <c r="S59" s="45" t="n"/>
      <c r="T59" s="54">
        <f t="array" ref="T59">IF(S59&lt;&gt;"",IF(INDEX(techniques[detection rules for techique],MATCH(S59,techniques[name],0))&gt;=1,INDEX(techniques[detection rules for techique],MATCH(S59,techniques[name],0)),""),"")</f>
        <v/>
      </c>
      <c r="U59" s="45" t="n"/>
      <c r="V59" s="54">
        <f t="array" ref="V59">IF(U59&lt;&gt;"",IF(INDEX(techniques[detection rules for techique],MATCH(U59,techniques[name],0))&gt;=1,INDEX(techniques[detection rules for techique],MATCH(U59,techniques[name],0)),""),"")</f>
        <v/>
      </c>
      <c r="W59" s="45" t="n"/>
      <c r="X59" s="54">
        <f t="array" ref="X59">IF(W59&lt;&gt;"",IF(INDEX(techniques[detection rules for techique],MATCH(W59,techniques[name],0))&gt;=1,INDEX(techniques[detection rules for techique],MATCH(W59,techniques[name],0)),""),"")</f>
        <v/>
      </c>
      <c r="Y59" s="45" t="n"/>
      <c r="Z59" s="54">
        <f t="array" ref="Z59">IF(Y59&lt;&gt;"",IF(INDEX(techniques[detection rules for techique],MATCH(Y59,techniques[name],0))&gt;=1,INDEX(techniques[detection rules for techique],MATCH(Y59,techniques[name],0)),""),"")</f>
        <v/>
      </c>
      <c r="AA59" s="45" t="n"/>
      <c r="AB59" s="54">
        <f t="array" ref="AB59">IF(AA59&lt;&gt;"",IF(INDEX(techniques[detection rules for techique],MATCH(AA59,techniques[name],0))&gt;=1,INDEX(techniques[detection rules for techique],MATCH(AA59,techniques[name],0)),""),"")</f>
        <v/>
      </c>
      <c r="AC59" s="45" t="n"/>
      <c r="AD59" s="54">
        <f t="array" ref="AD59">IF(AC59&lt;&gt;"",IF(INDEX(techniques[detection rules for techique],MATCH(AC59,techniques[name],0))&gt;=1,INDEX(techniques[detection rules for techique],MATCH(AC59,techniques[name],0)),""),"")</f>
        <v/>
      </c>
    </row>
    <row r="60" ht="33.75" customHeight="1">
      <c r="A60" s="45" t="n"/>
      <c r="B60" s="54">
        <f t="array" ref="B60">IF(A60&lt;&gt;"",IF(INDEX(techniques[detection rules for techique],MATCH(A60,techniques[name],0))&gt;=1,INDEX(techniques[detection rules for techique],MATCH(A60,techniques[name],0)),""),"")</f>
        <v/>
      </c>
      <c r="C60" s="45" t="n"/>
      <c r="D60" s="54">
        <f t="array" ref="D60">IF(C60&lt;&gt;"",IF(INDEX(techniques[detection rules for techique],MATCH(C60,techniques[name],0))&gt;=1,INDEX(techniques[detection rules for techique],MATCH(C60,techniques[name],0)),""),"")</f>
        <v/>
      </c>
      <c r="E60" s="45" t="n"/>
      <c r="F60" s="54">
        <f t="array" ref="F60">IF(E60&lt;&gt;"",IF(INDEX(techniques[detection rules for techique],MATCH(E60,techniques[name],0))&gt;=1,INDEX(techniques[detection rules for techique],MATCH(E60,techniques[name],0)),""),"")</f>
        <v/>
      </c>
      <c r="G60" s="45" t="inlineStr">
        <is>
          <t>Deploy Container (T1610)</t>
        </is>
      </c>
      <c r="H60" s="54">
        <f t="array" ref="H60">IF(G60&lt;&gt;"",IF(INDEX(techniques[detection rules for techique],MATCH(G60,techniques[name],0))&gt;=1,INDEX(techniques[detection rules for techique],MATCH(G60,techniques[name],0)),""),"")</f>
        <v/>
      </c>
      <c r="I60" s="45" t="inlineStr">
        <is>
          <t>TFTP Boot (T1542.005)</t>
        </is>
      </c>
      <c r="J60" s="54">
        <f t="array" ref="J60">IF(I60&lt;&gt;"",IF(INDEX(techniques[detection rules for techique],MATCH(I60,techniques[name],0))&gt;=1,INDEX(techniques[detection rules for techique],MATCH(I60,techniques[name],0)),""),"")</f>
        <v/>
      </c>
      <c r="K60" s="45" t="inlineStr">
        <is>
          <t>Unix Shell Configuration Modification (T1546.004)</t>
        </is>
      </c>
      <c r="L60" s="54">
        <f t="array" ref="L60">IF(K60&lt;&gt;"",IF(INDEX(techniques[detection rules for techique],MATCH(K60,techniques[name],0))&gt;=1,INDEX(techniques[detection rules for techique],MATCH(K60,techniques[name],0)),""),"")</f>
        <v/>
      </c>
      <c r="M60" s="45" t="inlineStr">
        <is>
          <t>Domain Accounts (T1078.002)</t>
        </is>
      </c>
      <c r="N60" s="54">
        <f t="array" ref="N60">IF(M60&lt;&gt;"",IF(INDEX(techniques[detection rules for techique],MATCH(M60,techniques[name],0))&gt;=1,INDEX(techniques[detection rules for techique],MATCH(M60,techniques[name],0)),""),"")</f>
        <v/>
      </c>
      <c r="O60" s="45" t="n"/>
      <c r="P60" s="54">
        <f t="array" ref="P60">IF(O60&lt;&gt;"",IF(INDEX(techniques[detection rules for techique],MATCH(O60,techniques[name],0))&gt;=1,INDEX(techniques[detection rules for techique],MATCH(O60,techniques[name],0)),""),"")</f>
        <v/>
      </c>
      <c r="Q60" s="45" t="inlineStr">
        <is>
          <t>Silver Ticket (T1558.002)</t>
        </is>
      </c>
      <c r="R60" s="54">
        <f t="array" ref="R60">IF(Q60&lt;&gt;"",IF(INDEX(techniques[detection rules for techique],MATCH(Q60,techniques[name],0))&gt;=1,INDEX(techniques[detection rules for techique],MATCH(Q60,techniques[name],0)),""),"")</f>
        <v/>
      </c>
      <c r="S60" s="45" t="n"/>
      <c r="T60" s="54">
        <f t="array" ref="T60">IF(S60&lt;&gt;"",IF(INDEX(techniques[detection rules for techique],MATCH(S60,techniques[name],0))&gt;=1,INDEX(techniques[detection rules for techique],MATCH(S60,techniques[name],0)),""),"")</f>
        <v/>
      </c>
      <c r="U60" s="45" t="n"/>
      <c r="V60" s="54">
        <f t="array" ref="V60">IF(U60&lt;&gt;"",IF(INDEX(techniques[detection rules for techique],MATCH(U60,techniques[name],0))&gt;=1,INDEX(techniques[detection rules for techique],MATCH(U60,techniques[name],0)),""),"")</f>
        <v/>
      </c>
      <c r="W60" s="45" t="n"/>
      <c r="X60" s="54">
        <f t="array" ref="X60">IF(W60&lt;&gt;"",IF(INDEX(techniques[detection rules for techique],MATCH(W60,techniques[name],0))&gt;=1,INDEX(techniques[detection rules for techique],MATCH(W60,techniques[name],0)),""),"")</f>
        <v/>
      </c>
      <c r="Y60" s="45" t="n"/>
      <c r="Z60" s="54">
        <f t="array" ref="Z60">IF(Y60&lt;&gt;"",IF(INDEX(techniques[detection rules for techique],MATCH(Y60,techniques[name],0))&gt;=1,INDEX(techniques[detection rules for techique],MATCH(Y60,techniques[name],0)),""),"")</f>
        <v/>
      </c>
      <c r="AA60" s="45" t="n"/>
      <c r="AB60" s="54">
        <f t="array" ref="AB60">IF(AA60&lt;&gt;"",IF(INDEX(techniques[detection rules for techique],MATCH(AA60,techniques[name],0))&gt;=1,INDEX(techniques[detection rules for techique],MATCH(AA60,techniques[name],0)),""),"")</f>
        <v/>
      </c>
      <c r="AC60" s="45" t="n"/>
      <c r="AD60" s="54">
        <f t="array" ref="AD60">IF(AC60&lt;&gt;"",IF(INDEX(techniques[detection rules for techique],MATCH(AC60,techniques[name],0))&gt;=1,INDEX(techniques[detection rules for techique],MATCH(AC60,techniques[name],0)),""),"")</f>
        <v/>
      </c>
    </row>
    <row r="61" ht="22.5" customHeight="1">
      <c r="A61" s="45" t="n"/>
      <c r="B61" s="54">
        <f t="array" ref="B61">IF(A61&lt;&gt;"",IF(INDEX(techniques[detection rules for techique],MATCH(A61,techniques[name],0))&gt;=1,INDEX(techniques[detection rules for techique],MATCH(A61,techniques[name],0)),""),"")</f>
        <v/>
      </c>
      <c r="C61" s="45" t="n"/>
      <c r="D61" s="54">
        <f t="array" ref="D61">IF(C61&lt;&gt;"",IF(INDEX(techniques[detection rules for techique],MATCH(C61,techniques[name],0))&gt;=1,INDEX(techniques[detection rules for techique],MATCH(C61,techniques[name],0)),""),"")</f>
        <v/>
      </c>
      <c r="E61" s="45" t="n"/>
      <c r="F61" s="54">
        <f t="array" ref="F61">IF(E61&lt;&gt;"",IF(INDEX(techniques[detection rules for techique],MATCH(E61,techniques[name],0))&gt;=1,INDEX(techniques[detection rules for techique],MATCH(E61,techniques[name],0)),""),"")</f>
        <v/>
      </c>
      <c r="G61" s="45" t="inlineStr">
        <is>
          <t>Serverless Execution (T1648)</t>
        </is>
      </c>
      <c r="H61" s="54">
        <f t="array" ref="H61">IF(G61&lt;&gt;"",IF(INDEX(techniques[detection rules for techique],MATCH(G61,techniques[name],0))&gt;=1,INDEX(techniques[detection rules for techique],MATCH(G61,techniques[name],0)),""),"")</f>
        <v/>
      </c>
      <c r="I61" s="45" t="inlineStr">
        <is>
          <t>Create or Modify System Process (T1543)</t>
        </is>
      </c>
      <c r="J61" s="54">
        <f t="array" ref="J61">IF(I61&lt;&gt;"",IF(INDEX(techniques[detection rules for techique],MATCH(I61,techniques[name],0))&gt;=1,INDEX(techniques[detection rules for techique],MATCH(I61,techniques[name],0)),""),"")</f>
        <v/>
      </c>
      <c r="K61" s="45" t="inlineStr">
        <is>
          <t>Trap (T1546.005)</t>
        </is>
      </c>
      <c r="L61" s="54">
        <f t="array" ref="L61">IF(K61&lt;&gt;"",IF(INDEX(techniques[detection rules for techique],MATCH(K61,techniques[name],0))&gt;=1,INDEX(techniques[detection rules for techique],MATCH(K61,techniques[name],0)),""),"")</f>
        <v/>
      </c>
      <c r="M61" s="45" t="inlineStr">
        <is>
          <t>Local Accounts (T1078.003)</t>
        </is>
      </c>
      <c r="N61" s="54">
        <f t="array" ref="N61">IF(M61&lt;&gt;"",IF(INDEX(techniques[detection rules for techique],MATCH(M61,techniques[name],0))&gt;=1,INDEX(techniques[detection rules for techique],MATCH(M61,techniques[name],0)),""),"")</f>
        <v/>
      </c>
      <c r="O61" s="45" t="n"/>
      <c r="P61" s="54">
        <f t="array" ref="P61">IF(O61&lt;&gt;"",IF(INDEX(techniques[detection rules for techique],MATCH(O61,techniques[name],0))&gt;=1,INDEX(techniques[detection rules for techique],MATCH(O61,techniques[name],0)),""),"")</f>
        <v/>
      </c>
      <c r="Q61" s="45" t="inlineStr">
        <is>
          <t>Kerberoasting (T1558.003)</t>
        </is>
      </c>
      <c r="R61" s="54">
        <f t="array" ref="R61">IF(Q61&lt;&gt;"",IF(INDEX(techniques[detection rules for techique],MATCH(Q61,techniques[name],0))&gt;=1,INDEX(techniques[detection rules for techique],MATCH(Q61,techniques[name],0)),""),"")</f>
        <v/>
      </c>
      <c r="S61" s="45" t="n"/>
      <c r="T61" s="54">
        <f t="array" ref="T61">IF(S61&lt;&gt;"",IF(INDEX(techniques[detection rules for techique],MATCH(S61,techniques[name],0))&gt;=1,INDEX(techniques[detection rules for techique],MATCH(S61,techniques[name],0)),""),"")</f>
        <v/>
      </c>
      <c r="U61" s="45" t="n"/>
      <c r="V61" s="54">
        <f t="array" ref="V61">IF(U61&lt;&gt;"",IF(INDEX(techniques[detection rules for techique],MATCH(U61,techniques[name],0))&gt;=1,INDEX(techniques[detection rules for techique],MATCH(U61,techniques[name],0)),""),"")</f>
        <v/>
      </c>
      <c r="W61" s="45" t="n"/>
      <c r="X61" s="54">
        <f t="array" ref="X61">IF(W61&lt;&gt;"",IF(INDEX(techniques[detection rules for techique],MATCH(W61,techniques[name],0))&gt;=1,INDEX(techniques[detection rules for techique],MATCH(W61,techniques[name],0)),""),"")</f>
        <v/>
      </c>
      <c r="Y61" s="45" t="n"/>
      <c r="Z61" s="54">
        <f t="array" ref="Z61">IF(Y61&lt;&gt;"",IF(INDEX(techniques[detection rules for techique],MATCH(Y61,techniques[name],0))&gt;=1,INDEX(techniques[detection rules for techique],MATCH(Y61,techniques[name],0)),""),"")</f>
        <v/>
      </c>
      <c r="AA61" s="45" t="n"/>
      <c r="AB61" s="54">
        <f t="array" ref="AB61">IF(AA61&lt;&gt;"",IF(INDEX(techniques[detection rules for techique],MATCH(AA61,techniques[name],0))&gt;=1,INDEX(techniques[detection rules for techique],MATCH(AA61,techniques[name],0)),""),"")</f>
        <v/>
      </c>
      <c r="AC61" s="45" t="n"/>
      <c r="AD61" s="54">
        <f t="array" ref="AD61">IF(AC61&lt;&gt;"",IF(INDEX(techniques[detection rules for techique],MATCH(AC61,techniques[name],0))&gt;=1,INDEX(techniques[detection rules for techique],MATCH(AC61,techniques[name],0)),""),"")</f>
        <v/>
      </c>
    </row>
    <row r="62" ht="22.5" customHeight="1">
      <c r="A62" s="45" t="n"/>
      <c r="B62" s="54">
        <f t="array" ref="B62">IF(A62&lt;&gt;"",IF(INDEX(techniques[detection rules for techique],MATCH(A62,techniques[name],0))&gt;=1,INDEX(techniques[detection rules for techique],MATCH(A62,techniques[name],0)),""),"")</f>
        <v/>
      </c>
      <c r="C62" s="45" t="n"/>
      <c r="D62" s="54">
        <f t="array" ref="D62">IF(C62&lt;&gt;"",IF(INDEX(techniques[detection rules for techique],MATCH(C62,techniques[name],0))&gt;=1,INDEX(techniques[detection rules for techique],MATCH(C62,techniques[name],0)),""),"")</f>
        <v/>
      </c>
      <c r="E62" s="45" t="n"/>
      <c r="F62" s="54">
        <f t="array" ref="F62">IF(E62&lt;&gt;"",IF(INDEX(techniques[detection rules for techique],MATCH(E62,techniques[name],0))&gt;=1,INDEX(techniques[detection rules for techique],MATCH(E62,techniques[name],0)),""),"")</f>
        <v/>
      </c>
      <c r="G62" s="45" t="inlineStr">
        <is>
          <t>Cloud Administration Command (T1651)</t>
        </is>
      </c>
      <c r="H62" s="54">
        <f t="array" ref="H62">IF(G62&lt;&gt;"",IF(INDEX(techniques[detection rules for techique],MATCH(G62,techniques[name],0))&gt;=1,INDEX(techniques[detection rules for techique],MATCH(G62,techniques[name],0)),""),"")</f>
        <v/>
      </c>
      <c r="I62" s="45" t="inlineStr">
        <is>
          <t>Launch Agent (T1543.001)</t>
        </is>
      </c>
      <c r="J62" s="54">
        <f t="array" ref="J62">IF(I62&lt;&gt;"",IF(INDEX(techniques[detection rules for techique],MATCH(I62,techniques[name],0))&gt;=1,INDEX(techniques[detection rules for techique],MATCH(I62,techniques[name],0)),""),"")</f>
        <v/>
      </c>
      <c r="K62" s="45" t="inlineStr">
        <is>
          <t>LC_LOAD_DYLIB Addition (T1546.006)</t>
        </is>
      </c>
      <c r="L62" s="54">
        <f t="array" ref="L62">IF(K62&lt;&gt;"",IF(INDEX(techniques[detection rules for techique],MATCH(K62,techniques[name],0))&gt;=1,INDEX(techniques[detection rules for techique],MATCH(K62,techniques[name],0)),""),"")</f>
        <v/>
      </c>
      <c r="M62" s="45" t="inlineStr">
        <is>
          <t>Cloud Accounts (T1078.004)</t>
        </is>
      </c>
      <c r="N62" s="54">
        <f t="array" ref="N62">IF(M62&lt;&gt;"",IF(INDEX(techniques[detection rules for techique],MATCH(M62,techniques[name],0))&gt;=1,INDEX(techniques[detection rules for techique],MATCH(M62,techniques[name],0)),""),"")</f>
        <v/>
      </c>
      <c r="O62" s="45" t="n"/>
      <c r="P62" s="54">
        <f t="array" ref="P62">IF(O62&lt;&gt;"",IF(INDEX(techniques[detection rules for techique],MATCH(O62,techniques[name],0))&gt;=1,INDEX(techniques[detection rules for techique],MATCH(O62,techniques[name],0)),""),"")</f>
        <v/>
      </c>
      <c r="Q62" s="45" t="inlineStr">
        <is>
          <t>AS-REP Roasting (T1558.004)</t>
        </is>
      </c>
      <c r="R62" s="54">
        <f t="array" ref="R62">IF(Q62&lt;&gt;"",IF(INDEX(techniques[detection rules for techique],MATCH(Q62,techniques[name],0))&gt;=1,INDEX(techniques[detection rules for techique],MATCH(Q62,techniques[name],0)),""),"")</f>
        <v/>
      </c>
      <c r="S62" s="45" t="n"/>
      <c r="T62" s="54">
        <f t="array" ref="T62">IF(S62&lt;&gt;"",IF(INDEX(techniques[detection rules for techique],MATCH(S62,techniques[name],0))&gt;=1,INDEX(techniques[detection rules for techique],MATCH(S62,techniques[name],0)),""),"")</f>
        <v/>
      </c>
      <c r="U62" s="45" t="n"/>
      <c r="V62" s="54">
        <f t="array" ref="V62">IF(U62&lt;&gt;"",IF(INDEX(techniques[detection rules for techique],MATCH(U62,techniques[name],0))&gt;=1,INDEX(techniques[detection rules for techique],MATCH(U62,techniques[name],0)),""),"")</f>
        <v/>
      </c>
      <c r="W62" s="45" t="n"/>
      <c r="X62" s="54">
        <f t="array" ref="X62">IF(W62&lt;&gt;"",IF(INDEX(techniques[detection rules for techique],MATCH(W62,techniques[name],0))&gt;=1,INDEX(techniques[detection rules for techique],MATCH(W62,techniques[name],0)),""),"")</f>
        <v/>
      </c>
      <c r="Y62" s="45" t="n"/>
      <c r="Z62" s="54">
        <f t="array" ref="Z62">IF(Y62&lt;&gt;"",IF(INDEX(techniques[detection rules for techique],MATCH(Y62,techniques[name],0))&gt;=1,INDEX(techniques[detection rules for techique],MATCH(Y62,techniques[name],0)),""),"")</f>
        <v/>
      </c>
      <c r="AA62" s="45" t="n"/>
      <c r="AB62" s="54">
        <f t="array" ref="AB62">IF(AA62&lt;&gt;"",IF(INDEX(techniques[detection rules for techique],MATCH(AA62,techniques[name],0))&gt;=1,INDEX(techniques[detection rules for techique],MATCH(AA62,techniques[name],0)),""),"")</f>
        <v/>
      </c>
      <c r="AC62" s="45" t="n"/>
      <c r="AD62" s="54">
        <f t="array" ref="AD62">IF(AC62&lt;&gt;"",IF(INDEX(techniques[detection rules for techique],MATCH(AC62,techniques[name],0))&gt;=1,INDEX(techniques[detection rules for techique],MATCH(AC62,techniques[name],0)),""),"")</f>
        <v/>
      </c>
    </row>
    <row r="63" ht="33.75" customHeight="1">
      <c r="A63" s="45" t="n"/>
      <c r="B63" s="54">
        <f t="array" ref="B63">IF(A63&lt;&gt;"",IF(INDEX(techniques[detection rules for techique],MATCH(A63,techniques[name],0))&gt;=1,INDEX(techniques[detection rules for techique],MATCH(A63,techniques[name],0)),""),"")</f>
        <v/>
      </c>
      <c r="C63" s="45" t="n"/>
      <c r="D63" s="54">
        <f t="array" ref="D63">IF(C63&lt;&gt;"",IF(INDEX(techniques[detection rules for techique],MATCH(C63,techniques[name],0))&gt;=1,INDEX(techniques[detection rules for techique],MATCH(C63,techniques[name],0)),""),"")</f>
        <v/>
      </c>
      <c r="E63" s="45" t="n"/>
      <c r="F63" s="54">
        <f t="array" ref="F63">IF(E63&lt;&gt;"",IF(INDEX(techniques[detection rules for techique],MATCH(E63,techniques[name],0))&gt;=1,INDEX(techniques[detection rules for techique],MATCH(E63,techniques[name],0)),""),"")</f>
        <v/>
      </c>
      <c r="G63" s="45" t="inlineStr">
        <is>
          <t>Input Injection (T1674)</t>
        </is>
      </c>
      <c r="H63" s="54">
        <f t="array" ref="H63">IF(G63&lt;&gt;"",IF(INDEX(techniques[detection rules for techique],MATCH(G63,techniques[name],0))&gt;=1,INDEX(techniques[detection rules for techique],MATCH(G63,techniques[name],0)),""),"")</f>
        <v/>
      </c>
      <c r="I63" s="45" t="inlineStr">
        <is>
          <t>Systemd Service (T1543.002)</t>
        </is>
      </c>
      <c r="J63" s="54">
        <f t="array" ref="J63">IF(I63&lt;&gt;"",IF(INDEX(techniques[detection rules for techique],MATCH(I63,techniques[name],0))&gt;=1,INDEX(techniques[detection rules for techique],MATCH(I63,techniques[name],0)),""),"")</f>
        <v/>
      </c>
      <c r="K63" s="45" t="inlineStr">
        <is>
          <t>Netsh Helper DLL (T1546.007)</t>
        </is>
      </c>
      <c r="L63" s="54">
        <f t="array" ref="L63">IF(K63&lt;&gt;"",IF(INDEX(techniques[detection rules for techique],MATCH(K63,techniques[name],0))&gt;=1,INDEX(techniques[detection rules for techique],MATCH(K63,techniques[name],0)),""),"")</f>
        <v/>
      </c>
      <c r="M63" s="45" t="inlineStr">
        <is>
          <t>Trusted Developer Utilities Proxy Execution (T1127)</t>
        </is>
      </c>
      <c r="N63" s="54">
        <f t="array" ref="N63">IF(M63&lt;&gt;"",IF(INDEX(techniques[detection rules for techique],MATCH(M63,techniques[name],0))&gt;=1,INDEX(techniques[detection rules for techique],MATCH(M63,techniques[name],0)),""),"")</f>
        <v/>
      </c>
      <c r="O63" s="45" t="n"/>
      <c r="P63" s="54">
        <f t="array" ref="P63">IF(O63&lt;&gt;"",IF(INDEX(techniques[detection rules for techique],MATCH(O63,techniques[name],0))&gt;=1,INDEX(techniques[detection rules for techique],MATCH(O63,techniques[name],0)),""),"")</f>
        <v/>
      </c>
      <c r="Q63" s="45" t="inlineStr">
        <is>
          <t>Ccache Files (T1558.005)</t>
        </is>
      </c>
      <c r="R63" s="54">
        <f t="array" ref="R63">IF(Q63&lt;&gt;"",IF(INDEX(techniques[detection rules for techique],MATCH(Q63,techniques[name],0))&gt;=1,INDEX(techniques[detection rules for techique],MATCH(Q63,techniques[name],0)),""),"")</f>
        <v/>
      </c>
      <c r="S63" s="45" t="n"/>
      <c r="T63" s="54">
        <f t="array" ref="T63">IF(S63&lt;&gt;"",IF(INDEX(techniques[detection rules for techique],MATCH(S63,techniques[name],0))&gt;=1,INDEX(techniques[detection rules for techique],MATCH(S63,techniques[name],0)),""),"")</f>
        <v/>
      </c>
      <c r="U63" s="45" t="n"/>
      <c r="V63" s="54">
        <f t="array" ref="V63">IF(U63&lt;&gt;"",IF(INDEX(techniques[detection rules for techique],MATCH(U63,techniques[name],0))&gt;=1,INDEX(techniques[detection rules for techique],MATCH(U63,techniques[name],0)),""),"")</f>
        <v/>
      </c>
      <c r="W63" s="45" t="n"/>
      <c r="X63" s="54">
        <f t="array" ref="X63">IF(W63&lt;&gt;"",IF(INDEX(techniques[detection rules for techique],MATCH(W63,techniques[name],0))&gt;=1,INDEX(techniques[detection rules for techique],MATCH(W63,techniques[name],0)),""),"")</f>
        <v/>
      </c>
      <c r="Y63" s="45" t="n"/>
      <c r="Z63" s="54">
        <f t="array" ref="Z63">IF(Y63&lt;&gt;"",IF(INDEX(techniques[detection rules for techique],MATCH(Y63,techniques[name],0))&gt;=1,INDEX(techniques[detection rules for techique],MATCH(Y63,techniques[name],0)),""),"")</f>
        <v/>
      </c>
      <c r="AA63" s="45" t="n"/>
      <c r="AB63" s="54">
        <f t="array" ref="AB63">IF(AA63&lt;&gt;"",IF(INDEX(techniques[detection rules for techique],MATCH(AA63,techniques[name],0))&gt;=1,INDEX(techniques[detection rules for techique],MATCH(AA63,techniques[name],0)),""),"")</f>
        <v/>
      </c>
      <c r="AC63" s="45" t="n"/>
      <c r="AD63" s="54">
        <f t="array" ref="AD63">IF(AC63&lt;&gt;"",IF(INDEX(techniques[detection rules for techique],MATCH(AC63,techniques[name],0))&gt;=1,INDEX(techniques[detection rules for techique],MATCH(AC63,techniques[name],0)),""),"")</f>
        <v/>
      </c>
    </row>
    <row r="64" ht="22.5" customHeight="1">
      <c r="A64" s="45" t="n"/>
      <c r="B64" s="54">
        <f t="array" ref="B64">IF(A64&lt;&gt;"",IF(INDEX(techniques[detection rules for techique],MATCH(A64,techniques[name],0))&gt;=1,INDEX(techniques[detection rules for techique],MATCH(A64,techniques[name],0)),""),"")</f>
        <v/>
      </c>
      <c r="C64" s="45" t="n"/>
      <c r="D64" s="54">
        <f t="array" ref="D64">IF(C64&lt;&gt;"",IF(INDEX(techniques[detection rules for techique],MATCH(C64,techniques[name],0))&gt;=1,INDEX(techniques[detection rules for techique],MATCH(C64,techniques[name],0)),""),"")</f>
        <v/>
      </c>
      <c r="E64" s="45" t="n"/>
      <c r="F64" s="54">
        <f t="array" ref="F64">IF(E64&lt;&gt;"",IF(INDEX(techniques[detection rules for techique],MATCH(E64,techniques[name],0))&gt;=1,INDEX(techniques[detection rules for techique],MATCH(E64,techniques[name],0)),""),"")</f>
        <v/>
      </c>
      <c r="G64" s="45" t="inlineStr">
        <is>
          <t>ESXi Administration Command (T1675)</t>
        </is>
      </c>
      <c r="H64" s="54">
        <f t="array" ref="H64">IF(G64&lt;&gt;"",IF(INDEX(techniques[detection rules for techique],MATCH(G64,techniques[name],0))&gt;=1,INDEX(techniques[detection rules for techique],MATCH(G64,techniques[name],0)),""),"")</f>
        <v/>
      </c>
      <c r="I64" s="45" t="inlineStr">
        <is>
          <t>Windows Service (T1543.003)</t>
        </is>
      </c>
      <c r="J64" s="54">
        <f t="array" ref="J64">IF(I64&lt;&gt;"",IF(INDEX(techniques[detection rules for techique],MATCH(I64,techniques[name],0))&gt;=1,INDEX(techniques[detection rules for techique],MATCH(I64,techniques[name],0)),""),"")</f>
        <v/>
      </c>
      <c r="K64" s="45" t="inlineStr">
        <is>
          <t>Accessibility Features (T1546.008)</t>
        </is>
      </c>
      <c r="L64" s="54">
        <f t="array" ref="L64">IF(K64&lt;&gt;"",IF(INDEX(techniques[detection rules for techique],MATCH(K64,techniques[name],0))&gt;=1,INDEX(techniques[detection rules for techique],MATCH(K64,techniques[name],0)),""),"")</f>
        <v/>
      </c>
      <c r="M64" s="45" t="inlineStr">
        <is>
          <t>MSBuild (T1127.001)</t>
        </is>
      </c>
      <c r="N64" s="54">
        <f t="array" ref="N64">IF(M64&lt;&gt;"",IF(INDEX(techniques[detection rules for techique],MATCH(M64,techniques[name],0))&gt;=1,INDEX(techniques[detection rules for techique],MATCH(M64,techniques[name],0)),""),"")</f>
        <v/>
      </c>
      <c r="O64" s="45" t="n"/>
      <c r="P64" s="54">
        <f t="array" ref="P64">IF(O64&lt;&gt;"",IF(INDEX(techniques[detection rules for techique],MATCH(O64,techniques[name],0))&gt;=1,INDEX(techniques[detection rules for techique],MATCH(O64,techniques[name],0)),""),"")</f>
        <v/>
      </c>
      <c r="Q64" s="45" t="inlineStr">
        <is>
          <t>Forge Web Credentials (T1606)</t>
        </is>
      </c>
      <c r="R64" s="54">
        <f t="array" ref="R64">IF(Q64&lt;&gt;"",IF(INDEX(techniques[detection rules for techique],MATCH(Q64,techniques[name],0))&gt;=1,INDEX(techniques[detection rules for techique],MATCH(Q64,techniques[name],0)),""),"")</f>
        <v/>
      </c>
      <c r="S64" s="45" t="n"/>
      <c r="T64" s="54">
        <f t="array" ref="T64">IF(S64&lt;&gt;"",IF(INDEX(techniques[detection rules for techique],MATCH(S64,techniques[name],0))&gt;=1,INDEX(techniques[detection rules for techique],MATCH(S64,techniques[name],0)),""),"")</f>
        <v/>
      </c>
      <c r="U64" s="45" t="n"/>
      <c r="V64" s="54">
        <f t="array" ref="V64">IF(U64&lt;&gt;"",IF(INDEX(techniques[detection rules for techique],MATCH(U64,techniques[name],0))&gt;=1,INDEX(techniques[detection rules for techique],MATCH(U64,techniques[name],0)),""),"")</f>
        <v/>
      </c>
      <c r="W64" s="45" t="n"/>
      <c r="X64" s="54">
        <f t="array" ref="X64">IF(W64&lt;&gt;"",IF(INDEX(techniques[detection rules for techique],MATCH(W64,techniques[name],0))&gt;=1,INDEX(techniques[detection rules for techique],MATCH(W64,techniques[name],0)),""),"")</f>
        <v/>
      </c>
      <c r="Y64" s="45" t="n"/>
      <c r="Z64" s="54">
        <f t="array" ref="Z64">IF(Y64&lt;&gt;"",IF(INDEX(techniques[detection rules for techique],MATCH(Y64,techniques[name],0))&gt;=1,INDEX(techniques[detection rules for techique],MATCH(Y64,techniques[name],0)),""),"")</f>
        <v/>
      </c>
      <c r="AA64" s="45" t="n"/>
      <c r="AB64" s="54">
        <f t="array" ref="AB64">IF(AA64&lt;&gt;"",IF(INDEX(techniques[detection rules for techique],MATCH(AA64,techniques[name],0))&gt;=1,INDEX(techniques[detection rules for techique],MATCH(AA64,techniques[name],0)),""),"")</f>
        <v/>
      </c>
      <c r="AC64" s="45" t="n"/>
      <c r="AD64" s="54">
        <f t="array" ref="AD64">IF(AC64&lt;&gt;"",IF(INDEX(techniques[detection rules for techique],MATCH(AC64,techniques[name],0))&gt;=1,INDEX(techniques[detection rules for techique],MATCH(AC64,techniques[name],0)),""),"")</f>
        <v/>
      </c>
    </row>
    <row r="65" ht="22.5" customHeight="1">
      <c r="A65" s="45" t="n"/>
      <c r="B65" s="54">
        <f t="array" ref="B65">IF(A65&lt;&gt;"",IF(INDEX(techniques[detection rules for techique],MATCH(A65,techniques[name],0))&gt;=1,INDEX(techniques[detection rules for techique],MATCH(A65,techniques[name],0)),""),"")</f>
        <v/>
      </c>
      <c r="C65" s="45" t="n"/>
      <c r="D65" s="54">
        <f t="array" ref="D65">IF(C65&lt;&gt;"",IF(INDEX(techniques[detection rules for techique],MATCH(C65,techniques[name],0))&gt;=1,INDEX(techniques[detection rules for techique],MATCH(C65,techniques[name],0)),""),"")</f>
        <v/>
      </c>
      <c r="E65" s="45" t="n"/>
      <c r="F65" s="54">
        <f t="array" ref="F65">IF(E65&lt;&gt;"",IF(INDEX(techniques[detection rules for techique],MATCH(E65,techniques[name],0))&gt;=1,INDEX(techniques[detection rules for techique],MATCH(E65,techniques[name],0)),""),"")</f>
        <v/>
      </c>
      <c r="G65" s="45" t="inlineStr">
        <is>
          <t>Poisoned Pipeline Execution (T1677)</t>
        </is>
      </c>
      <c r="H65" s="54">
        <f t="array" ref="H65">IF(G65&lt;&gt;"",IF(INDEX(techniques[detection rules for techique],MATCH(G65,techniques[name],0))&gt;=1,INDEX(techniques[detection rules for techique],MATCH(G65,techniques[name],0)),""),"")</f>
        <v/>
      </c>
      <c r="I65" s="45" t="inlineStr">
        <is>
          <t>Launch Daemon (T1543.004)</t>
        </is>
      </c>
      <c r="J65" s="54">
        <f t="array" ref="J65">IF(I65&lt;&gt;"",IF(INDEX(techniques[detection rules for techique],MATCH(I65,techniques[name],0))&gt;=1,INDEX(techniques[detection rules for techique],MATCH(I65,techniques[name],0)),""),"")</f>
        <v/>
      </c>
      <c r="K65" s="45" t="inlineStr">
        <is>
          <t>AppCert DLLs (T1546.009)</t>
        </is>
      </c>
      <c r="L65" s="54">
        <f t="array" ref="L65">IF(K65&lt;&gt;"",IF(INDEX(techniques[detection rules for techique],MATCH(K65,techniques[name],0))&gt;=1,INDEX(techniques[detection rules for techique],MATCH(K65,techniques[name],0)),""),"")</f>
        <v/>
      </c>
      <c r="M65" s="45" t="inlineStr">
        <is>
          <t>ClickOnce (T1127.002)</t>
        </is>
      </c>
      <c r="N65" s="54">
        <f t="array" ref="N65">IF(M65&lt;&gt;"",IF(INDEX(techniques[detection rules for techique],MATCH(M65,techniques[name],0))&gt;=1,INDEX(techniques[detection rules for techique],MATCH(M65,techniques[name],0)),""),"")</f>
        <v/>
      </c>
      <c r="O65" s="45" t="n"/>
      <c r="P65" s="54">
        <f t="array" ref="P65">IF(O65&lt;&gt;"",IF(INDEX(techniques[detection rules for techique],MATCH(O65,techniques[name],0))&gt;=1,INDEX(techniques[detection rules for techique],MATCH(O65,techniques[name],0)),""),"")</f>
        <v/>
      </c>
      <c r="Q65" s="45" t="inlineStr">
        <is>
          <t>Web Cookies (T1606.001)</t>
        </is>
      </c>
      <c r="R65" s="54">
        <f t="array" ref="R65">IF(Q65&lt;&gt;"",IF(INDEX(techniques[detection rules for techique],MATCH(Q65,techniques[name],0))&gt;=1,INDEX(techniques[detection rules for techique],MATCH(Q65,techniques[name],0)),""),"")</f>
        <v/>
      </c>
      <c r="S65" s="45" t="n"/>
      <c r="T65" s="54">
        <f t="array" ref="T65">IF(S65&lt;&gt;"",IF(INDEX(techniques[detection rules for techique],MATCH(S65,techniques[name],0))&gt;=1,INDEX(techniques[detection rules for techique],MATCH(S65,techniques[name],0)),""),"")</f>
        <v/>
      </c>
      <c r="U65" s="45" t="n"/>
      <c r="V65" s="54">
        <f t="array" ref="V65">IF(U65&lt;&gt;"",IF(INDEX(techniques[detection rules for techique],MATCH(U65,techniques[name],0))&gt;=1,INDEX(techniques[detection rules for techique],MATCH(U65,techniques[name],0)),""),"")</f>
        <v/>
      </c>
      <c r="W65" s="45" t="n"/>
      <c r="X65" s="54">
        <f t="array" ref="X65">IF(W65&lt;&gt;"",IF(INDEX(techniques[detection rules for techique],MATCH(W65,techniques[name],0))&gt;=1,INDEX(techniques[detection rules for techique],MATCH(W65,techniques[name],0)),""),"")</f>
        <v/>
      </c>
      <c r="Y65" s="45" t="n"/>
      <c r="Z65" s="54">
        <f t="array" ref="Z65">IF(Y65&lt;&gt;"",IF(INDEX(techniques[detection rules for techique],MATCH(Y65,techniques[name],0))&gt;=1,INDEX(techniques[detection rules for techique],MATCH(Y65,techniques[name],0)),""),"")</f>
        <v/>
      </c>
      <c r="AA65" s="45" t="n"/>
      <c r="AB65" s="54">
        <f t="array" ref="AB65">IF(AA65&lt;&gt;"",IF(INDEX(techniques[detection rules for techique],MATCH(AA65,techniques[name],0))&gt;=1,INDEX(techniques[detection rules for techique],MATCH(AA65,techniques[name],0)),""),"")</f>
        <v/>
      </c>
      <c r="AC65" s="45" t="n"/>
      <c r="AD65" s="54">
        <f t="array" ref="AD65">IF(AC65&lt;&gt;"",IF(INDEX(techniques[detection rules for techique],MATCH(AC65,techniques[name],0))&gt;=1,INDEX(techniques[detection rules for techique],MATCH(AC65,techniques[name],0)),""),"")</f>
        <v/>
      </c>
    </row>
    <row r="66" ht="22.5" customHeight="1">
      <c r="A66" s="45" t="n"/>
      <c r="B66" s="54">
        <f t="array" ref="B66">IF(A66&lt;&gt;"",IF(INDEX(techniques[detection rules for techique],MATCH(A66,techniques[name],0))&gt;=1,INDEX(techniques[detection rules for techique],MATCH(A66,techniques[name],0)),""),"")</f>
        <v/>
      </c>
      <c r="C66" s="45" t="n"/>
      <c r="D66" s="54">
        <f t="array" ref="D66">IF(C66&lt;&gt;"",IF(INDEX(techniques[detection rules for techique],MATCH(C66,techniques[name],0))&gt;=1,INDEX(techniques[detection rules for techique],MATCH(C66,techniques[name],0)),""),"")</f>
        <v/>
      </c>
      <c r="E66" s="45" t="n"/>
      <c r="F66" s="54">
        <f t="array" ref="F66">IF(E66&lt;&gt;"",IF(INDEX(techniques[detection rules for techique],MATCH(E66,techniques[name],0))&gt;=1,INDEX(techniques[detection rules for techique],MATCH(E66,techniques[name],0)),""),"")</f>
        <v/>
      </c>
      <c r="G66" s="45" t="n"/>
      <c r="H66" s="54">
        <f t="array" ref="H66">IF(G66&lt;&gt;"",IF(INDEX(techniques[detection rules for techique],MATCH(G66,techniques[name],0))&gt;=1,INDEX(techniques[detection rules for techique],MATCH(G66,techniques[name],0)),""),"")</f>
        <v/>
      </c>
      <c r="I66" s="45" t="inlineStr">
        <is>
          <t>Container Service (T1543.005)</t>
        </is>
      </c>
      <c r="J66" s="54">
        <f t="array" ref="J66">IF(I66&lt;&gt;"",IF(INDEX(techniques[detection rules for techique],MATCH(I66,techniques[name],0))&gt;=1,INDEX(techniques[detection rules for techique],MATCH(I66,techniques[name],0)),""),"")</f>
        <v/>
      </c>
      <c r="K66" s="45" t="inlineStr">
        <is>
          <t>AppInit DLLs (T1546.010)</t>
        </is>
      </c>
      <c r="L66" s="54">
        <f t="array" ref="L66">IF(K66&lt;&gt;"",IF(INDEX(techniques[detection rules for techique],MATCH(K66,techniques[name],0))&gt;=1,INDEX(techniques[detection rules for techique],MATCH(K66,techniques[name],0)),""),"")</f>
        <v/>
      </c>
      <c r="M66" s="45" t="inlineStr">
        <is>
          <t>JamPlus (T1127.003)</t>
        </is>
      </c>
      <c r="N66" s="54">
        <f t="array" ref="N66">IF(M66&lt;&gt;"",IF(INDEX(techniques[detection rules for techique],MATCH(M66,techniques[name],0))&gt;=1,INDEX(techniques[detection rules for techique],MATCH(M66,techniques[name],0)),""),"")</f>
        <v/>
      </c>
      <c r="O66" s="45" t="n"/>
      <c r="P66" s="54">
        <f t="array" ref="P66">IF(O66&lt;&gt;"",IF(INDEX(techniques[detection rules for techique],MATCH(O66,techniques[name],0))&gt;=1,INDEX(techniques[detection rules for techique],MATCH(O66,techniques[name],0)),""),"")</f>
        <v/>
      </c>
      <c r="Q66" s="45" t="inlineStr">
        <is>
          <t>SAML Tokens (T1606.002)</t>
        </is>
      </c>
      <c r="R66" s="54">
        <f t="array" ref="R66">IF(Q66&lt;&gt;"",IF(INDEX(techniques[detection rules for techique],MATCH(Q66,techniques[name],0))&gt;=1,INDEX(techniques[detection rules for techique],MATCH(Q66,techniques[name],0)),""),"")</f>
        <v/>
      </c>
      <c r="S66" s="45" t="n"/>
      <c r="T66" s="54">
        <f t="array" ref="T66">IF(S66&lt;&gt;"",IF(INDEX(techniques[detection rules for techique],MATCH(S66,techniques[name],0))&gt;=1,INDEX(techniques[detection rules for techique],MATCH(S66,techniques[name],0)),""),"")</f>
        <v/>
      </c>
      <c r="U66" s="45" t="n"/>
      <c r="V66" s="54">
        <f t="array" ref="V66">IF(U66&lt;&gt;"",IF(INDEX(techniques[detection rules for techique],MATCH(U66,techniques[name],0))&gt;=1,INDEX(techniques[detection rules for techique],MATCH(U66,techniques[name],0)),""),"")</f>
        <v/>
      </c>
      <c r="W66" s="45" t="n"/>
      <c r="X66" s="54">
        <f t="array" ref="X66">IF(W66&lt;&gt;"",IF(INDEX(techniques[detection rules for techique],MATCH(W66,techniques[name],0))&gt;=1,INDEX(techniques[detection rules for techique],MATCH(W66,techniques[name],0)),""),"")</f>
        <v/>
      </c>
      <c r="Y66" s="45" t="n"/>
      <c r="Z66" s="54">
        <f t="array" ref="Z66">IF(Y66&lt;&gt;"",IF(INDEX(techniques[detection rules for techique],MATCH(Y66,techniques[name],0))&gt;=1,INDEX(techniques[detection rules for techique],MATCH(Y66,techniques[name],0)),""),"")</f>
        <v/>
      </c>
      <c r="AA66" s="45" t="n"/>
      <c r="AB66" s="54">
        <f t="array" ref="AB66">IF(AA66&lt;&gt;"",IF(INDEX(techniques[detection rules for techique],MATCH(AA66,techniques[name],0))&gt;=1,INDEX(techniques[detection rules for techique],MATCH(AA66,techniques[name],0)),""),"")</f>
        <v/>
      </c>
      <c r="AC66" s="45" t="n"/>
      <c r="AD66" s="54">
        <f t="array" ref="AD66">IF(AC66&lt;&gt;"",IF(INDEX(techniques[detection rules for techique],MATCH(AC66,techniques[name],0))&gt;=1,INDEX(techniques[detection rules for techique],MATCH(AC66,techniques[name],0)),""),"")</f>
        <v/>
      </c>
    </row>
    <row r="67" ht="22.5" customHeight="1">
      <c r="A67" s="45" t="n"/>
      <c r="B67" s="54">
        <f t="array" ref="B67">IF(A67&lt;&gt;"",IF(INDEX(techniques[detection rules for techique],MATCH(A67,techniques[name],0))&gt;=1,INDEX(techniques[detection rules for techique],MATCH(A67,techniques[name],0)),""),"")</f>
        <v/>
      </c>
      <c r="C67" s="45" t="n"/>
      <c r="D67" s="54">
        <f t="array" ref="D67">IF(C67&lt;&gt;"",IF(INDEX(techniques[detection rules for techique],MATCH(C67,techniques[name],0))&gt;=1,INDEX(techniques[detection rules for techique],MATCH(C67,techniques[name],0)),""),"")</f>
        <v/>
      </c>
      <c r="E67" s="45" t="n"/>
      <c r="F67" s="54">
        <f t="array" ref="F67">IF(E67&lt;&gt;"",IF(INDEX(techniques[detection rules for techique],MATCH(E67,techniques[name],0))&gt;=1,INDEX(techniques[detection rules for techique],MATCH(E67,techniques[name],0)),""),"")</f>
        <v/>
      </c>
      <c r="G67" s="45" t="n"/>
      <c r="H67" s="54">
        <f t="array" ref="H67">IF(G67&lt;&gt;"",IF(INDEX(techniques[detection rules for techique],MATCH(G67,techniques[name],0))&gt;=1,INDEX(techniques[detection rules for techique],MATCH(G67,techniques[name],0)),""),"")</f>
        <v/>
      </c>
      <c r="I67" s="45" t="inlineStr">
        <is>
          <t>Event Triggered Execution (T1546)</t>
        </is>
      </c>
      <c r="J67" s="54">
        <f t="array" ref="J67">IF(I67&lt;&gt;"",IF(INDEX(techniques[detection rules for techique],MATCH(I67,techniques[name],0))&gt;=1,INDEX(techniques[detection rules for techique],MATCH(I67,techniques[name],0)),""),"")</f>
        <v/>
      </c>
      <c r="K67" s="45" t="inlineStr">
        <is>
          <t>Application Shimming (T1546.011)</t>
        </is>
      </c>
      <c r="L67" s="54">
        <f t="array" ref="L67">IF(K67&lt;&gt;"",IF(INDEX(techniques[detection rules for techique],MATCH(K67,techniques[name],0))&gt;=1,INDEX(techniques[detection rules for techique],MATCH(K67,techniques[name],0)),""),"")</f>
        <v/>
      </c>
      <c r="M67" s="45" t="inlineStr">
        <is>
          <t>Access Token Manipulation (T1134)</t>
        </is>
      </c>
      <c r="N67" s="54">
        <f t="array" ref="N67">IF(M67&lt;&gt;"",IF(INDEX(techniques[detection rules for techique],MATCH(M67,techniques[name],0))&gt;=1,INDEX(techniques[detection rules for techique],MATCH(M67,techniques[name],0)),""),"")</f>
        <v/>
      </c>
      <c r="O67" s="45" t="n"/>
      <c r="P67" s="54">
        <f t="array" ref="P67">IF(O67&lt;&gt;"",IF(INDEX(techniques[detection rules for techique],MATCH(O67,techniques[name],0))&gt;=1,INDEX(techniques[detection rules for techique],MATCH(O67,techniques[name],0)),""),"")</f>
        <v/>
      </c>
      <c r="Q67" s="45" t="inlineStr">
        <is>
          <t>Multi-Factor Authentication Request Generation (T1621)</t>
        </is>
      </c>
      <c r="R67" s="54">
        <f t="array" ref="R67">IF(Q67&lt;&gt;"",IF(INDEX(techniques[detection rules for techique],MATCH(Q67,techniques[name],0))&gt;=1,INDEX(techniques[detection rules for techique],MATCH(Q67,techniques[name],0)),""),"")</f>
        <v/>
      </c>
      <c r="S67" s="45" t="n"/>
      <c r="T67" s="54">
        <f t="array" ref="T67">IF(S67&lt;&gt;"",IF(INDEX(techniques[detection rules for techique],MATCH(S67,techniques[name],0))&gt;=1,INDEX(techniques[detection rules for techique],MATCH(S67,techniques[name],0)),""),"")</f>
        <v/>
      </c>
      <c r="U67" s="45" t="n"/>
      <c r="V67" s="54">
        <f t="array" ref="V67">IF(U67&lt;&gt;"",IF(INDEX(techniques[detection rules for techique],MATCH(U67,techniques[name],0))&gt;=1,INDEX(techniques[detection rules for techique],MATCH(U67,techniques[name],0)),""),"")</f>
        <v/>
      </c>
      <c r="W67" s="45" t="n"/>
      <c r="X67" s="54">
        <f t="array" ref="X67">IF(W67&lt;&gt;"",IF(INDEX(techniques[detection rules for techique],MATCH(W67,techniques[name],0))&gt;=1,INDEX(techniques[detection rules for techique],MATCH(W67,techniques[name],0)),""),"")</f>
        <v/>
      </c>
      <c r="Y67" s="45" t="n"/>
      <c r="Z67" s="54">
        <f t="array" ref="Z67">IF(Y67&lt;&gt;"",IF(INDEX(techniques[detection rules for techique],MATCH(Y67,techniques[name],0))&gt;=1,INDEX(techniques[detection rules for techique],MATCH(Y67,techniques[name],0)),""),"")</f>
        <v/>
      </c>
      <c r="AA67" s="45" t="n"/>
      <c r="AB67" s="54">
        <f t="array" ref="AB67">IF(AA67&lt;&gt;"",IF(INDEX(techniques[detection rules for techique],MATCH(AA67,techniques[name],0))&gt;=1,INDEX(techniques[detection rules for techique],MATCH(AA67,techniques[name],0)),""),"")</f>
        <v/>
      </c>
      <c r="AC67" s="45" t="n"/>
      <c r="AD67" s="54">
        <f t="array" ref="AD67">IF(AC67&lt;&gt;"",IF(INDEX(techniques[detection rules for techique],MATCH(AC67,techniques[name],0))&gt;=1,INDEX(techniques[detection rules for techique],MATCH(AC67,techniques[name],0)),""),"")</f>
        <v/>
      </c>
    </row>
    <row r="68" ht="22.5" customHeight="1">
      <c r="A68" s="45" t="n"/>
      <c r="B68" s="54">
        <f t="array" ref="B68">IF(A68&lt;&gt;"",IF(INDEX(techniques[detection rules for techique],MATCH(A68,techniques[name],0))&gt;=1,INDEX(techniques[detection rules for techique],MATCH(A68,techniques[name],0)),""),"")</f>
        <v/>
      </c>
      <c r="C68" s="45" t="n"/>
      <c r="D68" s="54">
        <f t="array" ref="D68">IF(C68&lt;&gt;"",IF(INDEX(techniques[detection rules for techique],MATCH(C68,techniques[name],0))&gt;=1,INDEX(techniques[detection rules for techique],MATCH(C68,techniques[name],0)),""),"")</f>
        <v/>
      </c>
      <c r="E68" s="45" t="n"/>
      <c r="F68" s="54">
        <f t="array" ref="F68">IF(E68&lt;&gt;"",IF(INDEX(techniques[detection rules for techique],MATCH(E68,techniques[name],0))&gt;=1,INDEX(techniques[detection rules for techique],MATCH(E68,techniques[name],0)),""),"")</f>
        <v/>
      </c>
      <c r="G68" s="45" t="n"/>
      <c r="H68" s="54">
        <f t="array" ref="H68">IF(G68&lt;&gt;"",IF(INDEX(techniques[detection rules for techique],MATCH(G68,techniques[name],0))&gt;=1,INDEX(techniques[detection rules for techique],MATCH(G68,techniques[name],0)),""),"")</f>
        <v/>
      </c>
      <c r="I68" s="45" t="inlineStr">
        <is>
          <t>Change Default File Association (T1546.001)</t>
        </is>
      </c>
      <c r="J68" s="54">
        <f t="array" ref="J68">IF(I68&lt;&gt;"",IF(INDEX(techniques[detection rules for techique],MATCH(I68,techniques[name],0))&gt;=1,INDEX(techniques[detection rules for techique],MATCH(I68,techniques[name],0)),""),"")</f>
        <v/>
      </c>
      <c r="K68" s="45" t="inlineStr">
        <is>
          <t>Image File Execution Options Injection (T1546.012)</t>
        </is>
      </c>
      <c r="L68" s="54">
        <f t="array" ref="L68">IF(K68&lt;&gt;"",IF(INDEX(techniques[detection rules for techique],MATCH(K68,techniques[name],0))&gt;=1,INDEX(techniques[detection rules for techique],MATCH(K68,techniques[name],0)),""),"")</f>
        <v/>
      </c>
      <c r="M68" s="45" t="inlineStr">
        <is>
          <t>Token Impersonation/Theft (T1134.001)</t>
        </is>
      </c>
      <c r="N68" s="54">
        <f t="array" ref="N68">IF(M68&lt;&gt;"",IF(INDEX(techniques[detection rules for techique],MATCH(M68,techniques[name],0))&gt;=1,INDEX(techniques[detection rules for techique],MATCH(M68,techniques[name],0)),""),"")</f>
        <v/>
      </c>
      <c r="O68" s="45" t="n"/>
      <c r="P68" s="54">
        <f t="array" ref="P68">IF(O68&lt;&gt;"",IF(INDEX(techniques[detection rules for techique],MATCH(O68,techniques[name],0))&gt;=1,INDEX(techniques[detection rules for techique],MATCH(O68,techniques[name],0)),""),"")</f>
        <v/>
      </c>
      <c r="Q68" s="45" t="inlineStr">
        <is>
          <t>Steal or Forge Authentication Certificates (T1649)</t>
        </is>
      </c>
      <c r="R68" s="54">
        <f t="array" ref="R68">IF(Q68&lt;&gt;"",IF(INDEX(techniques[detection rules for techique],MATCH(Q68,techniques[name],0))&gt;=1,INDEX(techniques[detection rules for techique],MATCH(Q68,techniques[name],0)),""),"")</f>
        <v/>
      </c>
      <c r="S68" s="45" t="n"/>
      <c r="T68" s="54">
        <f t="array" ref="T68">IF(S68&lt;&gt;"",IF(INDEX(techniques[detection rules for techique],MATCH(S68,techniques[name],0))&gt;=1,INDEX(techniques[detection rules for techique],MATCH(S68,techniques[name],0)),""),"")</f>
        <v/>
      </c>
      <c r="U68" s="45" t="n"/>
      <c r="V68" s="54">
        <f t="array" ref="V68">IF(U68&lt;&gt;"",IF(INDEX(techniques[detection rules for techique],MATCH(U68,techniques[name],0))&gt;=1,INDEX(techniques[detection rules for techique],MATCH(U68,techniques[name],0)),""),"")</f>
        <v/>
      </c>
      <c r="W68" s="45" t="n"/>
      <c r="X68" s="54">
        <f t="array" ref="X68">IF(W68&lt;&gt;"",IF(INDEX(techniques[detection rules for techique],MATCH(W68,techniques[name],0))&gt;=1,INDEX(techniques[detection rules for techique],MATCH(W68,techniques[name],0)),""),"")</f>
        <v/>
      </c>
      <c r="Y68" s="45" t="n"/>
      <c r="Z68" s="54">
        <f t="array" ref="Z68">IF(Y68&lt;&gt;"",IF(INDEX(techniques[detection rules for techique],MATCH(Y68,techniques[name],0))&gt;=1,INDEX(techniques[detection rules for techique],MATCH(Y68,techniques[name],0)),""),"")</f>
        <v/>
      </c>
      <c r="AA68" s="45" t="n"/>
      <c r="AB68" s="54">
        <f t="array" ref="AB68">IF(AA68&lt;&gt;"",IF(INDEX(techniques[detection rules for techique],MATCH(AA68,techniques[name],0))&gt;=1,INDEX(techniques[detection rules for techique],MATCH(AA68,techniques[name],0)),""),"")</f>
        <v/>
      </c>
      <c r="AC68" s="45" t="n"/>
      <c r="AD68" s="54">
        <f t="array" ref="AD68">IF(AC68&lt;&gt;"",IF(INDEX(techniques[detection rules for techique],MATCH(AC68,techniques[name],0))&gt;=1,INDEX(techniques[detection rules for techique],MATCH(AC68,techniques[name],0)),""),"")</f>
        <v/>
      </c>
    </row>
    <row r="69" ht="22.5" customHeight="1">
      <c r="A69" s="45" t="n"/>
      <c r="B69" s="54">
        <f t="array" ref="B69">IF(A69&lt;&gt;"",IF(INDEX(techniques[detection rules for techique],MATCH(A69,techniques[name],0))&gt;=1,INDEX(techniques[detection rules for techique],MATCH(A69,techniques[name],0)),""),"")</f>
        <v/>
      </c>
      <c r="C69" s="45" t="n"/>
      <c r="D69" s="54">
        <f t="array" ref="D69">IF(C69&lt;&gt;"",IF(INDEX(techniques[detection rules for techique],MATCH(C69,techniques[name],0))&gt;=1,INDEX(techniques[detection rules for techique],MATCH(C69,techniques[name],0)),""),"")</f>
        <v/>
      </c>
      <c r="E69" s="45" t="n"/>
      <c r="F69" s="54">
        <f t="array" ref="F69">IF(E69&lt;&gt;"",IF(INDEX(techniques[detection rules for techique],MATCH(E69,techniques[name],0))&gt;=1,INDEX(techniques[detection rules for techique],MATCH(E69,techniques[name],0)),""),"")</f>
        <v/>
      </c>
      <c r="G69" s="45" t="n"/>
      <c r="H69" s="54">
        <f t="array" ref="H69">IF(G69&lt;&gt;"",IF(INDEX(techniques[detection rules for techique],MATCH(G69,techniques[name],0))&gt;=1,INDEX(techniques[detection rules for techique],MATCH(G69,techniques[name],0)),""),"")</f>
        <v/>
      </c>
      <c r="I69" s="45" t="inlineStr">
        <is>
          <t>Screensaver (T1546.002)</t>
        </is>
      </c>
      <c r="J69" s="54">
        <f t="array" ref="J69">IF(I69&lt;&gt;"",IF(INDEX(techniques[detection rules for techique],MATCH(I69,techniques[name],0))&gt;=1,INDEX(techniques[detection rules for techique],MATCH(I69,techniques[name],0)),""),"")</f>
        <v/>
      </c>
      <c r="K69" s="45" t="inlineStr">
        <is>
          <t>PowerShell Profile (T1546.013)</t>
        </is>
      </c>
      <c r="L69" s="54">
        <f t="array" ref="L69">IF(K69&lt;&gt;"",IF(INDEX(techniques[detection rules for techique],MATCH(K69,techniques[name],0))&gt;=1,INDEX(techniques[detection rules for techique],MATCH(K69,techniques[name],0)),""),"")</f>
        <v/>
      </c>
      <c r="M69" s="45" t="inlineStr">
        <is>
          <t>Create Process with Token (T1134.002)</t>
        </is>
      </c>
      <c r="N69" s="54">
        <f t="array" ref="N69">IF(M69&lt;&gt;"",IF(INDEX(techniques[detection rules for techique],MATCH(M69,techniques[name],0))&gt;=1,INDEX(techniques[detection rules for techique],MATCH(M69,techniques[name],0)),""),"")</f>
        <v/>
      </c>
      <c r="O69" s="45" t="n"/>
      <c r="P69" s="54">
        <f t="array" ref="P69">IF(O69&lt;&gt;"",IF(INDEX(techniques[detection rules for techique],MATCH(O69,techniques[name],0))&gt;=1,INDEX(techniques[detection rules for techique],MATCH(O69,techniques[name],0)),""),"")</f>
        <v/>
      </c>
      <c r="Q69" s="45" t="n"/>
      <c r="R69" s="54">
        <f t="array" ref="R69">IF(Q69&lt;&gt;"",IF(INDEX(techniques[detection rules for techique],MATCH(Q69,techniques[name],0))&gt;=1,INDEX(techniques[detection rules for techique],MATCH(Q69,techniques[name],0)),""),"")</f>
        <v/>
      </c>
      <c r="S69" s="45" t="n"/>
      <c r="T69" s="54">
        <f t="array" ref="T69">IF(S69&lt;&gt;"",IF(INDEX(techniques[detection rules for techique],MATCH(S69,techniques[name],0))&gt;=1,INDEX(techniques[detection rules for techique],MATCH(S69,techniques[name],0)),""),"")</f>
        <v/>
      </c>
      <c r="U69" s="45" t="n"/>
      <c r="V69" s="54">
        <f t="array" ref="V69">IF(U69&lt;&gt;"",IF(INDEX(techniques[detection rules for techique],MATCH(U69,techniques[name],0))&gt;=1,INDEX(techniques[detection rules for techique],MATCH(U69,techniques[name],0)),""),"")</f>
        <v/>
      </c>
      <c r="W69" s="45" t="n"/>
      <c r="X69" s="54">
        <f t="array" ref="X69">IF(W69&lt;&gt;"",IF(INDEX(techniques[detection rules for techique],MATCH(W69,techniques[name],0))&gt;=1,INDEX(techniques[detection rules for techique],MATCH(W69,techniques[name],0)),""),"")</f>
        <v/>
      </c>
      <c r="Y69" s="45" t="n"/>
      <c r="Z69" s="54">
        <f t="array" ref="Z69">IF(Y69&lt;&gt;"",IF(INDEX(techniques[detection rules for techique],MATCH(Y69,techniques[name],0))&gt;=1,INDEX(techniques[detection rules for techique],MATCH(Y69,techniques[name],0)),""),"")</f>
        <v/>
      </c>
      <c r="AA69" s="45" t="n"/>
      <c r="AB69" s="54">
        <f t="array" ref="AB69">IF(AA69&lt;&gt;"",IF(INDEX(techniques[detection rules for techique],MATCH(AA69,techniques[name],0))&gt;=1,INDEX(techniques[detection rules for techique],MATCH(AA69,techniques[name],0)),""),"")</f>
        <v/>
      </c>
      <c r="AC69" s="45" t="n"/>
      <c r="AD69" s="54">
        <f t="array" ref="AD69">IF(AC69&lt;&gt;"",IF(INDEX(techniques[detection rules for techique],MATCH(AC69,techniques[name],0))&gt;=1,INDEX(techniques[detection rules for techique],MATCH(AC69,techniques[name],0)),""),"")</f>
        <v/>
      </c>
    </row>
    <row r="70" ht="22.5" customHeight="1">
      <c r="A70" s="45" t="n"/>
      <c r="B70" s="54">
        <f t="array" ref="B70">IF(A70&lt;&gt;"",IF(INDEX(techniques[detection rules for techique],MATCH(A70,techniques[name],0))&gt;=1,INDEX(techniques[detection rules for techique],MATCH(A70,techniques[name],0)),""),"")</f>
        <v/>
      </c>
      <c r="C70" s="45" t="n"/>
      <c r="D70" s="54">
        <f t="array" ref="D70">IF(C70&lt;&gt;"",IF(INDEX(techniques[detection rules for techique],MATCH(C70,techniques[name],0))&gt;=1,INDEX(techniques[detection rules for techique],MATCH(C70,techniques[name],0)),""),"")</f>
        <v/>
      </c>
      <c r="E70" s="45" t="n"/>
      <c r="F70" s="54">
        <f t="array" ref="F70">IF(E70&lt;&gt;"",IF(INDEX(techniques[detection rules for techique],MATCH(E70,techniques[name],0))&gt;=1,INDEX(techniques[detection rules for techique],MATCH(E70,techniques[name],0)),""),"")</f>
        <v/>
      </c>
      <c r="G70" s="45" t="n"/>
      <c r="H70" s="54">
        <f t="array" ref="H70">IF(G70&lt;&gt;"",IF(INDEX(techniques[detection rules for techique],MATCH(G70,techniques[name],0))&gt;=1,INDEX(techniques[detection rules for techique],MATCH(G70,techniques[name],0)),""),"")</f>
        <v/>
      </c>
      <c r="I70" s="45" t="inlineStr">
        <is>
          <t>Windows Management Instrumentation Event Subscription (T1546.003)</t>
        </is>
      </c>
      <c r="J70" s="54">
        <f t="array" ref="J70">IF(I70&lt;&gt;"",IF(INDEX(techniques[detection rules for techique],MATCH(I70,techniques[name],0))&gt;=1,INDEX(techniques[detection rules for techique],MATCH(I70,techniques[name],0)),""),"")</f>
        <v/>
      </c>
      <c r="K70" s="45" t="inlineStr">
        <is>
          <t>Emond (T1546.014)</t>
        </is>
      </c>
      <c r="L70" s="54">
        <f t="array" ref="L70">IF(K70&lt;&gt;"",IF(INDEX(techniques[detection rules for techique],MATCH(K70,techniques[name],0))&gt;=1,INDEX(techniques[detection rules for techique],MATCH(K70,techniques[name],0)),""),"")</f>
        <v/>
      </c>
      <c r="M70" s="45" t="inlineStr">
        <is>
          <t>Make and Impersonate Token (T1134.003)</t>
        </is>
      </c>
      <c r="N70" s="54">
        <f t="array" ref="N70">IF(M70&lt;&gt;"",IF(INDEX(techniques[detection rules for techique],MATCH(M70,techniques[name],0))&gt;=1,INDEX(techniques[detection rules for techique],MATCH(M70,techniques[name],0)),""),"")</f>
        <v/>
      </c>
      <c r="O70" s="45" t="n"/>
      <c r="P70" s="54">
        <f t="array" ref="P70">IF(O70&lt;&gt;"",IF(INDEX(techniques[detection rules for techique],MATCH(O70,techniques[name],0))&gt;=1,INDEX(techniques[detection rules for techique],MATCH(O70,techniques[name],0)),""),"")</f>
        <v/>
      </c>
      <c r="Q70" s="45" t="n"/>
      <c r="R70" s="54">
        <f t="array" ref="R70">IF(Q70&lt;&gt;"",IF(INDEX(techniques[detection rules for techique],MATCH(Q70,techniques[name],0))&gt;=1,INDEX(techniques[detection rules for techique],MATCH(Q70,techniques[name],0)),""),"")</f>
        <v/>
      </c>
      <c r="S70" s="45" t="n"/>
      <c r="T70" s="54">
        <f t="array" ref="T70">IF(S70&lt;&gt;"",IF(INDEX(techniques[detection rules for techique],MATCH(S70,techniques[name],0))&gt;=1,INDEX(techniques[detection rules for techique],MATCH(S70,techniques[name],0)),""),"")</f>
        <v/>
      </c>
      <c r="U70" s="45" t="n"/>
      <c r="V70" s="54">
        <f t="array" ref="V70">IF(U70&lt;&gt;"",IF(INDEX(techniques[detection rules for techique],MATCH(U70,techniques[name],0))&gt;=1,INDEX(techniques[detection rules for techique],MATCH(U70,techniques[name],0)),""),"")</f>
        <v/>
      </c>
      <c r="W70" s="45" t="n"/>
      <c r="X70" s="54">
        <f t="array" ref="X70">IF(W70&lt;&gt;"",IF(INDEX(techniques[detection rules for techique],MATCH(W70,techniques[name],0))&gt;=1,INDEX(techniques[detection rules for techique],MATCH(W70,techniques[name],0)),""),"")</f>
        <v/>
      </c>
      <c r="Y70" s="45" t="n"/>
      <c r="Z70" s="54">
        <f t="array" ref="Z70">IF(Y70&lt;&gt;"",IF(INDEX(techniques[detection rules for techique],MATCH(Y70,techniques[name],0))&gt;=1,INDEX(techniques[detection rules for techique],MATCH(Y70,techniques[name],0)),""),"")</f>
        <v/>
      </c>
      <c r="AA70" s="45" t="n"/>
      <c r="AB70" s="54">
        <f t="array" ref="AB70">IF(AA70&lt;&gt;"",IF(INDEX(techniques[detection rules for techique],MATCH(AA70,techniques[name],0))&gt;=1,INDEX(techniques[detection rules for techique],MATCH(AA70,techniques[name],0)),""),"")</f>
        <v/>
      </c>
      <c r="AC70" s="45" t="n"/>
      <c r="AD70" s="54">
        <f t="array" ref="AD70">IF(AC70&lt;&gt;"",IF(INDEX(techniques[detection rules for techique],MATCH(AC70,techniques[name],0))&gt;=1,INDEX(techniques[detection rules for techique],MATCH(AC70,techniques[name],0)),""),"")</f>
        <v/>
      </c>
    </row>
    <row r="71" ht="22.5" customHeight="1">
      <c r="A71" s="45" t="n"/>
      <c r="B71" s="54">
        <f t="array" ref="B71">IF(A71&lt;&gt;"",IF(INDEX(techniques[detection rules for techique],MATCH(A71,techniques[name],0))&gt;=1,INDEX(techniques[detection rules for techique],MATCH(A71,techniques[name],0)),""),"")</f>
        <v/>
      </c>
      <c r="C71" s="45" t="n"/>
      <c r="D71" s="54">
        <f t="array" ref="D71">IF(C71&lt;&gt;"",IF(INDEX(techniques[detection rules for techique],MATCH(C71,techniques[name],0))&gt;=1,INDEX(techniques[detection rules for techique],MATCH(C71,techniques[name],0)),""),"")</f>
        <v/>
      </c>
      <c r="E71" s="45" t="n"/>
      <c r="F71" s="54">
        <f t="array" ref="F71">IF(E71&lt;&gt;"",IF(INDEX(techniques[detection rules for techique],MATCH(E71,techniques[name],0))&gt;=1,INDEX(techniques[detection rules for techique],MATCH(E71,techniques[name],0)),""),"")</f>
        <v/>
      </c>
      <c r="G71" s="45" t="n"/>
      <c r="H71" s="54">
        <f t="array" ref="H71">IF(G71&lt;&gt;"",IF(INDEX(techniques[detection rules for techique],MATCH(G71,techniques[name],0))&gt;=1,INDEX(techniques[detection rules for techique],MATCH(G71,techniques[name],0)),""),"")</f>
        <v/>
      </c>
      <c r="I71" s="45" t="inlineStr">
        <is>
          <t>Unix Shell Configuration Modification (T1546.004)</t>
        </is>
      </c>
      <c r="J71" s="54">
        <f t="array" ref="J71">IF(I71&lt;&gt;"",IF(INDEX(techniques[detection rules for techique],MATCH(I71,techniques[name],0))&gt;=1,INDEX(techniques[detection rules for techique],MATCH(I71,techniques[name],0)),""),"")</f>
        <v/>
      </c>
      <c r="K71" s="45" t="inlineStr">
        <is>
          <t>Component Object Model Hijacking (T1546.015)</t>
        </is>
      </c>
      <c r="L71" s="54">
        <f t="array" ref="L71">IF(K71&lt;&gt;"",IF(INDEX(techniques[detection rules for techique],MATCH(K71,techniques[name],0))&gt;=1,INDEX(techniques[detection rules for techique],MATCH(K71,techniques[name],0)),""),"")</f>
        <v/>
      </c>
      <c r="M71" s="45" t="inlineStr">
        <is>
          <t>Parent PID Spoofing (T1134.004)</t>
        </is>
      </c>
      <c r="N71" s="54">
        <f t="array" ref="N71">IF(M71&lt;&gt;"",IF(INDEX(techniques[detection rules for techique],MATCH(M71,techniques[name],0))&gt;=1,INDEX(techniques[detection rules for techique],MATCH(M71,techniques[name],0)),""),"")</f>
        <v/>
      </c>
      <c r="O71" s="45" t="n"/>
      <c r="P71" s="54">
        <f t="array" ref="P71">IF(O71&lt;&gt;"",IF(INDEX(techniques[detection rules for techique],MATCH(O71,techniques[name],0))&gt;=1,INDEX(techniques[detection rules for techique],MATCH(O71,techniques[name],0)),""),"")</f>
        <v/>
      </c>
      <c r="Q71" s="45" t="n"/>
      <c r="R71" s="54">
        <f t="array" ref="R71">IF(Q71&lt;&gt;"",IF(INDEX(techniques[detection rules for techique],MATCH(Q71,techniques[name],0))&gt;=1,INDEX(techniques[detection rules for techique],MATCH(Q71,techniques[name],0)),""),"")</f>
        <v/>
      </c>
      <c r="S71" s="45" t="n"/>
      <c r="T71" s="54">
        <f t="array" ref="T71">IF(S71&lt;&gt;"",IF(INDEX(techniques[detection rules for techique],MATCH(S71,techniques[name],0))&gt;=1,INDEX(techniques[detection rules for techique],MATCH(S71,techniques[name],0)),""),"")</f>
        <v/>
      </c>
      <c r="U71" s="45" t="n"/>
      <c r="V71" s="54">
        <f t="array" ref="V71">IF(U71&lt;&gt;"",IF(INDEX(techniques[detection rules for techique],MATCH(U71,techniques[name],0))&gt;=1,INDEX(techniques[detection rules for techique],MATCH(U71,techniques[name],0)),""),"")</f>
        <v/>
      </c>
      <c r="W71" s="45" t="n"/>
      <c r="X71" s="54">
        <f t="array" ref="X71">IF(W71&lt;&gt;"",IF(INDEX(techniques[detection rules for techique],MATCH(W71,techniques[name],0))&gt;=1,INDEX(techniques[detection rules for techique],MATCH(W71,techniques[name],0)),""),"")</f>
        <v/>
      </c>
      <c r="Y71" s="45" t="n"/>
      <c r="Z71" s="54">
        <f t="array" ref="Z71">IF(Y71&lt;&gt;"",IF(INDEX(techniques[detection rules for techique],MATCH(Y71,techniques[name],0))&gt;=1,INDEX(techniques[detection rules for techique],MATCH(Y71,techniques[name],0)),""),"")</f>
        <v/>
      </c>
      <c r="AA71" s="45" t="n"/>
      <c r="AB71" s="54">
        <f t="array" ref="AB71">IF(AA71&lt;&gt;"",IF(INDEX(techniques[detection rules for techique],MATCH(AA71,techniques[name],0))&gt;=1,INDEX(techniques[detection rules for techique],MATCH(AA71,techniques[name],0)),""),"")</f>
        <v/>
      </c>
      <c r="AC71" s="45" t="n"/>
      <c r="AD71" s="54">
        <f t="array" ref="AD71">IF(AC71&lt;&gt;"",IF(INDEX(techniques[detection rules for techique],MATCH(AC71,techniques[name],0))&gt;=1,INDEX(techniques[detection rules for techique],MATCH(AC71,techniques[name],0)),""),"")</f>
        <v/>
      </c>
    </row>
    <row r="72" ht="33.75" customHeight="1">
      <c r="A72" s="45" t="n"/>
      <c r="B72" s="54">
        <f t="array" ref="B72">IF(A72&lt;&gt;"",IF(INDEX(techniques[detection rules for techique],MATCH(A72,techniques[name],0))&gt;=1,INDEX(techniques[detection rules for techique],MATCH(A72,techniques[name],0)),""),"")</f>
        <v/>
      </c>
      <c r="C72" s="45" t="n"/>
      <c r="D72" s="54">
        <f t="array" ref="D72">IF(C72&lt;&gt;"",IF(INDEX(techniques[detection rules for techique],MATCH(C72,techniques[name],0))&gt;=1,INDEX(techniques[detection rules for techique],MATCH(C72,techniques[name],0)),""),"")</f>
        <v/>
      </c>
      <c r="E72" s="45" t="n"/>
      <c r="F72" s="54">
        <f t="array" ref="F72">IF(E72&lt;&gt;"",IF(INDEX(techniques[detection rules for techique],MATCH(E72,techniques[name],0))&gt;=1,INDEX(techniques[detection rules for techique],MATCH(E72,techniques[name],0)),""),"")</f>
        <v/>
      </c>
      <c r="G72" s="45" t="n"/>
      <c r="H72" s="54">
        <f t="array" ref="H72">IF(G72&lt;&gt;"",IF(INDEX(techniques[detection rules for techique],MATCH(G72,techniques[name],0))&gt;=1,INDEX(techniques[detection rules for techique],MATCH(G72,techniques[name],0)),""),"")</f>
        <v/>
      </c>
      <c r="I72" s="45" t="inlineStr">
        <is>
          <t>Trap (T1546.005)</t>
        </is>
      </c>
      <c r="J72" s="54">
        <f t="array" ref="J72">IF(I72&lt;&gt;"",IF(INDEX(techniques[detection rules for techique],MATCH(I72,techniques[name],0))&gt;=1,INDEX(techniques[detection rules for techique],MATCH(I72,techniques[name],0)),""),"")</f>
        <v/>
      </c>
      <c r="K72" s="45" t="inlineStr">
        <is>
          <t>Installer Packages (T1546.016)</t>
        </is>
      </c>
      <c r="L72" s="54">
        <f t="array" ref="L72">IF(K72&lt;&gt;"",IF(INDEX(techniques[detection rules for techique],MATCH(K72,techniques[name],0))&gt;=1,INDEX(techniques[detection rules for techique],MATCH(K72,techniques[name],0)),""),"")</f>
        <v/>
      </c>
      <c r="M72" s="45" t="inlineStr">
        <is>
          <t>SID-History Injection (T1134.005)</t>
        </is>
      </c>
      <c r="N72" s="54">
        <f t="array" ref="N72">IF(M72&lt;&gt;"",IF(INDEX(techniques[detection rules for techique],MATCH(M72,techniques[name],0))&gt;=1,INDEX(techniques[detection rules for techique],MATCH(M72,techniques[name],0)),""),"")</f>
        <v/>
      </c>
      <c r="O72" s="45" t="n"/>
      <c r="P72" s="54">
        <f t="array" ref="P72">IF(O72&lt;&gt;"",IF(INDEX(techniques[detection rules for techique],MATCH(O72,techniques[name],0))&gt;=1,INDEX(techniques[detection rules for techique],MATCH(O72,techniques[name],0)),""),"")</f>
        <v/>
      </c>
      <c r="Q72" s="45" t="n"/>
      <c r="R72" s="54">
        <f t="array" ref="R72">IF(Q72&lt;&gt;"",IF(INDEX(techniques[detection rules for techique],MATCH(Q72,techniques[name],0))&gt;=1,INDEX(techniques[detection rules for techique],MATCH(Q72,techniques[name],0)),""),"")</f>
        <v/>
      </c>
      <c r="S72" s="45" t="n"/>
      <c r="T72" s="54">
        <f t="array" ref="T72">IF(S72&lt;&gt;"",IF(INDEX(techniques[detection rules for techique],MATCH(S72,techniques[name],0))&gt;=1,INDEX(techniques[detection rules for techique],MATCH(S72,techniques[name],0)),""),"")</f>
        <v/>
      </c>
      <c r="U72" s="45" t="n"/>
      <c r="V72" s="54">
        <f t="array" ref="V72">IF(U72&lt;&gt;"",IF(INDEX(techniques[detection rules for techique],MATCH(U72,techniques[name],0))&gt;=1,INDEX(techniques[detection rules for techique],MATCH(U72,techniques[name],0)),""),"")</f>
        <v/>
      </c>
      <c r="W72" s="45" t="n"/>
      <c r="X72" s="54">
        <f t="array" ref="X72">IF(W72&lt;&gt;"",IF(INDEX(techniques[detection rules for techique],MATCH(W72,techniques[name],0))&gt;=1,INDEX(techniques[detection rules for techique],MATCH(W72,techniques[name],0)),""),"")</f>
        <v/>
      </c>
      <c r="Y72" s="45" t="n"/>
      <c r="Z72" s="54">
        <f t="array" ref="Z72">IF(Y72&lt;&gt;"",IF(INDEX(techniques[detection rules for techique],MATCH(Y72,techniques[name],0))&gt;=1,INDEX(techniques[detection rules for techique],MATCH(Y72,techniques[name],0)),""),"")</f>
        <v/>
      </c>
      <c r="AA72" s="45" t="n"/>
      <c r="AB72" s="54">
        <f t="array" ref="AB72">IF(AA72&lt;&gt;"",IF(INDEX(techniques[detection rules for techique],MATCH(AA72,techniques[name],0))&gt;=1,INDEX(techniques[detection rules for techique],MATCH(AA72,techniques[name],0)),""),"")</f>
        <v/>
      </c>
      <c r="AC72" s="45" t="n"/>
      <c r="AD72" s="54">
        <f t="array" ref="AD72">IF(AC72&lt;&gt;"",IF(INDEX(techniques[detection rules for techique],MATCH(AC72,techniques[name],0))&gt;=1,INDEX(techniques[detection rules for techique],MATCH(AC72,techniques[name],0)),""),"")</f>
        <v/>
      </c>
    </row>
    <row r="73" ht="22.5" customHeight="1">
      <c r="A73" s="45" t="n"/>
      <c r="B73" s="54">
        <f t="array" ref="B73">IF(A73&lt;&gt;"",IF(INDEX(techniques[detection rules for techique],MATCH(A73,techniques[name],0))&gt;=1,INDEX(techniques[detection rules for techique],MATCH(A73,techniques[name],0)),""),"")</f>
        <v/>
      </c>
      <c r="C73" s="45" t="n"/>
      <c r="D73" s="54">
        <f t="array" ref="D73">IF(C73&lt;&gt;"",IF(INDEX(techniques[detection rules for techique],MATCH(C73,techniques[name],0))&gt;=1,INDEX(techniques[detection rules for techique],MATCH(C73,techniques[name],0)),""),"")</f>
        <v/>
      </c>
      <c r="E73" s="45" t="n"/>
      <c r="F73" s="54">
        <f t="array" ref="F73">IF(E73&lt;&gt;"",IF(INDEX(techniques[detection rules for techique],MATCH(E73,techniques[name],0))&gt;=1,INDEX(techniques[detection rules for techique],MATCH(E73,techniques[name],0)),""),"")</f>
        <v/>
      </c>
      <c r="G73" s="45" t="n"/>
      <c r="H73" s="54">
        <f t="array" ref="H73">IF(G73&lt;&gt;"",IF(INDEX(techniques[detection rules for techique],MATCH(G73,techniques[name],0))&gt;=1,INDEX(techniques[detection rules for techique],MATCH(G73,techniques[name],0)),""),"")</f>
        <v/>
      </c>
      <c r="I73" s="45" t="inlineStr">
        <is>
          <t>LC_LOAD_DYLIB Addition (T1546.006)</t>
        </is>
      </c>
      <c r="J73" s="54">
        <f t="array" ref="J73">IF(I73&lt;&gt;"",IF(INDEX(techniques[detection rules for techique],MATCH(I73,techniques[name],0))&gt;=1,INDEX(techniques[detection rules for techique],MATCH(I73,techniques[name],0)),""),"")</f>
        <v/>
      </c>
      <c r="K73" s="45" t="inlineStr">
        <is>
          <t>Udev Rules (T1546.017)</t>
        </is>
      </c>
      <c r="L73" s="54">
        <f t="array" ref="L73">IF(K73&lt;&gt;"",IF(INDEX(techniques[detection rules for techique],MATCH(K73,techniques[name],0))&gt;=1,INDEX(techniques[detection rules for techique],MATCH(K73,techniques[name],0)),""),"")</f>
        <v/>
      </c>
      <c r="M73" s="45" t="inlineStr">
        <is>
          <t>Deobfuscate/Decode Files or Information (T1140)</t>
        </is>
      </c>
      <c r="N73" s="54">
        <f t="array" ref="N73">IF(M73&lt;&gt;"",IF(INDEX(techniques[detection rules for techique],MATCH(M73,techniques[name],0))&gt;=1,INDEX(techniques[detection rules for techique],MATCH(M73,techniques[name],0)),""),"")</f>
        <v/>
      </c>
      <c r="O73" s="45" t="n"/>
      <c r="P73" s="54">
        <f t="array" ref="P73">IF(O73&lt;&gt;"",IF(INDEX(techniques[detection rules for techique],MATCH(O73,techniques[name],0))&gt;=1,INDEX(techniques[detection rules for techique],MATCH(O73,techniques[name],0)),""),"")</f>
        <v/>
      </c>
      <c r="Q73" s="45" t="n"/>
      <c r="R73" s="54">
        <f t="array" ref="R73">IF(Q73&lt;&gt;"",IF(INDEX(techniques[detection rules for techique],MATCH(Q73,techniques[name],0))&gt;=1,INDEX(techniques[detection rules for techique],MATCH(Q73,techniques[name],0)),""),"")</f>
        <v/>
      </c>
      <c r="S73" s="45" t="n"/>
      <c r="T73" s="54">
        <f t="array" ref="T73">IF(S73&lt;&gt;"",IF(INDEX(techniques[detection rules for techique],MATCH(S73,techniques[name],0))&gt;=1,INDEX(techniques[detection rules for techique],MATCH(S73,techniques[name],0)),""),"")</f>
        <v/>
      </c>
      <c r="U73" s="45" t="n"/>
      <c r="V73" s="54">
        <f t="array" ref="V73">IF(U73&lt;&gt;"",IF(INDEX(techniques[detection rules for techique],MATCH(U73,techniques[name],0))&gt;=1,INDEX(techniques[detection rules for techique],MATCH(U73,techniques[name],0)),""),"")</f>
        <v/>
      </c>
      <c r="W73" s="45" t="n"/>
      <c r="X73" s="54">
        <f t="array" ref="X73">IF(W73&lt;&gt;"",IF(INDEX(techniques[detection rules for techique],MATCH(W73,techniques[name],0))&gt;=1,INDEX(techniques[detection rules for techique],MATCH(W73,techniques[name],0)),""),"")</f>
        <v/>
      </c>
      <c r="Y73" s="45" t="n"/>
      <c r="Z73" s="54">
        <f t="array" ref="Z73">IF(Y73&lt;&gt;"",IF(INDEX(techniques[detection rules for techique],MATCH(Y73,techniques[name],0))&gt;=1,INDEX(techniques[detection rules for techique],MATCH(Y73,techniques[name],0)),""),"")</f>
        <v/>
      </c>
      <c r="AA73" s="45" t="n"/>
      <c r="AB73" s="54">
        <f t="array" ref="AB73">IF(AA73&lt;&gt;"",IF(INDEX(techniques[detection rules for techique],MATCH(AA73,techniques[name],0))&gt;=1,INDEX(techniques[detection rules for techique],MATCH(AA73,techniques[name],0)),""),"")</f>
        <v/>
      </c>
      <c r="AC73" s="45" t="n"/>
      <c r="AD73" s="54">
        <f t="array" ref="AD73">IF(AC73&lt;&gt;"",IF(INDEX(techniques[detection rules for techique],MATCH(AC73,techniques[name],0))&gt;=1,INDEX(techniques[detection rules for techique],MATCH(AC73,techniques[name],0)),""),"")</f>
        <v/>
      </c>
    </row>
    <row r="74">
      <c r="A74" s="45" t="n"/>
      <c r="B74" s="54">
        <f t="array" ref="B74">IF(A74&lt;&gt;"",IF(INDEX(techniques[detection rules for techique],MATCH(A74,techniques[name],0))&gt;=1,INDEX(techniques[detection rules for techique],MATCH(A74,techniques[name],0)),""),"")</f>
        <v/>
      </c>
      <c r="C74" s="45" t="n"/>
      <c r="D74" s="54">
        <f t="array" ref="D74">IF(C74&lt;&gt;"",IF(INDEX(techniques[detection rules for techique],MATCH(C74,techniques[name],0))&gt;=1,INDEX(techniques[detection rules for techique],MATCH(C74,techniques[name],0)),""),"")</f>
        <v/>
      </c>
      <c r="E74" s="45" t="n"/>
      <c r="F74" s="54">
        <f t="array" ref="F74">IF(E74&lt;&gt;"",IF(INDEX(techniques[detection rules for techique],MATCH(E74,techniques[name],0))&gt;=1,INDEX(techniques[detection rules for techique],MATCH(E74,techniques[name],0)),""),"")</f>
        <v/>
      </c>
      <c r="G74" s="45" t="n"/>
      <c r="H74" s="54">
        <f t="array" ref="H74">IF(G74&lt;&gt;"",IF(INDEX(techniques[detection rules for techique],MATCH(G74,techniques[name],0))&gt;=1,INDEX(techniques[detection rules for techique],MATCH(G74,techniques[name],0)),""),"")</f>
        <v/>
      </c>
      <c r="I74" s="45" t="inlineStr">
        <is>
          <t>Netsh Helper DLL (T1546.007)</t>
        </is>
      </c>
      <c r="J74" s="54">
        <f t="array" ref="J74">IF(I74&lt;&gt;"",IF(INDEX(techniques[detection rules for techique],MATCH(I74,techniques[name],0))&gt;=1,INDEX(techniques[detection rules for techique],MATCH(I74,techniques[name],0)),""),"")</f>
        <v/>
      </c>
      <c r="K74" s="45" t="inlineStr">
        <is>
          <t>Python Startup Hooks (T1546.018)</t>
        </is>
      </c>
      <c r="L74" s="54">
        <f t="array" ref="L74">IF(K74&lt;&gt;"",IF(INDEX(techniques[detection rules for techique],MATCH(K74,techniques[name],0))&gt;=1,INDEX(techniques[detection rules for techique],MATCH(K74,techniques[name],0)),""),"")</f>
        <v/>
      </c>
      <c r="M74" s="45" t="inlineStr">
        <is>
          <t>BITS Jobs (T1197)</t>
        </is>
      </c>
      <c r="N74" s="54">
        <f t="array" ref="N74">IF(M74&lt;&gt;"",IF(INDEX(techniques[detection rules for techique],MATCH(M74,techniques[name],0))&gt;=1,INDEX(techniques[detection rules for techique],MATCH(M74,techniques[name],0)),""),"")</f>
        <v/>
      </c>
      <c r="O74" s="45" t="n"/>
      <c r="P74" s="54">
        <f t="array" ref="P74">IF(O74&lt;&gt;"",IF(INDEX(techniques[detection rules for techique],MATCH(O74,techniques[name],0))&gt;=1,INDEX(techniques[detection rules for techique],MATCH(O74,techniques[name],0)),""),"")</f>
        <v/>
      </c>
      <c r="Q74" s="45" t="n"/>
      <c r="R74" s="54">
        <f t="array" ref="R74">IF(Q74&lt;&gt;"",IF(INDEX(techniques[detection rules for techique],MATCH(Q74,techniques[name],0))&gt;=1,INDEX(techniques[detection rules for techique],MATCH(Q74,techniques[name],0)),""),"")</f>
        <v/>
      </c>
      <c r="S74" s="45" t="n"/>
      <c r="T74" s="54">
        <f t="array" ref="T74">IF(S74&lt;&gt;"",IF(INDEX(techniques[detection rules for techique],MATCH(S74,techniques[name],0))&gt;=1,INDEX(techniques[detection rules for techique],MATCH(S74,techniques[name],0)),""),"")</f>
        <v/>
      </c>
      <c r="U74" s="45" t="n"/>
      <c r="V74" s="54">
        <f t="array" ref="V74">IF(U74&lt;&gt;"",IF(INDEX(techniques[detection rules for techique],MATCH(U74,techniques[name],0))&gt;=1,INDEX(techniques[detection rules for techique],MATCH(U74,techniques[name],0)),""),"")</f>
        <v/>
      </c>
      <c r="W74" s="45" t="n"/>
      <c r="X74" s="54">
        <f t="array" ref="X74">IF(W74&lt;&gt;"",IF(INDEX(techniques[detection rules for techique],MATCH(W74,techniques[name],0))&gt;=1,INDEX(techniques[detection rules for techique],MATCH(W74,techniques[name],0)),""),"")</f>
        <v/>
      </c>
      <c r="Y74" s="45" t="n"/>
      <c r="Z74" s="54">
        <f t="array" ref="Z74">IF(Y74&lt;&gt;"",IF(INDEX(techniques[detection rules for techique],MATCH(Y74,techniques[name],0))&gt;=1,INDEX(techniques[detection rules for techique],MATCH(Y74,techniques[name],0)),""),"")</f>
        <v/>
      </c>
      <c r="AA74" s="45" t="n"/>
      <c r="AB74" s="54">
        <f t="array" ref="AB74">IF(AA74&lt;&gt;"",IF(INDEX(techniques[detection rules for techique],MATCH(AA74,techniques[name],0))&gt;=1,INDEX(techniques[detection rules for techique],MATCH(AA74,techniques[name],0)),""),"")</f>
        <v/>
      </c>
      <c r="AC74" s="45" t="n"/>
      <c r="AD74" s="54">
        <f t="array" ref="AD74">IF(AC74&lt;&gt;"",IF(INDEX(techniques[detection rules for techique],MATCH(AC74,techniques[name],0))&gt;=1,INDEX(techniques[detection rules for techique],MATCH(AC74,techniques[name],0)),""),"")</f>
        <v/>
      </c>
    </row>
    <row r="75" ht="22.5" customHeight="1">
      <c r="A75" s="45" t="n"/>
      <c r="B75" s="54">
        <f t="array" ref="B75">IF(A75&lt;&gt;"",IF(INDEX(techniques[detection rules for techique],MATCH(A75,techniques[name],0))&gt;=1,INDEX(techniques[detection rules for techique],MATCH(A75,techniques[name],0)),""),"")</f>
        <v/>
      </c>
      <c r="C75" s="45" t="n"/>
      <c r="D75" s="54">
        <f t="array" ref="D75">IF(C75&lt;&gt;"",IF(INDEX(techniques[detection rules for techique],MATCH(C75,techniques[name],0))&gt;=1,INDEX(techniques[detection rules for techique],MATCH(C75,techniques[name],0)),""),"")</f>
        <v/>
      </c>
      <c r="E75" s="45" t="n"/>
      <c r="F75" s="54">
        <f t="array" ref="F75">IF(E75&lt;&gt;"",IF(INDEX(techniques[detection rules for techique],MATCH(E75,techniques[name],0))&gt;=1,INDEX(techniques[detection rules for techique],MATCH(E75,techniques[name],0)),""),"")</f>
        <v/>
      </c>
      <c r="G75" s="45" t="n"/>
      <c r="H75" s="54">
        <f t="array" ref="H75">IF(G75&lt;&gt;"",IF(INDEX(techniques[detection rules for techique],MATCH(G75,techniques[name],0))&gt;=1,INDEX(techniques[detection rules for techique],MATCH(G75,techniques[name],0)),""),"")</f>
        <v/>
      </c>
      <c r="I75" s="45" t="inlineStr">
        <is>
          <t>Accessibility Features (T1546.008)</t>
        </is>
      </c>
      <c r="J75" s="54">
        <f t="array" ref="J75">IF(I75&lt;&gt;"",IF(INDEX(techniques[detection rules for techique],MATCH(I75,techniques[name],0))&gt;=1,INDEX(techniques[detection rules for techique],MATCH(I75,techniques[name],0)),""),"")</f>
        <v/>
      </c>
      <c r="K75" s="45" t="inlineStr">
        <is>
          <t>Boot or Logon Autostart Execution (T1547)</t>
        </is>
      </c>
      <c r="L75" s="54">
        <f t="array" ref="L75">IF(K75&lt;&gt;"",IF(INDEX(techniques[detection rules for techique],MATCH(K75,techniques[name],0))&gt;=1,INDEX(techniques[detection rules for techique],MATCH(K75,techniques[name],0)),""),"")</f>
        <v/>
      </c>
      <c r="M75" s="45" t="inlineStr">
        <is>
          <t>Indirect Command Execution (T1202)</t>
        </is>
      </c>
      <c r="N75" s="54">
        <f t="array" ref="N75">IF(M75&lt;&gt;"",IF(INDEX(techniques[detection rules for techique],MATCH(M75,techniques[name],0))&gt;=1,INDEX(techniques[detection rules for techique],MATCH(M75,techniques[name],0)),""),"")</f>
        <v/>
      </c>
      <c r="O75" s="45" t="n"/>
      <c r="P75" s="54">
        <f t="array" ref="P75">IF(O75&lt;&gt;"",IF(INDEX(techniques[detection rules for techique],MATCH(O75,techniques[name],0))&gt;=1,INDEX(techniques[detection rules for techique],MATCH(O75,techniques[name],0)),""),"")</f>
        <v/>
      </c>
      <c r="Q75" s="45" t="n"/>
      <c r="R75" s="54">
        <f t="array" ref="R75">IF(Q75&lt;&gt;"",IF(INDEX(techniques[detection rules for techique],MATCH(Q75,techniques[name],0))&gt;=1,INDEX(techniques[detection rules for techique],MATCH(Q75,techniques[name],0)),""),"")</f>
        <v/>
      </c>
      <c r="S75" s="45" t="n"/>
      <c r="T75" s="54">
        <f t="array" ref="T75">IF(S75&lt;&gt;"",IF(INDEX(techniques[detection rules for techique],MATCH(S75,techniques[name],0))&gt;=1,INDEX(techniques[detection rules for techique],MATCH(S75,techniques[name],0)),""),"")</f>
        <v/>
      </c>
      <c r="U75" s="45" t="n"/>
      <c r="V75" s="54">
        <f t="array" ref="V75">IF(U75&lt;&gt;"",IF(INDEX(techniques[detection rules for techique],MATCH(U75,techniques[name],0))&gt;=1,INDEX(techniques[detection rules for techique],MATCH(U75,techniques[name],0)),""),"")</f>
        <v/>
      </c>
      <c r="W75" s="45" t="n"/>
      <c r="X75" s="54">
        <f t="array" ref="X75">IF(W75&lt;&gt;"",IF(INDEX(techniques[detection rules for techique],MATCH(W75,techniques[name],0))&gt;=1,INDEX(techniques[detection rules for techique],MATCH(W75,techniques[name],0)),""),"")</f>
        <v/>
      </c>
      <c r="Y75" s="45" t="n"/>
      <c r="Z75" s="54">
        <f t="array" ref="Z75">IF(Y75&lt;&gt;"",IF(INDEX(techniques[detection rules for techique],MATCH(Y75,techniques[name],0))&gt;=1,INDEX(techniques[detection rules for techique],MATCH(Y75,techniques[name],0)),""),"")</f>
        <v/>
      </c>
      <c r="AA75" s="45" t="n"/>
      <c r="AB75" s="54">
        <f t="array" ref="AB75">IF(AA75&lt;&gt;"",IF(INDEX(techniques[detection rules for techique],MATCH(AA75,techniques[name],0))&gt;=1,INDEX(techniques[detection rules for techique],MATCH(AA75,techniques[name],0)),""),"")</f>
        <v/>
      </c>
      <c r="AC75" s="45" t="n"/>
      <c r="AD75" s="54">
        <f t="array" ref="AD75">IF(AC75&lt;&gt;"",IF(INDEX(techniques[detection rules for techique],MATCH(AC75,techniques[name],0))&gt;=1,INDEX(techniques[detection rules for techique],MATCH(AC75,techniques[name],0)),""),"")</f>
        <v/>
      </c>
    </row>
    <row r="76" ht="22.5" customHeight="1">
      <c r="A76" s="45" t="n"/>
      <c r="B76" s="54">
        <f t="array" ref="B76">IF(A76&lt;&gt;"",IF(INDEX(techniques[detection rules for techique],MATCH(A76,techniques[name],0))&gt;=1,INDEX(techniques[detection rules for techique],MATCH(A76,techniques[name],0)),""),"")</f>
        <v/>
      </c>
      <c r="C76" s="45" t="n"/>
      <c r="D76" s="54">
        <f t="array" ref="D76">IF(C76&lt;&gt;"",IF(INDEX(techniques[detection rules for techique],MATCH(C76,techniques[name],0))&gt;=1,INDEX(techniques[detection rules for techique],MATCH(C76,techniques[name],0)),""),"")</f>
        <v/>
      </c>
      <c r="E76" s="45" t="n"/>
      <c r="F76" s="54">
        <f t="array" ref="F76">IF(E76&lt;&gt;"",IF(INDEX(techniques[detection rules for techique],MATCH(E76,techniques[name],0))&gt;=1,INDEX(techniques[detection rules for techique],MATCH(E76,techniques[name],0)),""),"")</f>
        <v/>
      </c>
      <c r="G76" s="45" t="n"/>
      <c r="H76" s="54">
        <f t="array" ref="H76">IF(G76&lt;&gt;"",IF(INDEX(techniques[detection rules for techique],MATCH(G76,techniques[name],0))&gt;=1,INDEX(techniques[detection rules for techique],MATCH(G76,techniques[name],0)),""),"")</f>
        <v/>
      </c>
      <c r="I76" s="45" t="inlineStr">
        <is>
          <t>AppCert DLLs (T1546.009)</t>
        </is>
      </c>
      <c r="J76" s="54">
        <f t="array" ref="J76">IF(I76&lt;&gt;"",IF(INDEX(techniques[detection rules for techique],MATCH(I76,techniques[name],0))&gt;=1,INDEX(techniques[detection rules for techique],MATCH(I76,techniques[name],0)),""),"")</f>
        <v/>
      </c>
      <c r="K76" s="45" t="inlineStr">
        <is>
          <t>Registry Run Keys / Startup Folder (T1547.001)</t>
        </is>
      </c>
      <c r="L76" s="54">
        <f t="array" ref="L76">IF(K76&lt;&gt;"",IF(INDEX(techniques[detection rules for techique],MATCH(K76,techniques[name],0))&gt;=1,INDEX(techniques[detection rules for techique],MATCH(K76,techniques[name],0)),""),"")</f>
        <v/>
      </c>
      <c r="M76" s="45" t="inlineStr">
        <is>
          <t>Traffic Signaling (T1205)</t>
        </is>
      </c>
      <c r="N76" s="54">
        <f t="array" ref="N76">IF(M76&lt;&gt;"",IF(INDEX(techniques[detection rules for techique],MATCH(M76,techniques[name],0))&gt;=1,INDEX(techniques[detection rules for techique],MATCH(M76,techniques[name],0)),""),"")</f>
        <v/>
      </c>
      <c r="O76" s="45" t="n"/>
      <c r="P76" s="54">
        <f t="array" ref="P76">IF(O76&lt;&gt;"",IF(INDEX(techniques[detection rules for techique],MATCH(O76,techniques[name],0))&gt;=1,INDEX(techniques[detection rules for techique],MATCH(O76,techniques[name],0)),""),"")</f>
        <v/>
      </c>
      <c r="Q76" s="45" t="n"/>
      <c r="R76" s="54">
        <f t="array" ref="R76">IF(Q76&lt;&gt;"",IF(INDEX(techniques[detection rules for techique],MATCH(Q76,techniques[name],0))&gt;=1,INDEX(techniques[detection rules for techique],MATCH(Q76,techniques[name],0)),""),"")</f>
        <v/>
      </c>
      <c r="S76" s="45" t="n"/>
      <c r="T76" s="54">
        <f t="array" ref="T76">IF(S76&lt;&gt;"",IF(INDEX(techniques[detection rules for techique],MATCH(S76,techniques[name],0))&gt;=1,INDEX(techniques[detection rules for techique],MATCH(S76,techniques[name],0)),""),"")</f>
        <v/>
      </c>
      <c r="U76" s="45" t="n"/>
      <c r="V76" s="54">
        <f t="array" ref="V76">IF(U76&lt;&gt;"",IF(INDEX(techniques[detection rules for techique],MATCH(U76,techniques[name],0))&gt;=1,INDEX(techniques[detection rules for techique],MATCH(U76,techniques[name],0)),""),"")</f>
        <v/>
      </c>
      <c r="W76" s="45" t="n"/>
      <c r="X76" s="54">
        <f t="array" ref="X76">IF(W76&lt;&gt;"",IF(INDEX(techniques[detection rules for techique],MATCH(W76,techniques[name],0))&gt;=1,INDEX(techniques[detection rules for techique],MATCH(W76,techniques[name],0)),""),"")</f>
        <v/>
      </c>
      <c r="Y76" s="45" t="n"/>
      <c r="Z76" s="54">
        <f t="array" ref="Z76">IF(Y76&lt;&gt;"",IF(INDEX(techniques[detection rules for techique],MATCH(Y76,techniques[name],0))&gt;=1,INDEX(techniques[detection rules for techique],MATCH(Y76,techniques[name],0)),""),"")</f>
        <v/>
      </c>
      <c r="AA76" s="45" t="n"/>
      <c r="AB76" s="54">
        <f t="array" ref="AB76">IF(AA76&lt;&gt;"",IF(INDEX(techniques[detection rules for techique],MATCH(AA76,techniques[name],0))&gt;=1,INDEX(techniques[detection rules for techique],MATCH(AA76,techniques[name],0)),""),"")</f>
        <v/>
      </c>
      <c r="AC76" s="45" t="n"/>
      <c r="AD76" s="54">
        <f t="array" ref="AD76">IF(AC76&lt;&gt;"",IF(INDEX(techniques[detection rules for techique],MATCH(AC76,techniques[name],0))&gt;=1,INDEX(techniques[detection rules for techique],MATCH(AC76,techniques[name],0)),""),"")</f>
        <v/>
      </c>
    </row>
    <row r="77" ht="22.5" customHeight="1">
      <c r="A77" s="45" t="n"/>
      <c r="B77" s="54">
        <f t="array" ref="B77">IF(A77&lt;&gt;"",IF(INDEX(techniques[detection rules for techique],MATCH(A77,techniques[name],0))&gt;=1,INDEX(techniques[detection rules for techique],MATCH(A77,techniques[name],0)),""),"")</f>
        <v/>
      </c>
      <c r="C77" s="45" t="n"/>
      <c r="D77" s="54">
        <f t="array" ref="D77">IF(C77&lt;&gt;"",IF(INDEX(techniques[detection rules for techique],MATCH(C77,techniques[name],0))&gt;=1,INDEX(techniques[detection rules for techique],MATCH(C77,techniques[name],0)),""),"")</f>
        <v/>
      </c>
      <c r="E77" s="45" t="n"/>
      <c r="F77" s="54">
        <f t="array" ref="F77">IF(E77&lt;&gt;"",IF(INDEX(techniques[detection rules for techique],MATCH(E77,techniques[name],0))&gt;=1,INDEX(techniques[detection rules for techique],MATCH(E77,techniques[name],0)),""),"")</f>
        <v/>
      </c>
      <c r="G77" s="45" t="n"/>
      <c r="H77" s="54">
        <f t="array" ref="H77">IF(G77&lt;&gt;"",IF(INDEX(techniques[detection rules for techique],MATCH(G77,techniques[name],0))&gt;=1,INDEX(techniques[detection rules for techique],MATCH(G77,techniques[name],0)),""),"")</f>
        <v/>
      </c>
      <c r="I77" s="45" t="inlineStr">
        <is>
          <t>AppInit DLLs (T1546.010)</t>
        </is>
      </c>
      <c r="J77" s="54">
        <f t="array" ref="J77">IF(I77&lt;&gt;"",IF(INDEX(techniques[detection rules for techique],MATCH(I77,techniques[name],0))&gt;=1,INDEX(techniques[detection rules for techique],MATCH(I77,techniques[name],0)),""),"")</f>
        <v/>
      </c>
      <c r="K77" s="45" t="inlineStr">
        <is>
          <t>Authentication Package (T1547.002)</t>
        </is>
      </c>
      <c r="L77" s="54">
        <f t="array" ref="L77">IF(K77&lt;&gt;"",IF(INDEX(techniques[detection rules for techique],MATCH(K77,techniques[name],0))&gt;=1,INDEX(techniques[detection rules for techique],MATCH(K77,techniques[name],0)),""),"")</f>
        <v/>
      </c>
      <c r="M77" s="45" t="inlineStr">
        <is>
          <t>Port Knocking (T1205.001)</t>
        </is>
      </c>
      <c r="N77" s="54">
        <f t="array" ref="N77">IF(M77&lt;&gt;"",IF(INDEX(techniques[detection rules for techique],MATCH(M77,techniques[name],0))&gt;=1,INDEX(techniques[detection rules for techique],MATCH(M77,techniques[name],0)),""),"")</f>
        <v/>
      </c>
      <c r="O77" s="45" t="n"/>
      <c r="P77" s="54">
        <f t="array" ref="P77">IF(O77&lt;&gt;"",IF(INDEX(techniques[detection rules for techique],MATCH(O77,techniques[name],0))&gt;=1,INDEX(techniques[detection rules for techique],MATCH(O77,techniques[name],0)),""),"")</f>
        <v/>
      </c>
      <c r="Q77" s="45" t="n"/>
      <c r="R77" s="54">
        <f t="array" ref="R77">IF(Q77&lt;&gt;"",IF(INDEX(techniques[detection rules for techique],MATCH(Q77,techniques[name],0))&gt;=1,INDEX(techniques[detection rules for techique],MATCH(Q77,techniques[name],0)),""),"")</f>
        <v/>
      </c>
      <c r="S77" s="45" t="n"/>
      <c r="T77" s="54">
        <f t="array" ref="T77">IF(S77&lt;&gt;"",IF(INDEX(techniques[detection rules for techique],MATCH(S77,techniques[name],0))&gt;=1,INDEX(techniques[detection rules for techique],MATCH(S77,techniques[name],0)),""),"")</f>
        <v/>
      </c>
      <c r="U77" s="45" t="n"/>
      <c r="V77" s="54">
        <f t="array" ref="V77">IF(U77&lt;&gt;"",IF(INDEX(techniques[detection rules for techique],MATCH(U77,techniques[name],0))&gt;=1,INDEX(techniques[detection rules for techique],MATCH(U77,techniques[name],0)),""),"")</f>
        <v/>
      </c>
      <c r="W77" s="45" t="n"/>
      <c r="X77" s="54">
        <f t="array" ref="X77">IF(W77&lt;&gt;"",IF(INDEX(techniques[detection rules for techique],MATCH(W77,techniques[name],0))&gt;=1,INDEX(techniques[detection rules for techique],MATCH(W77,techniques[name],0)),""),"")</f>
        <v/>
      </c>
      <c r="Y77" s="45" t="n"/>
      <c r="Z77" s="54">
        <f t="array" ref="Z77">IF(Y77&lt;&gt;"",IF(INDEX(techniques[detection rules for techique],MATCH(Y77,techniques[name],0))&gt;=1,INDEX(techniques[detection rules for techique],MATCH(Y77,techniques[name],0)),""),"")</f>
        <v/>
      </c>
      <c r="AA77" s="45" t="n"/>
      <c r="AB77" s="54">
        <f t="array" ref="AB77">IF(AA77&lt;&gt;"",IF(INDEX(techniques[detection rules for techique],MATCH(AA77,techniques[name],0))&gt;=1,INDEX(techniques[detection rules for techique],MATCH(AA77,techniques[name],0)),""),"")</f>
        <v/>
      </c>
      <c r="AC77" s="45" t="n"/>
      <c r="AD77" s="54">
        <f t="array" ref="AD77">IF(AC77&lt;&gt;"",IF(INDEX(techniques[detection rules for techique],MATCH(AC77,techniques[name],0))&gt;=1,INDEX(techniques[detection rules for techique],MATCH(AC77,techniques[name],0)),""),"")</f>
        <v/>
      </c>
    </row>
    <row r="78" ht="33.75" customHeight="1">
      <c r="A78" s="45" t="n"/>
      <c r="B78" s="54">
        <f t="array" ref="B78">IF(A78&lt;&gt;"",IF(INDEX(techniques[detection rules for techique],MATCH(A78,techniques[name],0))&gt;=1,INDEX(techniques[detection rules for techique],MATCH(A78,techniques[name],0)),""),"")</f>
        <v/>
      </c>
      <c r="C78" s="45" t="n"/>
      <c r="D78" s="54">
        <f t="array" ref="D78">IF(C78&lt;&gt;"",IF(INDEX(techniques[detection rules for techique],MATCH(C78,techniques[name],0))&gt;=1,INDEX(techniques[detection rules for techique],MATCH(C78,techniques[name],0)),""),"")</f>
        <v/>
      </c>
      <c r="E78" s="45" t="n"/>
      <c r="F78" s="54">
        <f t="array" ref="F78">IF(E78&lt;&gt;"",IF(INDEX(techniques[detection rules for techique],MATCH(E78,techniques[name],0))&gt;=1,INDEX(techniques[detection rules for techique],MATCH(E78,techniques[name],0)),""),"")</f>
        <v/>
      </c>
      <c r="G78" s="45" t="n"/>
      <c r="H78" s="54">
        <f t="array" ref="H78">IF(G78&lt;&gt;"",IF(INDEX(techniques[detection rules for techique],MATCH(G78,techniques[name],0))&gt;=1,INDEX(techniques[detection rules for techique],MATCH(G78,techniques[name],0)),""),"")</f>
        <v/>
      </c>
      <c r="I78" s="45" t="inlineStr">
        <is>
          <t>Application Shimming (T1546.011)</t>
        </is>
      </c>
      <c r="J78" s="54">
        <f t="array" ref="J78">IF(I78&lt;&gt;"",IF(INDEX(techniques[detection rules for techique],MATCH(I78,techniques[name],0))&gt;=1,INDEX(techniques[detection rules for techique],MATCH(I78,techniques[name],0)),""),"")</f>
        <v/>
      </c>
      <c r="K78" s="45" t="inlineStr">
        <is>
          <t>Time Providers (T1547.003)</t>
        </is>
      </c>
      <c r="L78" s="54">
        <f t="array" ref="L78">IF(K78&lt;&gt;"",IF(INDEX(techniques[detection rules for techique],MATCH(K78,techniques[name],0))&gt;=1,INDEX(techniques[detection rules for techique],MATCH(K78,techniques[name],0)),""),"")</f>
        <v/>
      </c>
      <c r="M78" s="45" t="inlineStr">
        <is>
          <t>Socket Filters (T1205.002)</t>
        </is>
      </c>
      <c r="N78" s="54">
        <f t="array" ref="N78">IF(M78&lt;&gt;"",IF(INDEX(techniques[detection rules for techique],MATCH(M78,techniques[name],0))&gt;=1,INDEX(techniques[detection rules for techique],MATCH(M78,techniques[name],0)),""),"")</f>
        <v/>
      </c>
      <c r="O78" s="45" t="n"/>
      <c r="P78" s="54">
        <f t="array" ref="P78">IF(O78&lt;&gt;"",IF(INDEX(techniques[detection rules for techique],MATCH(O78,techniques[name],0))&gt;=1,INDEX(techniques[detection rules for techique],MATCH(O78,techniques[name],0)),""),"")</f>
        <v/>
      </c>
      <c r="Q78" s="45" t="n"/>
      <c r="R78" s="54">
        <f t="array" ref="R78">IF(Q78&lt;&gt;"",IF(INDEX(techniques[detection rules for techique],MATCH(Q78,techniques[name],0))&gt;=1,INDEX(techniques[detection rules for techique],MATCH(Q78,techniques[name],0)),""),"")</f>
        <v/>
      </c>
      <c r="S78" s="45" t="n"/>
      <c r="T78" s="54">
        <f t="array" ref="T78">IF(S78&lt;&gt;"",IF(INDEX(techniques[detection rules for techique],MATCH(S78,techniques[name],0))&gt;=1,INDEX(techniques[detection rules for techique],MATCH(S78,techniques[name],0)),""),"")</f>
        <v/>
      </c>
      <c r="U78" s="45" t="n"/>
      <c r="V78" s="54">
        <f t="array" ref="V78">IF(U78&lt;&gt;"",IF(INDEX(techniques[detection rules for techique],MATCH(U78,techniques[name],0))&gt;=1,INDEX(techniques[detection rules for techique],MATCH(U78,techniques[name],0)),""),"")</f>
        <v/>
      </c>
      <c r="W78" s="45" t="n"/>
      <c r="X78" s="54">
        <f t="array" ref="X78">IF(W78&lt;&gt;"",IF(INDEX(techniques[detection rules for techique],MATCH(W78,techniques[name],0))&gt;=1,INDEX(techniques[detection rules for techique],MATCH(W78,techniques[name],0)),""),"")</f>
        <v/>
      </c>
      <c r="Y78" s="45" t="n"/>
      <c r="Z78" s="54">
        <f t="array" ref="Z78">IF(Y78&lt;&gt;"",IF(INDEX(techniques[detection rules for techique],MATCH(Y78,techniques[name],0))&gt;=1,INDEX(techniques[detection rules for techique],MATCH(Y78,techniques[name],0)),""),"")</f>
        <v/>
      </c>
      <c r="AA78" s="45" t="n"/>
      <c r="AB78" s="54">
        <f t="array" ref="AB78">IF(AA78&lt;&gt;"",IF(INDEX(techniques[detection rules for techique],MATCH(AA78,techniques[name],0))&gt;=1,INDEX(techniques[detection rules for techique],MATCH(AA78,techniques[name],0)),""),"")</f>
        <v/>
      </c>
      <c r="AC78" s="45" t="n"/>
      <c r="AD78" s="54">
        <f t="array" ref="AD78">IF(AC78&lt;&gt;"",IF(INDEX(techniques[detection rules for techique],MATCH(AC78,techniques[name],0))&gt;=1,INDEX(techniques[detection rules for techique],MATCH(AC78,techniques[name],0)),""),"")</f>
        <v/>
      </c>
    </row>
    <row r="79" ht="33.75" customHeight="1">
      <c r="A79" s="45" t="n"/>
      <c r="B79" s="54">
        <f t="array" ref="B79">IF(A79&lt;&gt;"",IF(INDEX(techniques[detection rules for techique],MATCH(A79,techniques[name],0))&gt;=1,INDEX(techniques[detection rules for techique],MATCH(A79,techniques[name],0)),""),"")</f>
        <v/>
      </c>
      <c r="C79" s="45" t="n"/>
      <c r="D79" s="54">
        <f t="array" ref="D79">IF(C79&lt;&gt;"",IF(INDEX(techniques[detection rules for techique],MATCH(C79,techniques[name],0))&gt;=1,INDEX(techniques[detection rules for techique],MATCH(C79,techniques[name],0)),""),"")</f>
        <v/>
      </c>
      <c r="E79" s="45" t="n"/>
      <c r="F79" s="54">
        <f t="array" ref="F79">IF(E79&lt;&gt;"",IF(INDEX(techniques[detection rules for techique],MATCH(E79,techniques[name],0))&gt;=1,INDEX(techniques[detection rules for techique],MATCH(E79,techniques[name],0)),""),"")</f>
        <v/>
      </c>
      <c r="G79" s="45" t="n"/>
      <c r="H79" s="54">
        <f t="array" ref="H79">IF(G79&lt;&gt;"",IF(INDEX(techniques[detection rules for techique],MATCH(G79,techniques[name],0))&gt;=1,INDEX(techniques[detection rules for techique],MATCH(G79,techniques[name],0)),""),"")</f>
        <v/>
      </c>
      <c r="I79" s="45" t="inlineStr">
        <is>
          <t>Image File Execution Options Injection (T1546.012)</t>
        </is>
      </c>
      <c r="J79" s="54">
        <f t="array" ref="J79">IF(I79&lt;&gt;"",IF(INDEX(techniques[detection rules for techique],MATCH(I79,techniques[name],0))&gt;=1,INDEX(techniques[detection rules for techique],MATCH(I79,techniques[name],0)),""),"")</f>
        <v/>
      </c>
      <c r="K79" s="45" t="inlineStr">
        <is>
          <t>Winlogon Helper DLL (T1547.004)</t>
        </is>
      </c>
      <c r="L79" s="54">
        <f t="array" ref="L79">IF(K79&lt;&gt;"",IF(INDEX(techniques[detection rules for techique],MATCH(K79,techniques[name],0))&gt;=1,INDEX(techniques[detection rules for techique],MATCH(K79,techniques[name],0)),""),"")</f>
        <v/>
      </c>
      <c r="M79" s="45" t="inlineStr">
        <is>
          <t>Exploitation for Stealth (T1211)</t>
        </is>
      </c>
      <c r="N79" s="54">
        <f t="array" ref="N79">IF(M79&lt;&gt;"",IF(INDEX(techniques[detection rules for techique],MATCH(M79,techniques[name],0))&gt;=1,INDEX(techniques[detection rules for techique],MATCH(M79,techniques[name],0)),""),"")</f>
        <v/>
      </c>
      <c r="O79" s="45" t="n"/>
      <c r="P79" s="54">
        <f t="array" ref="P79">IF(O79&lt;&gt;"",IF(INDEX(techniques[detection rules for techique],MATCH(O79,techniques[name],0))&gt;=1,INDEX(techniques[detection rules for techique],MATCH(O79,techniques[name],0)),""),"")</f>
        <v/>
      </c>
      <c r="Q79" s="45" t="n"/>
      <c r="R79" s="54">
        <f t="array" ref="R79">IF(Q79&lt;&gt;"",IF(INDEX(techniques[detection rules for techique],MATCH(Q79,techniques[name],0))&gt;=1,INDEX(techniques[detection rules for techique],MATCH(Q79,techniques[name],0)),""),"")</f>
        <v/>
      </c>
      <c r="S79" s="45" t="n"/>
      <c r="T79" s="54">
        <f t="array" ref="T79">IF(S79&lt;&gt;"",IF(INDEX(techniques[detection rules for techique],MATCH(S79,techniques[name],0))&gt;=1,INDEX(techniques[detection rules for techique],MATCH(S79,techniques[name],0)),""),"")</f>
        <v/>
      </c>
      <c r="U79" s="45" t="n"/>
      <c r="V79" s="54">
        <f t="array" ref="V79">IF(U79&lt;&gt;"",IF(INDEX(techniques[detection rules for techique],MATCH(U79,techniques[name],0))&gt;=1,INDEX(techniques[detection rules for techique],MATCH(U79,techniques[name],0)),""),"")</f>
        <v/>
      </c>
      <c r="W79" s="45" t="n"/>
      <c r="X79" s="54">
        <f t="array" ref="X79">IF(W79&lt;&gt;"",IF(INDEX(techniques[detection rules for techique],MATCH(W79,techniques[name],0))&gt;=1,INDEX(techniques[detection rules for techique],MATCH(W79,techniques[name],0)),""),"")</f>
        <v/>
      </c>
      <c r="Y79" s="45" t="n"/>
      <c r="Z79" s="54">
        <f t="array" ref="Z79">IF(Y79&lt;&gt;"",IF(INDEX(techniques[detection rules for techique],MATCH(Y79,techniques[name],0))&gt;=1,INDEX(techniques[detection rules for techique],MATCH(Y79,techniques[name],0)),""),"")</f>
        <v/>
      </c>
      <c r="AA79" s="45" t="n"/>
      <c r="AB79" s="54">
        <f t="array" ref="AB79">IF(AA79&lt;&gt;"",IF(INDEX(techniques[detection rules for techique],MATCH(AA79,techniques[name],0))&gt;=1,INDEX(techniques[detection rules for techique],MATCH(AA79,techniques[name],0)),""),"")</f>
        <v/>
      </c>
      <c r="AC79" s="45" t="n"/>
      <c r="AD79" s="54">
        <f t="array" ref="AD79">IF(AC79&lt;&gt;"",IF(INDEX(techniques[detection rules for techique],MATCH(AC79,techniques[name],0))&gt;=1,INDEX(techniques[detection rules for techique],MATCH(AC79,techniques[name],0)),""),"")</f>
        <v/>
      </c>
    </row>
    <row r="80" ht="33.75" customHeight="1">
      <c r="A80" s="45" t="n"/>
      <c r="B80" s="54">
        <f t="array" ref="B80">IF(A80&lt;&gt;"",IF(INDEX(techniques[detection rules for techique],MATCH(A80,techniques[name],0))&gt;=1,INDEX(techniques[detection rules for techique],MATCH(A80,techniques[name],0)),""),"")</f>
        <v/>
      </c>
      <c r="C80" s="45" t="n"/>
      <c r="D80" s="54">
        <f t="array" ref="D80">IF(C80&lt;&gt;"",IF(INDEX(techniques[detection rules for techique],MATCH(C80,techniques[name],0))&gt;=1,INDEX(techniques[detection rules for techique],MATCH(C80,techniques[name],0)),""),"")</f>
        <v/>
      </c>
      <c r="E80" s="45" t="n"/>
      <c r="F80" s="54">
        <f t="array" ref="F80">IF(E80&lt;&gt;"",IF(INDEX(techniques[detection rules for techique],MATCH(E80,techniques[name],0))&gt;=1,INDEX(techniques[detection rules for techique],MATCH(E80,techniques[name],0)),""),"")</f>
        <v/>
      </c>
      <c r="G80" s="45" t="n"/>
      <c r="H80" s="54">
        <f t="array" ref="H80">IF(G80&lt;&gt;"",IF(INDEX(techniques[detection rules for techique],MATCH(G80,techniques[name],0))&gt;=1,INDEX(techniques[detection rules for techique],MATCH(G80,techniques[name],0)),""),"")</f>
        <v/>
      </c>
      <c r="I80" s="45" t="inlineStr">
        <is>
          <t>PowerShell Profile (T1546.013)</t>
        </is>
      </c>
      <c r="J80" s="54">
        <f t="array" ref="J80">IF(I80&lt;&gt;"",IF(INDEX(techniques[detection rules for techique],MATCH(I80,techniques[name],0))&gt;=1,INDEX(techniques[detection rules for techique],MATCH(I80,techniques[name],0)),""),"")</f>
        <v/>
      </c>
      <c r="K80" s="45" t="inlineStr">
        <is>
          <t>Security Support Provider (T1547.005)</t>
        </is>
      </c>
      <c r="L80" s="54">
        <f t="array" ref="L80">IF(K80&lt;&gt;"",IF(INDEX(techniques[detection rules for techique],MATCH(K80,techniques[name],0))&gt;=1,INDEX(techniques[detection rules for techique],MATCH(K80,techniques[name],0)),""),"")</f>
        <v/>
      </c>
      <c r="M80" s="45" t="inlineStr">
        <is>
          <t>System Script Proxy Execution (T1216)</t>
        </is>
      </c>
      <c r="N80" s="54">
        <f t="array" ref="N80">IF(M80&lt;&gt;"",IF(INDEX(techniques[detection rules for techique],MATCH(M80,techniques[name],0))&gt;=1,INDEX(techniques[detection rules for techique],MATCH(M80,techniques[name],0)),""),"")</f>
        <v/>
      </c>
      <c r="O80" s="45" t="n"/>
      <c r="P80" s="54">
        <f t="array" ref="P80">IF(O80&lt;&gt;"",IF(INDEX(techniques[detection rules for techique],MATCH(O80,techniques[name],0))&gt;=1,INDEX(techniques[detection rules for techique],MATCH(O80,techniques[name],0)),""),"")</f>
        <v/>
      </c>
      <c r="Q80" s="45" t="n"/>
      <c r="R80" s="54">
        <f t="array" ref="R80">IF(Q80&lt;&gt;"",IF(INDEX(techniques[detection rules for techique],MATCH(Q80,techniques[name],0))&gt;=1,INDEX(techniques[detection rules for techique],MATCH(Q80,techniques[name],0)),""),"")</f>
        <v/>
      </c>
      <c r="S80" s="45" t="n"/>
      <c r="T80" s="54">
        <f t="array" ref="T80">IF(S80&lt;&gt;"",IF(INDEX(techniques[detection rules for techique],MATCH(S80,techniques[name],0))&gt;=1,INDEX(techniques[detection rules for techique],MATCH(S80,techniques[name],0)),""),"")</f>
        <v/>
      </c>
      <c r="U80" s="45" t="n"/>
      <c r="V80" s="54">
        <f t="array" ref="V80">IF(U80&lt;&gt;"",IF(INDEX(techniques[detection rules for techique],MATCH(U80,techniques[name],0))&gt;=1,INDEX(techniques[detection rules for techique],MATCH(U80,techniques[name],0)),""),"")</f>
        <v/>
      </c>
      <c r="W80" s="45" t="n"/>
      <c r="X80" s="54">
        <f t="array" ref="X80">IF(W80&lt;&gt;"",IF(INDEX(techniques[detection rules for techique],MATCH(W80,techniques[name],0))&gt;=1,INDEX(techniques[detection rules for techique],MATCH(W80,techniques[name],0)),""),"")</f>
        <v/>
      </c>
      <c r="Y80" s="45" t="n"/>
      <c r="Z80" s="54">
        <f t="array" ref="Z80">IF(Y80&lt;&gt;"",IF(INDEX(techniques[detection rules for techique],MATCH(Y80,techniques[name],0))&gt;=1,INDEX(techniques[detection rules for techique],MATCH(Y80,techniques[name],0)),""),"")</f>
        <v/>
      </c>
      <c r="AA80" s="45" t="n"/>
      <c r="AB80" s="54">
        <f t="array" ref="AB80">IF(AA80&lt;&gt;"",IF(INDEX(techniques[detection rules for techique],MATCH(AA80,techniques[name],0))&gt;=1,INDEX(techniques[detection rules for techique],MATCH(AA80,techniques[name],0)),""),"")</f>
        <v/>
      </c>
      <c r="AC80" s="45" t="n"/>
      <c r="AD80" s="54">
        <f t="array" ref="AD80">IF(AC80&lt;&gt;"",IF(INDEX(techniques[detection rules for techique],MATCH(AC80,techniques[name],0))&gt;=1,INDEX(techniques[detection rules for techique],MATCH(AC80,techniques[name],0)),""),"")</f>
        <v/>
      </c>
    </row>
    <row r="81" ht="22.5" customHeight="1">
      <c r="A81" s="45" t="n"/>
      <c r="B81" s="54">
        <f t="array" ref="B81">IF(A81&lt;&gt;"",IF(INDEX(techniques[detection rules for techique],MATCH(A81,techniques[name],0))&gt;=1,INDEX(techniques[detection rules for techique],MATCH(A81,techniques[name],0)),""),"")</f>
        <v/>
      </c>
      <c r="C81" s="45" t="n"/>
      <c r="D81" s="54">
        <f t="array" ref="D81">IF(C81&lt;&gt;"",IF(INDEX(techniques[detection rules for techique],MATCH(C81,techniques[name],0))&gt;=1,INDEX(techniques[detection rules for techique],MATCH(C81,techniques[name],0)),""),"")</f>
        <v/>
      </c>
      <c r="E81" s="45" t="n"/>
      <c r="F81" s="54">
        <f t="array" ref="F81">IF(E81&lt;&gt;"",IF(INDEX(techniques[detection rules for techique],MATCH(E81,techniques[name],0))&gt;=1,INDEX(techniques[detection rules for techique],MATCH(E81,techniques[name],0)),""),"")</f>
        <v/>
      </c>
      <c r="G81" s="45" t="n"/>
      <c r="H81" s="54">
        <f t="array" ref="H81">IF(G81&lt;&gt;"",IF(INDEX(techniques[detection rules for techique],MATCH(G81,techniques[name],0))&gt;=1,INDEX(techniques[detection rules for techique],MATCH(G81,techniques[name],0)),""),"")</f>
        <v/>
      </c>
      <c r="I81" s="45" t="inlineStr">
        <is>
          <t>Emond (T1546.014)</t>
        </is>
      </c>
      <c r="J81" s="54">
        <f t="array" ref="J81">IF(I81&lt;&gt;"",IF(INDEX(techniques[detection rules for techique],MATCH(I81,techniques[name],0))&gt;=1,INDEX(techniques[detection rules for techique],MATCH(I81,techniques[name],0)),""),"")</f>
        <v/>
      </c>
      <c r="K81" s="45" t="inlineStr">
        <is>
          <t>Kernel Modules and Extensions (T1547.006)</t>
        </is>
      </c>
      <c r="L81" s="54">
        <f t="array" ref="L81">IF(K81&lt;&gt;"",IF(INDEX(techniques[detection rules for techique],MATCH(K81,techniques[name],0))&gt;=1,INDEX(techniques[detection rules for techique],MATCH(K81,techniques[name],0)),""),"")</f>
        <v/>
      </c>
      <c r="M81" s="45" t="inlineStr">
        <is>
          <t>PubPrn (T1216.001)</t>
        </is>
      </c>
      <c r="N81" s="54">
        <f t="array" ref="N81">IF(M81&lt;&gt;"",IF(INDEX(techniques[detection rules for techique],MATCH(M81,techniques[name],0))&gt;=1,INDEX(techniques[detection rules for techique],MATCH(M81,techniques[name],0)),""),"")</f>
        <v/>
      </c>
      <c r="O81" s="45" t="n"/>
      <c r="P81" s="54">
        <f t="array" ref="P81">IF(O81&lt;&gt;"",IF(INDEX(techniques[detection rules for techique],MATCH(O81,techniques[name],0))&gt;=1,INDEX(techniques[detection rules for techique],MATCH(O81,techniques[name],0)),""),"")</f>
        <v/>
      </c>
      <c r="Q81" s="45" t="n"/>
      <c r="R81" s="54">
        <f t="array" ref="R81">IF(Q81&lt;&gt;"",IF(INDEX(techniques[detection rules for techique],MATCH(Q81,techniques[name],0))&gt;=1,INDEX(techniques[detection rules for techique],MATCH(Q81,techniques[name],0)),""),"")</f>
        <v/>
      </c>
      <c r="S81" s="45" t="n"/>
      <c r="T81" s="54">
        <f t="array" ref="T81">IF(S81&lt;&gt;"",IF(INDEX(techniques[detection rules for techique],MATCH(S81,techniques[name],0))&gt;=1,INDEX(techniques[detection rules for techique],MATCH(S81,techniques[name],0)),""),"")</f>
        <v/>
      </c>
      <c r="U81" s="45" t="n"/>
      <c r="V81" s="54">
        <f t="array" ref="V81">IF(U81&lt;&gt;"",IF(INDEX(techniques[detection rules for techique],MATCH(U81,techniques[name],0))&gt;=1,INDEX(techniques[detection rules for techique],MATCH(U81,techniques[name],0)),""),"")</f>
        <v/>
      </c>
      <c r="W81" s="45" t="n"/>
      <c r="X81" s="54">
        <f t="array" ref="X81">IF(W81&lt;&gt;"",IF(INDEX(techniques[detection rules for techique],MATCH(W81,techniques[name],0))&gt;=1,INDEX(techniques[detection rules for techique],MATCH(W81,techniques[name],0)),""),"")</f>
        <v/>
      </c>
      <c r="Y81" s="45" t="n"/>
      <c r="Z81" s="54">
        <f t="array" ref="Z81">IF(Y81&lt;&gt;"",IF(INDEX(techniques[detection rules for techique],MATCH(Y81,techniques[name],0))&gt;=1,INDEX(techniques[detection rules for techique],MATCH(Y81,techniques[name],0)),""),"")</f>
        <v/>
      </c>
      <c r="AA81" s="45" t="n"/>
      <c r="AB81" s="54">
        <f t="array" ref="AB81">IF(AA81&lt;&gt;"",IF(INDEX(techniques[detection rules for techique],MATCH(AA81,techniques[name],0))&gt;=1,INDEX(techniques[detection rules for techique],MATCH(AA81,techniques[name],0)),""),"")</f>
        <v/>
      </c>
      <c r="AC81" s="45" t="n"/>
      <c r="AD81" s="54">
        <f t="array" ref="AD81">IF(AC81&lt;&gt;"",IF(INDEX(techniques[detection rules for techique],MATCH(AC81,techniques[name],0))&gt;=1,INDEX(techniques[detection rules for techique],MATCH(AC81,techniques[name],0)),""),"")</f>
        <v/>
      </c>
    </row>
    <row r="82" ht="22.5" customHeight="1">
      <c r="A82" s="45" t="n"/>
      <c r="B82" s="54">
        <f t="array" ref="B82">IF(A82&lt;&gt;"",IF(INDEX(techniques[detection rules for techique],MATCH(A82,techniques[name],0))&gt;=1,INDEX(techniques[detection rules for techique],MATCH(A82,techniques[name],0)),""),"")</f>
        <v/>
      </c>
      <c r="C82" s="45" t="n"/>
      <c r="D82" s="54">
        <f t="array" ref="D82">IF(C82&lt;&gt;"",IF(INDEX(techniques[detection rules for techique],MATCH(C82,techniques[name],0))&gt;=1,INDEX(techniques[detection rules for techique],MATCH(C82,techniques[name],0)),""),"")</f>
        <v/>
      </c>
      <c r="E82" s="45" t="n"/>
      <c r="F82" s="54">
        <f t="array" ref="F82">IF(E82&lt;&gt;"",IF(INDEX(techniques[detection rules for techique],MATCH(E82,techniques[name],0))&gt;=1,INDEX(techniques[detection rules for techique],MATCH(E82,techniques[name],0)),""),"")</f>
        <v/>
      </c>
      <c r="G82" s="45" t="n"/>
      <c r="H82" s="54">
        <f t="array" ref="H82">IF(G82&lt;&gt;"",IF(INDEX(techniques[detection rules for techique],MATCH(G82,techniques[name],0))&gt;=1,INDEX(techniques[detection rules for techique],MATCH(G82,techniques[name],0)),""),"")</f>
        <v/>
      </c>
      <c r="I82" s="45" t="inlineStr">
        <is>
          <t>Component Object Model Hijacking (T1546.015)</t>
        </is>
      </c>
      <c r="J82" s="54">
        <f t="array" ref="J82">IF(I82&lt;&gt;"",IF(INDEX(techniques[detection rules for techique],MATCH(I82,techniques[name],0))&gt;=1,INDEX(techniques[detection rules for techique],MATCH(I82,techniques[name],0)),""),"")</f>
        <v/>
      </c>
      <c r="K82" s="45" t="inlineStr">
        <is>
          <t>Re-opened Applications (T1547.007)</t>
        </is>
      </c>
      <c r="L82" s="54">
        <f t="array" ref="L82">IF(K82&lt;&gt;"",IF(INDEX(techniques[detection rules for techique],MATCH(K82,techniques[name],0))&gt;=1,INDEX(techniques[detection rules for techique],MATCH(K82,techniques[name],0)),""),"")</f>
        <v/>
      </c>
      <c r="M82" s="45" t="inlineStr">
        <is>
          <t>SyncAppvPublishingServer (T1216.002)</t>
        </is>
      </c>
      <c r="N82" s="54">
        <f t="array" ref="N82">IF(M82&lt;&gt;"",IF(INDEX(techniques[detection rules for techique],MATCH(M82,techniques[name],0))&gt;=1,INDEX(techniques[detection rules for techique],MATCH(M82,techniques[name],0)),""),"")</f>
        <v/>
      </c>
      <c r="O82" s="45" t="n"/>
      <c r="P82" s="54">
        <f t="array" ref="P82">IF(O82&lt;&gt;"",IF(INDEX(techniques[detection rules for techique],MATCH(O82,techniques[name],0))&gt;=1,INDEX(techniques[detection rules for techique],MATCH(O82,techniques[name],0)),""),"")</f>
        <v/>
      </c>
      <c r="Q82" s="45" t="n"/>
      <c r="R82" s="54">
        <f t="array" ref="R82">IF(Q82&lt;&gt;"",IF(INDEX(techniques[detection rules for techique],MATCH(Q82,techniques[name],0))&gt;=1,INDEX(techniques[detection rules for techique],MATCH(Q82,techniques[name],0)),""),"")</f>
        <v/>
      </c>
      <c r="S82" s="45" t="n"/>
      <c r="T82" s="54">
        <f t="array" ref="T82">IF(S82&lt;&gt;"",IF(INDEX(techniques[detection rules for techique],MATCH(S82,techniques[name],0))&gt;=1,INDEX(techniques[detection rules for techique],MATCH(S82,techniques[name],0)),""),"")</f>
        <v/>
      </c>
      <c r="U82" s="45" t="n"/>
      <c r="V82" s="54">
        <f t="array" ref="V82">IF(U82&lt;&gt;"",IF(INDEX(techniques[detection rules for techique],MATCH(U82,techniques[name],0))&gt;=1,INDEX(techniques[detection rules for techique],MATCH(U82,techniques[name],0)),""),"")</f>
        <v/>
      </c>
      <c r="W82" s="45" t="n"/>
      <c r="X82" s="54">
        <f t="array" ref="X82">IF(W82&lt;&gt;"",IF(INDEX(techniques[detection rules for techique],MATCH(W82,techniques[name],0))&gt;=1,INDEX(techniques[detection rules for techique],MATCH(W82,techniques[name],0)),""),"")</f>
        <v/>
      </c>
      <c r="Y82" s="45" t="n"/>
      <c r="Z82" s="54">
        <f t="array" ref="Z82">IF(Y82&lt;&gt;"",IF(INDEX(techniques[detection rules for techique],MATCH(Y82,techniques[name],0))&gt;=1,INDEX(techniques[detection rules for techique],MATCH(Y82,techniques[name],0)),""),"")</f>
        <v/>
      </c>
      <c r="AA82" s="45" t="n"/>
      <c r="AB82" s="54">
        <f t="array" ref="AB82">IF(AA82&lt;&gt;"",IF(INDEX(techniques[detection rules for techique],MATCH(AA82,techniques[name],0))&gt;=1,INDEX(techniques[detection rules for techique],MATCH(AA82,techniques[name],0)),""),"")</f>
        <v/>
      </c>
      <c r="AC82" s="45" t="n"/>
      <c r="AD82" s="54">
        <f t="array" ref="AD82">IF(AC82&lt;&gt;"",IF(INDEX(techniques[detection rules for techique],MATCH(AC82,techniques[name],0))&gt;=1,INDEX(techniques[detection rules for techique],MATCH(AC82,techniques[name],0)),""),"")</f>
        <v/>
      </c>
    </row>
    <row r="83" ht="22.5" customHeight="1">
      <c r="A83" s="45" t="n"/>
      <c r="B83" s="54">
        <f t="array" ref="B83">IF(A83&lt;&gt;"",IF(INDEX(techniques[detection rules for techique],MATCH(A83,techniques[name],0))&gt;=1,INDEX(techniques[detection rules for techique],MATCH(A83,techniques[name],0)),""),"")</f>
        <v/>
      </c>
      <c r="C83" s="45" t="n"/>
      <c r="D83" s="54">
        <f t="array" ref="D83">IF(C83&lt;&gt;"",IF(INDEX(techniques[detection rules for techique],MATCH(C83,techniques[name],0))&gt;=1,INDEX(techniques[detection rules for techique],MATCH(C83,techniques[name],0)),""),"")</f>
        <v/>
      </c>
      <c r="E83" s="45" t="n"/>
      <c r="F83" s="54">
        <f t="array" ref="F83">IF(E83&lt;&gt;"",IF(INDEX(techniques[detection rules for techique],MATCH(E83,techniques[name],0))&gt;=1,INDEX(techniques[detection rules for techique],MATCH(E83,techniques[name],0)),""),"")</f>
        <v/>
      </c>
      <c r="G83" s="45" t="n"/>
      <c r="H83" s="54">
        <f t="array" ref="H83">IF(G83&lt;&gt;"",IF(INDEX(techniques[detection rules for techique],MATCH(G83,techniques[name],0))&gt;=1,INDEX(techniques[detection rules for techique],MATCH(G83,techniques[name],0)),""),"")</f>
        <v/>
      </c>
      <c r="I83" s="45" t="inlineStr">
        <is>
          <t>Installer Packages (T1546.016)</t>
        </is>
      </c>
      <c r="J83" s="54">
        <f t="array" ref="J83">IF(I83&lt;&gt;"",IF(INDEX(techniques[detection rules for techique],MATCH(I83,techniques[name],0))&gt;=1,INDEX(techniques[detection rules for techique],MATCH(I83,techniques[name],0)),""),"")</f>
        <v/>
      </c>
      <c r="K83" s="45" t="inlineStr">
        <is>
          <t>LSASS Driver (T1547.008)</t>
        </is>
      </c>
      <c r="L83" s="54">
        <f t="array" ref="L83">IF(K83&lt;&gt;"",IF(INDEX(techniques[detection rules for techique],MATCH(K83,techniques[name],0))&gt;=1,INDEX(techniques[detection rules for techique],MATCH(K83,techniques[name],0)),""),"")</f>
        <v/>
      </c>
      <c r="M83" s="45" t="inlineStr">
        <is>
          <t>System Binary Proxy Execution (T1218)</t>
        </is>
      </c>
      <c r="N83" s="54">
        <f t="array" ref="N83">IF(M83&lt;&gt;"",IF(INDEX(techniques[detection rules for techique],MATCH(M83,techniques[name],0))&gt;=1,INDEX(techniques[detection rules for techique],MATCH(M83,techniques[name],0)),""),"")</f>
        <v/>
      </c>
      <c r="O83" s="45" t="n"/>
      <c r="P83" s="54">
        <f t="array" ref="P83">IF(O83&lt;&gt;"",IF(INDEX(techniques[detection rules for techique],MATCH(O83,techniques[name],0))&gt;=1,INDEX(techniques[detection rules for techique],MATCH(O83,techniques[name],0)),""),"")</f>
        <v/>
      </c>
      <c r="Q83" s="45" t="n"/>
      <c r="R83" s="54">
        <f t="array" ref="R83">IF(Q83&lt;&gt;"",IF(INDEX(techniques[detection rules for techique],MATCH(Q83,techniques[name],0))&gt;=1,INDEX(techniques[detection rules for techique],MATCH(Q83,techniques[name],0)),""),"")</f>
        <v/>
      </c>
      <c r="S83" s="45" t="n"/>
      <c r="T83" s="54">
        <f t="array" ref="T83">IF(S83&lt;&gt;"",IF(INDEX(techniques[detection rules for techique],MATCH(S83,techniques[name],0))&gt;=1,INDEX(techniques[detection rules for techique],MATCH(S83,techniques[name],0)),""),"")</f>
        <v/>
      </c>
      <c r="U83" s="45" t="n"/>
      <c r="V83" s="54">
        <f t="array" ref="V83">IF(U83&lt;&gt;"",IF(INDEX(techniques[detection rules for techique],MATCH(U83,techniques[name],0))&gt;=1,INDEX(techniques[detection rules for techique],MATCH(U83,techniques[name],0)),""),"")</f>
        <v/>
      </c>
      <c r="W83" s="45" t="n"/>
      <c r="X83" s="54">
        <f t="array" ref="X83">IF(W83&lt;&gt;"",IF(INDEX(techniques[detection rules for techique],MATCH(W83,techniques[name],0))&gt;=1,INDEX(techniques[detection rules for techique],MATCH(W83,techniques[name],0)),""),"")</f>
        <v/>
      </c>
      <c r="Y83" s="45" t="n"/>
      <c r="Z83" s="54">
        <f t="array" ref="Z83">IF(Y83&lt;&gt;"",IF(INDEX(techniques[detection rules for techique],MATCH(Y83,techniques[name],0))&gt;=1,INDEX(techniques[detection rules for techique],MATCH(Y83,techniques[name],0)),""),"")</f>
        <v/>
      </c>
      <c r="AA83" s="45" t="n"/>
      <c r="AB83" s="54">
        <f t="array" ref="AB83">IF(AA83&lt;&gt;"",IF(INDEX(techniques[detection rules for techique],MATCH(AA83,techniques[name],0))&gt;=1,INDEX(techniques[detection rules for techique],MATCH(AA83,techniques[name],0)),""),"")</f>
        <v/>
      </c>
      <c r="AC83" s="45" t="n"/>
      <c r="AD83" s="54">
        <f t="array" ref="AD83">IF(AC83&lt;&gt;"",IF(INDEX(techniques[detection rules for techique],MATCH(AC83,techniques[name],0))&gt;=1,INDEX(techniques[detection rules for techique],MATCH(AC83,techniques[name],0)),""),"")</f>
        <v/>
      </c>
    </row>
    <row r="84" ht="22.5" customHeight="1">
      <c r="A84" s="45" t="n"/>
      <c r="B84" s="54">
        <f t="array" ref="B84">IF(A84&lt;&gt;"",IF(INDEX(techniques[detection rules for techique],MATCH(A84,techniques[name],0))&gt;=1,INDEX(techniques[detection rules for techique],MATCH(A84,techniques[name],0)),""),"")</f>
        <v/>
      </c>
      <c r="C84" s="45" t="n"/>
      <c r="D84" s="54">
        <f t="array" ref="D84">IF(C84&lt;&gt;"",IF(INDEX(techniques[detection rules for techique],MATCH(C84,techniques[name],0))&gt;=1,INDEX(techniques[detection rules for techique],MATCH(C84,techniques[name],0)),""),"")</f>
        <v/>
      </c>
      <c r="E84" s="45" t="n"/>
      <c r="F84" s="54">
        <f t="array" ref="F84">IF(E84&lt;&gt;"",IF(INDEX(techniques[detection rules for techique],MATCH(E84,techniques[name],0))&gt;=1,INDEX(techniques[detection rules for techique],MATCH(E84,techniques[name],0)),""),"")</f>
        <v/>
      </c>
      <c r="G84" s="45" t="n"/>
      <c r="H84" s="54">
        <f t="array" ref="H84">IF(G84&lt;&gt;"",IF(INDEX(techniques[detection rules for techique],MATCH(G84,techniques[name],0))&gt;=1,INDEX(techniques[detection rules for techique],MATCH(G84,techniques[name],0)),""),"")</f>
        <v/>
      </c>
      <c r="I84" s="45" t="inlineStr">
        <is>
          <t>Udev Rules (T1546.017)</t>
        </is>
      </c>
      <c r="J84" s="54">
        <f t="array" ref="J84">IF(I84&lt;&gt;"",IF(INDEX(techniques[detection rules for techique],MATCH(I84,techniques[name],0))&gt;=1,INDEX(techniques[detection rules for techique],MATCH(I84,techniques[name],0)),""),"")</f>
        <v/>
      </c>
      <c r="K84" s="45" t="inlineStr">
        <is>
          <t>Shortcut Modification (T1547.009)</t>
        </is>
      </c>
      <c r="L84" s="54">
        <f t="array" ref="L84">IF(K84&lt;&gt;"",IF(INDEX(techniques[detection rules for techique],MATCH(K84,techniques[name],0))&gt;=1,INDEX(techniques[detection rules for techique],MATCH(K84,techniques[name],0)),""),"")</f>
        <v/>
      </c>
      <c r="M84" s="45" t="inlineStr">
        <is>
          <t>Compiled HTML File (T1218.001)</t>
        </is>
      </c>
      <c r="N84" s="54">
        <f t="array" ref="N84">IF(M84&lt;&gt;"",IF(INDEX(techniques[detection rules for techique],MATCH(M84,techniques[name],0))&gt;=1,INDEX(techniques[detection rules for techique],MATCH(M84,techniques[name],0)),""),"")</f>
        <v/>
      </c>
      <c r="O84" s="45" t="n"/>
      <c r="P84" s="54">
        <f t="array" ref="P84">IF(O84&lt;&gt;"",IF(INDEX(techniques[detection rules for techique],MATCH(O84,techniques[name],0))&gt;=1,INDEX(techniques[detection rules for techique],MATCH(O84,techniques[name],0)),""),"")</f>
        <v/>
      </c>
      <c r="Q84" s="45" t="n"/>
      <c r="R84" s="54">
        <f t="array" ref="R84">IF(Q84&lt;&gt;"",IF(INDEX(techniques[detection rules for techique],MATCH(Q84,techniques[name],0))&gt;=1,INDEX(techniques[detection rules for techique],MATCH(Q84,techniques[name],0)),""),"")</f>
        <v/>
      </c>
      <c r="S84" s="45" t="n"/>
      <c r="T84" s="54">
        <f t="array" ref="T84">IF(S84&lt;&gt;"",IF(INDEX(techniques[detection rules for techique],MATCH(S84,techniques[name],0))&gt;=1,INDEX(techniques[detection rules for techique],MATCH(S84,techniques[name],0)),""),"")</f>
        <v/>
      </c>
      <c r="U84" s="45" t="n"/>
      <c r="V84" s="54">
        <f t="array" ref="V84">IF(U84&lt;&gt;"",IF(INDEX(techniques[detection rules for techique],MATCH(U84,techniques[name],0))&gt;=1,INDEX(techniques[detection rules for techique],MATCH(U84,techniques[name],0)),""),"")</f>
        <v/>
      </c>
      <c r="W84" s="45" t="n"/>
      <c r="X84" s="54">
        <f t="array" ref="X84">IF(W84&lt;&gt;"",IF(INDEX(techniques[detection rules for techique],MATCH(W84,techniques[name],0))&gt;=1,INDEX(techniques[detection rules for techique],MATCH(W84,techniques[name],0)),""),"")</f>
        <v/>
      </c>
      <c r="Y84" s="45" t="n"/>
      <c r="Z84" s="54">
        <f t="array" ref="Z84">IF(Y84&lt;&gt;"",IF(INDEX(techniques[detection rules for techique],MATCH(Y84,techniques[name],0))&gt;=1,INDEX(techniques[detection rules for techique],MATCH(Y84,techniques[name],0)),""),"")</f>
        <v/>
      </c>
      <c r="AA84" s="45" t="n"/>
      <c r="AB84" s="54">
        <f t="array" ref="AB84">IF(AA84&lt;&gt;"",IF(INDEX(techniques[detection rules for techique],MATCH(AA84,techniques[name],0))&gt;=1,INDEX(techniques[detection rules for techique],MATCH(AA84,techniques[name],0)),""),"")</f>
        <v/>
      </c>
      <c r="AC84" s="45" t="n"/>
      <c r="AD84" s="54">
        <f t="array" ref="AD84">IF(AC84&lt;&gt;"",IF(INDEX(techniques[detection rules for techique],MATCH(AC84,techniques[name],0))&gt;=1,INDEX(techniques[detection rules for techique],MATCH(AC84,techniques[name],0)),""),"")</f>
        <v/>
      </c>
    </row>
    <row r="85" ht="22.5" customHeight="1">
      <c r="A85" s="45" t="n"/>
      <c r="B85" s="54">
        <f t="array" ref="B85">IF(A85&lt;&gt;"",IF(INDEX(techniques[detection rules for techique],MATCH(A85,techniques[name],0))&gt;=1,INDEX(techniques[detection rules for techique],MATCH(A85,techniques[name],0)),""),"")</f>
        <v/>
      </c>
      <c r="C85" s="45" t="n"/>
      <c r="D85" s="54">
        <f t="array" ref="D85">IF(C85&lt;&gt;"",IF(INDEX(techniques[detection rules for techique],MATCH(C85,techniques[name],0))&gt;=1,INDEX(techniques[detection rules for techique],MATCH(C85,techniques[name],0)),""),"")</f>
        <v/>
      </c>
      <c r="E85" s="45" t="n"/>
      <c r="F85" s="54">
        <f t="array" ref="F85">IF(E85&lt;&gt;"",IF(INDEX(techniques[detection rules for techique],MATCH(E85,techniques[name],0))&gt;=1,INDEX(techniques[detection rules for techique],MATCH(E85,techniques[name],0)),""),"")</f>
        <v/>
      </c>
      <c r="G85" s="45" t="n"/>
      <c r="H85" s="54">
        <f t="array" ref="H85">IF(G85&lt;&gt;"",IF(INDEX(techniques[detection rules for techique],MATCH(G85,techniques[name],0))&gt;=1,INDEX(techniques[detection rules for techique],MATCH(G85,techniques[name],0)),""),"")</f>
        <v/>
      </c>
      <c r="I85" s="45" t="inlineStr">
        <is>
          <t>Python Startup Hooks (T1546.018)</t>
        </is>
      </c>
      <c r="J85" s="54">
        <f t="array" ref="J85">IF(I85&lt;&gt;"",IF(INDEX(techniques[detection rules for techique],MATCH(I85,techniques[name],0))&gt;=1,INDEX(techniques[detection rules for techique],MATCH(I85,techniques[name],0)),""),"")</f>
        <v/>
      </c>
      <c r="K85" s="45" t="inlineStr">
        <is>
          <t>Port Monitors (T1547.010)</t>
        </is>
      </c>
      <c r="L85" s="54">
        <f t="array" ref="L85">IF(K85&lt;&gt;"",IF(INDEX(techniques[detection rules for techique],MATCH(K85,techniques[name],0))&gt;=1,INDEX(techniques[detection rules for techique],MATCH(K85,techniques[name],0)),""),"")</f>
        <v/>
      </c>
      <c r="M85" s="45" t="inlineStr">
        <is>
          <t>Control Panel (T1218.002)</t>
        </is>
      </c>
      <c r="N85" s="54">
        <f t="array" ref="N85">IF(M85&lt;&gt;"",IF(INDEX(techniques[detection rules for techique],MATCH(M85,techniques[name],0))&gt;=1,INDEX(techniques[detection rules for techique],MATCH(M85,techniques[name],0)),""),"")</f>
        <v/>
      </c>
      <c r="O85" s="45" t="n"/>
      <c r="P85" s="54">
        <f t="array" ref="P85">IF(O85&lt;&gt;"",IF(INDEX(techniques[detection rules for techique],MATCH(O85,techniques[name],0))&gt;=1,INDEX(techniques[detection rules for techique],MATCH(O85,techniques[name],0)),""),"")</f>
        <v/>
      </c>
      <c r="Q85" s="45" t="n"/>
      <c r="R85" s="54">
        <f t="array" ref="R85">IF(Q85&lt;&gt;"",IF(INDEX(techniques[detection rules for techique],MATCH(Q85,techniques[name],0))&gt;=1,INDEX(techniques[detection rules for techique],MATCH(Q85,techniques[name],0)),""),"")</f>
        <v/>
      </c>
      <c r="S85" s="45" t="n"/>
      <c r="T85" s="54">
        <f t="array" ref="T85">IF(S85&lt;&gt;"",IF(INDEX(techniques[detection rules for techique],MATCH(S85,techniques[name],0))&gt;=1,INDEX(techniques[detection rules for techique],MATCH(S85,techniques[name],0)),""),"")</f>
        <v/>
      </c>
      <c r="U85" s="45" t="n"/>
      <c r="V85" s="54">
        <f t="array" ref="V85">IF(U85&lt;&gt;"",IF(INDEX(techniques[detection rules for techique],MATCH(U85,techniques[name],0))&gt;=1,INDEX(techniques[detection rules for techique],MATCH(U85,techniques[name],0)),""),"")</f>
        <v/>
      </c>
      <c r="W85" s="45" t="n"/>
      <c r="X85" s="54">
        <f t="array" ref="X85">IF(W85&lt;&gt;"",IF(INDEX(techniques[detection rules for techique],MATCH(W85,techniques[name],0))&gt;=1,INDEX(techniques[detection rules for techique],MATCH(W85,techniques[name],0)),""),"")</f>
        <v/>
      </c>
      <c r="Y85" s="45" t="n"/>
      <c r="Z85" s="54">
        <f t="array" ref="Z85">IF(Y85&lt;&gt;"",IF(INDEX(techniques[detection rules for techique],MATCH(Y85,techniques[name],0))&gt;=1,INDEX(techniques[detection rules for techique],MATCH(Y85,techniques[name],0)),""),"")</f>
        <v/>
      </c>
      <c r="AA85" s="45" t="n"/>
      <c r="AB85" s="54">
        <f t="array" ref="AB85">IF(AA85&lt;&gt;"",IF(INDEX(techniques[detection rules for techique],MATCH(AA85,techniques[name],0))&gt;=1,INDEX(techniques[detection rules for techique],MATCH(AA85,techniques[name],0)),""),"")</f>
        <v/>
      </c>
      <c r="AC85" s="45" t="n"/>
      <c r="AD85" s="54">
        <f t="array" ref="AD85">IF(AC85&lt;&gt;"",IF(INDEX(techniques[detection rules for techique],MATCH(AC85,techniques[name],0))&gt;=1,INDEX(techniques[detection rules for techique],MATCH(AC85,techniques[name],0)),""),"")</f>
        <v/>
      </c>
    </row>
    <row r="86" ht="22.5" customHeight="1">
      <c r="A86" s="45" t="n"/>
      <c r="B86" s="54">
        <f t="array" ref="B86">IF(A86&lt;&gt;"",IF(INDEX(techniques[detection rules for techique],MATCH(A86,techniques[name],0))&gt;=1,INDEX(techniques[detection rules for techique],MATCH(A86,techniques[name],0)),""),"")</f>
        <v/>
      </c>
      <c r="C86" s="45" t="n"/>
      <c r="D86" s="54">
        <f t="array" ref="D86">IF(C86&lt;&gt;"",IF(INDEX(techniques[detection rules for techique],MATCH(C86,techniques[name],0))&gt;=1,INDEX(techniques[detection rules for techique],MATCH(C86,techniques[name],0)),""),"")</f>
        <v/>
      </c>
      <c r="E86" s="45" t="n"/>
      <c r="F86" s="54">
        <f t="array" ref="F86">IF(E86&lt;&gt;"",IF(INDEX(techniques[detection rules for techique],MATCH(E86,techniques[name],0))&gt;=1,INDEX(techniques[detection rules for techique],MATCH(E86,techniques[name],0)),""),"")</f>
        <v/>
      </c>
      <c r="G86" s="45" t="n"/>
      <c r="H86" s="54">
        <f t="array" ref="H86">IF(G86&lt;&gt;"",IF(INDEX(techniques[detection rules for techique],MATCH(G86,techniques[name],0))&gt;=1,INDEX(techniques[detection rules for techique],MATCH(G86,techniques[name],0)),""),"")</f>
        <v/>
      </c>
      <c r="I86" s="45" t="inlineStr">
        <is>
          <t>Boot or Logon Autostart Execution (T1547)</t>
        </is>
      </c>
      <c r="J86" s="54">
        <f t="array" ref="J86">IF(I86&lt;&gt;"",IF(INDEX(techniques[detection rules for techique],MATCH(I86,techniques[name],0))&gt;=1,INDEX(techniques[detection rules for techique],MATCH(I86,techniques[name],0)),""),"")</f>
        <v/>
      </c>
      <c r="K86" s="45" t="inlineStr">
        <is>
          <t>Print Processors (T1547.012)</t>
        </is>
      </c>
      <c r="L86" s="54">
        <f t="array" ref="L86">IF(K86&lt;&gt;"",IF(INDEX(techniques[detection rules for techique],MATCH(K86,techniques[name],0))&gt;=1,INDEX(techniques[detection rules for techique],MATCH(K86,techniques[name],0)),""),"")</f>
        <v/>
      </c>
      <c r="M86" s="45" t="inlineStr">
        <is>
          <t>CMSTP (T1218.003)</t>
        </is>
      </c>
      <c r="N86" s="54">
        <f t="array" ref="N86">IF(M86&lt;&gt;"",IF(INDEX(techniques[detection rules for techique],MATCH(M86,techniques[name],0))&gt;=1,INDEX(techniques[detection rules for techique],MATCH(M86,techniques[name],0)),""),"")</f>
        <v/>
      </c>
      <c r="O86" s="45" t="n"/>
      <c r="P86" s="54">
        <f t="array" ref="P86">IF(O86&lt;&gt;"",IF(INDEX(techniques[detection rules for techique],MATCH(O86,techniques[name],0))&gt;=1,INDEX(techniques[detection rules for techique],MATCH(O86,techniques[name],0)),""),"")</f>
        <v/>
      </c>
      <c r="Q86" s="45" t="n"/>
      <c r="R86" s="54">
        <f t="array" ref="R86">IF(Q86&lt;&gt;"",IF(INDEX(techniques[detection rules for techique],MATCH(Q86,techniques[name],0))&gt;=1,INDEX(techniques[detection rules for techique],MATCH(Q86,techniques[name],0)),""),"")</f>
        <v/>
      </c>
      <c r="S86" s="45" t="n"/>
      <c r="T86" s="54">
        <f t="array" ref="T86">IF(S86&lt;&gt;"",IF(INDEX(techniques[detection rules for techique],MATCH(S86,techniques[name],0))&gt;=1,INDEX(techniques[detection rules for techique],MATCH(S86,techniques[name],0)),""),"")</f>
        <v/>
      </c>
      <c r="U86" s="45" t="n"/>
      <c r="V86" s="54">
        <f t="array" ref="V86">IF(U86&lt;&gt;"",IF(INDEX(techniques[detection rules for techique],MATCH(U86,techniques[name],0))&gt;=1,INDEX(techniques[detection rules for techique],MATCH(U86,techniques[name],0)),""),"")</f>
        <v/>
      </c>
      <c r="W86" s="45" t="n"/>
      <c r="X86" s="54">
        <f t="array" ref="X86">IF(W86&lt;&gt;"",IF(INDEX(techniques[detection rules for techique],MATCH(W86,techniques[name],0))&gt;=1,INDEX(techniques[detection rules for techique],MATCH(W86,techniques[name],0)),""),"")</f>
        <v/>
      </c>
      <c r="Y86" s="45" t="n"/>
      <c r="Z86" s="54">
        <f t="array" ref="Z86">IF(Y86&lt;&gt;"",IF(INDEX(techniques[detection rules for techique],MATCH(Y86,techniques[name],0))&gt;=1,INDEX(techniques[detection rules for techique],MATCH(Y86,techniques[name],0)),""),"")</f>
        <v/>
      </c>
      <c r="AA86" s="45" t="n"/>
      <c r="AB86" s="54">
        <f t="array" ref="AB86">IF(AA86&lt;&gt;"",IF(INDEX(techniques[detection rules for techique],MATCH(AA86,techniques[name],0))&gt;=1,INDEX(techniques[detection rules for techique],MATCH(AA86,techniques[name],0)),""),"")</f>
        <v/>
      </c>
      <c r="AC86" s="45" t="n"/>
      <c r="AD86" s="54">
        <f t="array" ref="AD86">IF(AC86&lt;&gt;"",IF(INDEX(techniques[detection rules for techique],MATCH(AC86,techniques[name],0))&gt;=1,INDEX(techniques[detection rules for techique],MATCH(AC86,techniques[name],0)),""),"")</f>
        <v/>
      </c>
    </row>
    <row r="87" ht="22.5" customHeight="1">
      <c r="A87" s="45" t="n"/>
      <c r="B87" s="54">
        <f t="array" ref="B87">IF(A87&lt;&gt;"",IF(INDEX(techniques[detection rules for techique],MATCH(A87,techniques[name],0))&gt;=1,INDEX(techniques[detection rules for techique],MATCH(A87,techniques[name],0)),""),"")</f>
        <v/>
      </c>
      <c r="C87" s="45" t="n"/>
      <c r="D87" s="54">
        <f t="array" ref="D87">IF(C87&lt;&gt;"",IF(INDEX(techniques[detection rules for techique],MATCH(C87,techniques[name],0))&gt;=1,INDEX(techniques[detection rules for techique],MATCH(C87,techniques[name],0)),""),"")</f>
        <v/>
      </c>
      <c r="E87" s="45" t="n"/>
      <c r="F87" s="54">
        <f t="array" ref="F87">IF(E87&lt;&gt;"",IF(INDEX(techniques[detection rules for techique],MATCH(E87,techniques[name],0))&gt;=1,INDEX(techniques[detection rules for techique],MATCH(E87,techniques[name],0)),""),"")</f>
        <v/>
      </c>
      <c r="G87" s="45" t="n"/>
      <c r="H87" s="54">
        <f t="array" ref="H87">IF(G87&lt;&gt;"",IF(INDEX(techniques[detection rules for techique],MATCH(G87,techniques[name],0))&gt;=1,INDEX(techniques[detection rules for techique],MATCH(G87,techniques[name],0)),""),"")</f>
        <v/>
      </c>
      <c r="I87" s="45" t="inlineStr">
        <is>
          <t>Registry Run Keys / Startup Folder (T1547.001)</t>
        </is>
      </c>
      <c r="J87" s="54">
        <f t="array" ref="J87">IF(I87&lt;&gt;"",IF(INDEX(techniques[detection rules for techique],MATCH(I87,techniques[name],0))&gt;=1,INDEX(techniques[detection rules for techique],MATCH(I87,techniques[name],0)),""),"")</f>
        <v/>
      </c>
      <c r="K87" s="45" t="inlineStr">
        <is>
          <t>XDG Autostart Entries (T1547.013)</t>
        </is>
      </c>
      <c r="L87" s="54">
        <f t="array" ref="L87">IF(K87&lt;&gt;"",IF(INDEX(techniques[detection rules for techique],MATCH(K87,techniques[name],0))&gt;=1,INDEX(techniques[detection rules for techique],MATCH(K87,techniques[name],0)),""),"")</f>
        <v/>
      </c>
      <c r="M87" s="45" t="inlineStr">
        <is>
          <t>InstallUtil (T1218.004)</t>
        </is>
      </c>
      <c r="N87" s="54">
        <f t="array" ref="N87">IF(M87&lt;&gt;"",IF(INDEX(techniques[detection rules for techique],MATCH(M87,techniques[name],0))&gt;=1,INDEX(techniques[detection rules for techique],MATCH(M87,techniques[name],0)),""),"")</f>
        <v/>
      </c>
      <c r="O87" s="45" t="n"/>
      <c r="P87" s="54">
        <f t="array" ref="P87">IF(O87&lt;&gt;"",IF(INDEX(techniques[detection rules for techique],MATCH(O87,techniques[name],0))&gt;=1,INDEX(techniques[detection rules for techique],MATCH(O87,techniques[name],0)),""),"")</f>
        <v/>
      </c>
      <c r="Q87" s="45" t="n"/>
      <c r="R87" s="54">
        <f t="array" ref="R87">IF(Q87&lt;&gt;"",IF(INDEX(techniques[detection rules for techique],MATCH(Q87,techniques[name],0))&gt;=1,INDEX(techniques[detection rules for techique],MATCH(Q87,techniques[name],0)),""),"")</f>
        <v/>
      </c>
      <c r="S87" s="45" t="n"/>
      <c r="T87" s="54">
        <f t="array" ref="T87">IF(S87&lt;&gt;"",IF(INDEX(techniques[detection rules for techique],MATCH(S87,techniques[name],0))&gt;=1,INDEX(techniques[detection rules for techique],MATCH(S87,techniques[name],0)),""),"")</f>
        <v/>
      </c>
      <c r="U87" s="45" t="n"/>
      <c r="V87" s="54">
        <f t="array" ref="V87">IF(U87&lt;&gt;"",IF(INDEX(techniques[detection rules for techique],MATCH(U87,techniques[name],0))&gt;=1,INDEX(techniques[detection rules for techique],MATCH(U87,techniques[name],0)),""),"")</f>
        <v/>
      </c>
      <c r="W87" s="45" t="n"/>
      <c r="X87" s="54">
        <f t="array" ref="X87">IF(W87&lt;&gt;"",IF(INDEX(techniques[detection rules for techique],MATCH(W87,techniques[name],0))&gt;=1,INDEX(techniques[detection rules for techique],MATCH(W87,techniques[name],0)),""),"")</f>
        <v/>
      </c>
      <c r="Y87" s="45" t="n"/>
      <c r="Z87" s="54">
        <f t="array" ref="Z87">IF(Y87&lt;&gt;"",IF(INDEX(techniques[detection rules for techique],MATCH(Y87,techniques[name],0))&gt;=1,INDEX(techniques[detection rules for techique],MATCH(Y87,techniques[name],0)),""),"")</f>
        <v/>
      </c>
      <c r="AA87" s="45" t="n"/>
      <c r="AB87" s="54">
        <f t="array" ref="AB87">IF(AA87&lt;&gt;"",IF(INDEX(techniques[detection rules for techique],MATCH(AA87,techniques[name],0))&gt;=1,INDEX(techniques[detection rules for techique],MATCH(AA87,techniques[name],0)),""),"")</f>
        <v/>
      </c>
      <c r="AC87" s="45" t="n"/>
      <c r="AD87" s="54">
        <f t="array" ref="AD87">IF(AC87&lt;&gt;"",IF(INDEX(techniques[detection rules for techique],MATCH(AC87,techniques[name],0))&gt;=1,INDEX(techniques[detection rules for techique],MATCH(AC87,techniques[name],0)),""),"")</f>
        <v/>
      </c>
    </row>
    <row r="88" ht="22.5" customHeight="1">
      <c r="A88" s="45" t="n"/>
      <c r="B88" s="54">
        <f t="array" ref="B88">IF(A88&lt;&gt;"",IF(INDEX(techniques[detection rules for techique],MATCH(A88,techniques[name],0))&gt;=1,INDEX(techniques[detection rules for techique],MATCH(A88,techniques[name],0)),""),"")</f>
        <v/>
      </c>
      <c r="C88" s="45" t="n"/>
      <c r="D88" s="54">
        <f t="array" ref="D88">IF(C88&lt;&gt;"",IF(INDEX(techniques[detection rules for techique],MATCH(C88,techniques[name],0))&gt;=1,INDEX(techniques[detection rules for techique],MATCH(C88,techniques[name],0)),""),"")</f>
        <v/>
      </c>
      <c r="E88" s="45" t="n"/>
      <c r="F88" s="54">
        <f t="array" ref="F88">IF(E88&lt;&gt;"",IF(INDEX(techniques[detection rules for techique],MATCH(E88,techniques[name],0))&gt;=1,INDEX(techniques[detection rules for techique],MATCH(E88,techniques[name],0)),""),"")</f>
        <v/>
      </c>
      <c r="G88" s="45" t="n"/>
      <c r="H88" s="54">
        <f t="array" ref="H88">IF(G88&lt;&gt;"",IF(INDEX(techniques[detection rules for techique],MATCH(G88,techniques[name],0))&gt;=1,INDEX(techniques[detection rules for techique],MATCH(G88,techniques[name],0)),""),"")</f>
        <v/>
      </c>
      <c r="I88" s="45" t="inlineStr">
        <is>
          <t>Authentication Package (T1547.002)</t>
        </is>
      </c>
      <c r="J88" s="54">
        <f t="array" ref="J88">IF(I88&lt;&gt;"",IF(INDEX(techniques[detection rules for techique],MATCH(I88,techniques[name],0))&gt;=1,INDEX(techniques[detection rules for techique],MATCH(I88,techniques[name],0)),""),"")</f>
        <v/>
      </c>
      <c r="K88" s="45" t="inlineStr">
        <is>
          <t>Active Setup (T1547.014)</t>
        </is>
      </c>
      <c r="L88" s="54">
        <f t="array" ref="L88">IF(K88&lt;&gt;"",IF(INDEX(techniques[detection rules for techique],MATCH(K88,techniques[name],0))&gt;=1,INDEX(techniques[detection rules for techique],MATCH(K88,techniques[name],0)),""),"")</f>
        <v/>
      </c>
      <c r="M88" s="45" t="inlineStr">
        <is>
          <t>Mshta (T1218.005)</t>
        </is>
      </c>
      <c r="N88" s="54">
        <f t="array" ref="N88">IF(M88&lt;&gt;"",IF(INDEX(techniques[detection rules for techique],MATCH(M88,techniques[name],0))&gt;=1,INDEX(techniques[detection rules for techique],MATCH(M88,techniques[name],0)),""),"")</f>
        <v/>
      </c>
      <c r="O88" s="45" t="n"/>
      <c r="P88" s="54">
        <f t="array" ref="P88">IF(O88&lt;&gt;"",IF(INDEX(techniques[detection rules for techique],MATCH(O88,techniques[name],0))&gt;=1,INDEX(techniques[detection rules for techique],MATCH(O88,techniques[name],0)),""),"")</f>
        <v/>
      </c>
      <c r="Q88" s="45" t="n"/>
      <c r="R88" s="54">
        <f t="array" ref="R88">IF(Q88&lt;&gt;"",IF(INDEX(techniques[detection rules for techique],MATCH(Q88,techniques[name],0))&gt;=1,INDEX(techniques[detection rules for techique],MATCH(Q88,techniques[name],0)),""),"")</f>
        <v/>
      </c>
      <c r="S88" s="45" t="n"/>
      <c r="T88" s="54">
        <f t="array" ref="T88">IF(S88&lt;&gt;"",IF(INDEX(techniques[detection rules for techique],MATCH(S88,techniques[name],0))&gt;=1,INDEX(techniques[detection rules for techique],MATCH(S88,techniques[name],0)),""),"")</f>
        <v/>
      </c>
      <c r="U88" s="45" t="n"/>
      <c r="V88" s="54">
        <f t="array" ref="V88">IF(U88&lt;&gt;"",IF(INDEX(techniques[detection rules for techique],MATCH(U88,techniques[name],0))&gt;=1,INDEX(techniques[detection rules for techique],MATCH(U88,techniques[name],0)),""),"")</f>
        <v/>
      </c>
      <c r="W88" s="45" t="n"/>
      <c r="X88" s="54">
        <f t="array" ref="X88">IF(W88&lt;&gt;"",IF(INDEX(techniques[detection rules for techique],MATCH(W88,techniques[name],0))&gt;=1,INDEX(techniques[detection rules for techique],MATCH(W88,techniques[name],0)),""),"")</f>
        <v/>
      </c>
      <c r="Y88" s="45" t="n"/>
      <c r="Z88" s="54">
        <f t="array" ref="Z88">IF(Y88&lt;&gt;"",IF(INDEX(techniques[detection rules for techique],MATCH(Y88,techniques[name],0))&gt;=1,INDEX(techniques[detection rules for techique],MATCH(Y88,techniques[name],0)),""),"")</f>
        <v/>
      </c>
      <c r="AA88" s="45" t="n"/>
      <c r="AB88" s="54">
        <f t="array" ref="AB88">IF(AA88&lt;&gt;"",IF(INDEX(techniques[detection rules for techique],MATCH(AA88,techniques[name],0))&gt;=1,INDEX(techniques[detection rules for techique],MATCH(AA88,techniques[name],0)),""),"")</f>
        <v/>
      </c>
      <c r="AC88" s="45" t="n"/>
      <c r="AD88" s="54">
        <f t="array" ref="AD88">IF(AC88&lt;&gt;"",IF(INDEX(techniques[detection rules for techique],MATCH(AC88,techniques[name],0))&gt;=1,INDEX(techniques[detection rules for techique],MATCH(AC88,techniques[name],0)),""),"")</f>
        <v/>
      </c>
    </row>
    <row r="89" ht="33.75" customHeight="1">
      <c r="A89" s="45" t="n"/>
      <c r="B89" s="54">
        <f t="array" ref="B89">IF(A89&lt;&gt;"",IF(INDEX(techniques[detection rules for techique],MATCH(A89,techniques[name],0))&gt;=1,INDEX(techniques[detection rules for techique],MATCH(A89,techniques[name],0)),""),"")</f>
        <v/>
      </c>
      <c r="C89" s="45" t="n"/>
      <c r="D89" s="54">
        <f t="array" ref="D89">IF(C89&lt;&gt;"",IF(INDEX(techniques[detection rules for techique],MATCH(C89,techniques[name],0))&gt;=1,INDEX(techniques[detection rules for techique],MATCH(C89,techniques[name],0)),""),"")</f>
        <v/>
      </c>
      <c r="E89" s="45" t="n"/>
      <c r="F89" s="54">
        <f t="array" ref="F89">IF(E89&lt;&gt;"",IF(INDEX(techniques[detection rules for techique],MATCH(E89,techniques[name],0))&gt;=1,INDEX(techniques[detection rules for techique],MATCH(E89,techniques[name],0)),""),"")</f>
        <v/>
      </c>
      <c r="G89" s="45" t="n"/>
      <c r="H89" s="54">
        <f t="array" ref="H89">IF(G89&lt;&gt;"",IF(INDEX(techniques[detection rules for techique],MATCH(G89,techniques[name],0))&gt;=1,INDEX(techniques[detection rules for techique],MATCH(G89,techniques[name],0)),""),"")</f>
        <v/>
      </c>
      <c r="I89" s="45" t="inlineStr">
        <is>
          <t>Time Providers (T1547.003)</t>
        </is>
      </c>
      <c r="J89" s="54">
        <f t="array" ref="J89">IF(I89&lt;&gt;"",IF(INDEX(techniques[detection rules for techique],MATCH(I89,techniques[name],0))&gt;=1,INDEX(techniques[detection rules for techique],MATCH(I89,techniques[name],0)),""),"")</f>
        <v/>
      </c>
      <c r="K89" s="45" t="inlineStr">
        <is>
          <t>Login Items (T1547.015)</t>
        </is>
      </c>
      <c r="L89" s="54">
        <f t="array" ref="L89">IF(K89&lt;&gt;"",IF(INDEX(techniques[detection rules for techique],MATCH(K89,techniques[name],0))&gt;=1,INDEX(techniques[detection rules for techique],MATCH(K89,techniques[name],0)),""),"")</f>
        <v/>
      </c>
      <c r="M89" s="45" t="inlineStr">
        <is>
          <t>Msiexec (T1218.007)</t>
        </is>
      </c>
      <c r="N89" s="54">
        <f t="array" ref="N89">IF(M89&lt;&gt;"",IF(INDEX(techniques[detection rules for techique],MATCH(M89,techniques[name],0))&gt;=1,INDEX(techniques[detection rules for techique],MATCH(M89,techniques[name],0)),""),"")</f>
        <v/>
      </c>
      <c r="O89" s="45" t="n"/>
      <c r="P89" s="54">
        <f t="array" ref="P89">IF(O89&lt;&gt;"",IF(INDEX(techniques[detection rules for techique],MATCH(O89,techniques[name],0))&gt;=1,INDEX(techniques[detection rules for techique],MATCH(O89,techniques[name],0)),""),"")</f>
        <v/>
      </c>
      <c r="Q89" s="45" t="n"/>
      <c r="R89" s="54">
        <f t="array" ref="R89">IF(Q89&lt;&gt;"",IF(INDEX(techniques[detection rules for techique],MATCH(Q89,techniques[name],0))&gt;=1,INDEX(techniques[detection rules for techique],MATCH(Q89,techniques[name],0)),""),"")</f>
        <v/>
      </c>
      <c r="S89" s="45" t="n"/>
      <c r="T89" s="54">
        <f t="array" ref="T89">IF(S89&lt;&gt;"",IF(INDEX(techniques[detection rules for techique],MATCH(S89,techniques[name],0))&gt;=1,INDEX(techniques[detection rules for techique],MATCH(S89,techniques[name],0)),""),"")</f>
        <v/>
      </c>
      <c r="U89" s="45" t="n"/>
      <c r="V89" s="54">
        <f t="array" ref="V89">IF(U89&lt;&gt;"",IF(INDEX(techniques[detection rules for techique],MATCH(U89,techniques[name],0))&gt;=1,INDEX(techniques[detection rules for techique],MATCH(U89,techniques[name],0)),""),"")</f>
        <v/>
      </c>
      <c r="W89" s="45" t="n"/>
      <c r="X89" s="54">
        <f t="array" ref="X89">IF(W89&lt;&gt;"",IF(INDEX(techniques[detection rules for techique],MATCH(W89,techniques[name],0))&gt;=1,INDEX(techniques[detection rules for techique],MATCH(W89,techniques[name],0)),""),"")</f>
        <v/>
      </c>
      <c r="Y89" s="45" t="n"/>
      <c r="Z89" s="54">
        <f t="array" ref="Z89">IF(Y89&lt;&gt;"",IF(INDEX(techniques[detection rules for techique],MATCH(Y89,techniques[name],0))&gt;=1,INDEX(techniques[detection rules for techique],MATCH(Y89,techniques[name],0)),""),"")</f>
        <v/>
      </c>
      <c r="AA89" s="45" t="n"/>
      <c r="AB89" s="54">
        <f t="array" ref="AB89">IF(AA89&lt;&gt;"",IF(INDEX(techniques[detection rules for techique],MATCH(AA89,techniques[name],0))&gt;=1,INDEX(techniques[detection rules for techique],MATCH(AA89,techniques[name],0)),""),"")</f>
        <v/>
      </c>
      <c r="AC89" s="45" t="n"/>
      <c r="AD89" s="54">
        <f t="array" ref="AD89">IF(AC89&lt;&gt;"",IF(INDEX(techniques[detection rules for techique],MATCH(AC89,techniques[name],0))&gt;=1,INDEX(techniques[detection rules for techique],MATCH(AC89,techniques[name],0)),""),"")</f>
        <v/>
      </c>
    </row>
    <row r="90" ht="22.5" customHeight="1">
      <c r="A90" s="45" t="n"/>
      <c r="B90" s="54">
        <f t="array" ref="B90">IF(A90&lt;&gt;"",IF(INDEX(techniques[detection rules for techique],MATCH(A90,techniques[name],0))&gt;=1,INDEX(techniques[detection rules for techique],MATCH(A90,techniques[name],0)),""),"")</f>
        <v/>
      </c>
      <c r="C90" s="45" t="n"/>
      <c r="D90" s="54">
        <f t="array" ref="D90">IF(C90&lt;&gt;"",IF(INDEX(techniques[detection rules for techique],MATCH(C90,techniques[name],0))&gt;=1,INDEX(techniques[detection rules for techique],MATCH(C90,techniques[name],0)),""),"")</f>
        <v/>
      </c>
      <c r="E90" s="45" t="n"/>
      <c r="F90" s="54">
        <f t="array" ref="F90">IF(E90&lt;&gt;"",IF(INDEX(techniques[detection rules for techique],MATCH(E90,techniques[name],0))&gt;=1,INDEX(techniques[detection rules for techique],MATCH(E90,techniques[name],0)),""),"")</f>
        <v/>
      </c>
      <c r="G90" s="45" t="n"/>
      <c r="H90" s="54">
        <f t="array" ref="H90">IF(G90&lt;&gt;"",IF(INDEX(techniques[detection rules for techique],MATCH(G90,techniques[name],0))&gt;=1,INDEX(techniques[detection rules for techique],MATCH(G90,techniques[name],0)),""),"")</f>
        <v/>
      </c>
      <c r="I90" s="45" t="inlineStr">
        <is>
          <t>Winlogon Helper DLL (T1547.004)</t>
        </is>
      </c>
      <c r="J90" s="54">
        <f t="array" ref="J90">IF(I90&lt;&gt;"",IF(INDEX(techniques[detection rules for techique],MATCH(I90,techniques[name],0))&gt;=1,INDEX(techniques[detection rules for techique],MATCH(I90,techniques[name],0)),""),"")</f>
        <v/>
      </c>
      <c r="K90" s="45" t="inlineStr">
        <is>
          <t>Abuse Elevation Control Mechanism (T1548)</t>
        </is>
      </c>
      <c r="L90" s="54">
        <f t="array" ref="L90">IF(K90&lt;&gt;"",IF(INDEX(techniques[detection rules for techique],MATCH(K90,techniques[name],0))&gt;=1,INDEX(techniques[detection rules for techique],MATCH(K90,techniques[name],0)),""),"")</f>
        <v/>
      </c>
      <c r="M90" s="45" t="inlineStr">
        <is>
          <t>Odbcconf (T1218.008)</t>
        </is>
      </c>
      <c r="N90" s="54">
        <f t="array" ref="N90">IF(M90&lt;&gt;"",IF(INDEX(techniques[detection rules for techique],MATCH(M90,techniques[name],0))&gt;=1,INDEX(techniques[detection rules for techique],MATCH(M90,techniques[name],0)),""),"")</f>
        <v/>
      </c>
      <c r="O90" s="45" t="n"/>
      <c r="P90" s="54">
        <f t="array" ref="P90">IF(O90&lt;&gt;"",IF(INDEX(techniques[detection rules for techique],MATCH(O90,techniques[name],0))&gt;=1,INDEX(techniques[detection rules for techique],MATCH(O90,techniques[name],0)),""),"")</f>
        <v/>
      </c>
      <c r="Q90" s="45" t="n"/>
      <c r="R90" s="54">
        <f t="array" ref="R90">IF(Q90&lt;&gt;"",IF(INDEX(techniques[detection rules for techique],MATCH(Q90,techniques[name],0))&gt;=1,INDEX(techniques[detection rules for techique],MATCH(Q90,techniques[name],0)),""),"")</f>
        <v/>
      </c>
      <c r="S90" s="45" t="n"/>
      <c r="T90" s="54">
        <f t="array" ref="T90">IF(S90&lt;&gt;"",IF(INDEX(techniques[detection rules for techique],MATCH(S90,techniques[name],0))&gt;=1,INDEX(techniques[detection rules for techique],MATCH(S90,techniques[name],0)),""),"")</f>
        <v/>
      </c>
      <c r="U90" s="45" t="n"/>
      <c r="V90" s="54">
        <f t="array" ref="V90">IF(U90&lt;&gt;"",IF(INDEX(techniques[detection rules for techique],MATCH(U90,techniques[name],0))&gt;=1,INDEX(techniques[detection rules for techique],MATCH(U90,techniques[name],0)),""),"")</f>
        <v/>
      </c>
      <c r="W90" s="45" t="n"/>
      <c r="X90" s="54">
        <f t="array" ref="X90">IF(W90&lt;&gt;"",IF(INDEX(techniques[detection rules for techique],MATCH(W90,techniques[name],0))&gt;=1,INDEX(techniques[detection rules for techique],MATCH(W90,techniques[name],0)),""),"")</f>
        <v/>
      </c>
      <c r="Y90" s="45" t="n"/>
      <c r="Z90" s="54">
        <f t="array" ref="Z90">IF(Y90&lt;&gt;"",IF(INDEX(techniques[detection rules for techique],MATCH(Y90,techniques[name],0))&gt;=1,INDEX(techniques[detection rules for techique],MATCH(Y90,techniques[name],0)),""),"")</f>
        <v/>
      </c>
      <c r="AA90" s="45" t="n"/>
      <c r="AB90" s="54">
        <f t="array" ref="AB90">IF(AA90&lt;&gt;"",IF(INDEX(techniques[detection rules for techique],MATCH(AA90,techniques[name],0))&gt;=1,INDEX(techniques[detection rules for techique],MATCH(AA90,techniques[name],0)),""),"")</f>
        <v/>
      </c>
      <c r="AC90" s="45" t="n"/>
      <c r="AD90" s="54">
        <f t="array" ref="AD90">IF(AC90&lt;&gt;"",IF(INDEX(techniques[detection rules for techique],MATCH(AC90,techniques[name],0))&gt;=1,INDEX(techniques[detection rules for techique],MATCH(AC90,techniques[name],0)),""),"")</f>
        <v/>
      </c>
    </row>
    <row r="91" ht="33.75" customHeight="1">
      <c r="A91" s="45" t="n"/>
      <c r="B91" s="54">
        <f t="array" ref="B91">IF(A91&lt;&gt;"",IF(INDEX(techniques[detection rules for techique],MATCH(A91,techniques[name],0))&gt;=1,INDEX(techniques[detection rules for techique],MATCH(A91,techniques[name],0)),""),"")</f>
        <v/>
      </c>
      <c r="C91" s="45" t="n"/>
      <c r="D91" s="54">
        <f t="array" ref="D91">IF(C91&lt;&gt;"",IF(INDEX(techniques[detection rules for techique],MATCH(C91,techniques[name],0))&gt;=1,INDEX(techniques[detection rules for techique],MATCH(C91,techniques[name],0)),""),"")</f>
        <v/>
      </c>
      <c r="E91" s="45" t="n"/>
      <c r="F91" s="54">
        <f t="array" ref="F91">IF(E91&lt;&gt;"",IF(INDEX(techniques[detection rules for techique],MATCH(E91,techniques[name],0))&gt;=1,INDEX(techniques[detection rules for techique],MATCH(E91,techniques[name],0)),""),"")</f>
        <v/>
      </c>
      <c r="G91" s="45" t="n"/>
      <c r="H91" s="54">
        <f t="array" ref="H91">IF(G91&lt;&gt;"",IF(INDEX(techniques[detection rules for techique],MATCH(G91,techniques[name],0))&gt;=1,INDEX(techniques[detection rules for techique],MATCH(G91,techniques[name],0)),""),"")</f>
        <v/>
      </c>
      <c r="I91" s="45" t="inlineStr">
        <is>
          <t>Security Support Provider (T1547.005)</t>
        </is>
      </c>
      <c r="J91" s="54">
        <f t="array" ref="J91">IF(I91&lt;&gt;"",IF(INDEX(techniques[detection rules for techique],MATCH(I91,techniques[name],0))&gt;=1,INDEX(techniques[detection rules for techique],MATCH(I91,techniques[name],0)),""),"")</f>
        <v/>
      </c>
      <c r="K91" s="45" t="inlineStr">
        <is>
          <t>Setuid and Setgid (T1548.001)</t>
        </is>
      </c>
      <c r="L91" s="54">
        <f t="array" ref="L91">IF(K91&lt;&gt;"",IF(INDEX(techniques[detection rules for techique],MATCH(K91,techniques[name],0))&gt;=1,INDEX(techniques[detection rules for techique],MATCH(K91,techniques[name],0)),""),"")</f>
        <v/>
      </c>
      <c r="M91" s="45" t="inlineStr">
        <is>
          <t>Regsvcs/Regasm (T1218.009)</t>
        </is>
      </c>
      <c r="N91" s="54">
        <f t="array" ref="N91">IF(M91&lt;&gt;"",IF(INDEX(techniques[detection rules for techique],MATCH(M91,techniques[name],0))&gt;=1,INDEX(techniques[detection rules for techique],MATCH(M91,techniques[name],0)),""),"")</f>
        <v/>
      </c>
      <c r="O91" s="45" t="n"/>
      <c r="P91" s="54">
        <f t="array" ref="P91">IF(O91&lt;&gt;"",IF(INDEX(techniques[detection rules for techique],MATCH(O91,techniques[name],0))&gt;=1,INDEX(techniques[detection rules for techique],MATCH(O91,techniques[name],0)),""),"")</f>
        <v/>
      </c>
      <c r="Q91" s="45" t="n"/>
      <c r="R91" s="54">
        <f t="array" ref="R91">IF(Q91&lt;&gt;"",IF(INDEX(techniques[detection rules for techique],MATCH(Q91,techniques[name],0))&gt;=1,INDEX(techniques[detection rules for techique],MATCH(Q91,techniques[name],0)),""),"")</f>
        <v/>
      </c>
      <c r="S91" s="45" t="n"/>
      <c r="T91" s="54">
        <f t="array" ref="T91">IF(S91&lt;&gt;"",IF(INDEX(techniques[detection rules for techique],MATCH(S91,techniques[name],0))&gt;=1,INDEX(techniques[detection rules for techique],MATCH(S91,techniques[name],0)),""),"")</f>
        <v/>
      </c>
      <c r="U91" s="45" t="n"/>
      <c r="V91" s="54">
        <f t="array" ref="V91">IF(U91&lt;&gt;"",IF(INDEX(techniques[detection rules for techique],MATCH(U91,techniques[name],0))&gt;=1,INDEX(techniques[detection rules for techique],MATCH(U91,techniques[name],0)),""),"")</f>
        <v/>
      </c>
      <c r="W91" s="45" t="n"/>
      <c r="X91" s="54">
        <f t="array" ref="X91">IF(W91&lt;&gt;"",IF(INDEX(techniques[detection rules for techique],MATCH(W91,techniques[name],0))&gt;=1,INDEX(techniques[detection rules for techique],MATCH(W91,techniques[name],0)),""),"")</f>
        <v/>
      </c>
      <c r="Y91" s="45" t="n"/>
      <c r="Z91" s="54">
        <f t="array" ref="Z91">IF(Y91&lt;&gt;"",IF(INDEX(techniques[detection rules for techique],MATCH(Y91,techniques[name],0))&gt;=1,INDEX(techniques[detection rules for techique],MATCH(Y91,techniques[name],0)),""),"")</f>
        <v/>
      </c>
      <c r="AA91" s="45" t="n"/>
      <c r="AB91" s="54">
        <f t="array" ref="AB91">IF(AA91&lt;&gt;"",IF(INDEX(techniques[detection rules for techique],MATCH(AA91,techniques[name],0))&gt;=1,INDEX(techniques[detection rules for techique],MATCH(AA91,techniques[name],0)),""),"")</f>
        <v/>
      </c>
      <c r="AC91" s="45" t="n"/>
      <c r="AD91" s="54">
        <f t="array" ref="AD91">IF(AC91&lt;&gt;"",IF(INDEX(techniques[detection rules for techique],MATCH(AC91,techniques[name],0))&gt;=1,INDEX(techniques[detection rules for techique],MATCH(AC91,techniques[name],0)),""),"")</f>
        <v/>
      </c>
    </row>
    <row r="92" ht="22.5" customHeight="1">
      <c r="A92" s="45" t="n"/>
      <c r="B92" s="54">
        <f t="array" ref="B92">IF(A92&lt;&gt;"",IF(INDEX(techniques[detection rules for techique],MATCH(A92,techniques[name],0))&gt;=1,INDEX(techniques[detection rules for techique],MATCH(A92,techniques[name],0)),""),"")</f>
        <v/>
      </c>
      <c r="C92" s="45" t="n"/>
      <c r="D92" s="54">
        <f t="array" ref="D92">IF(C92&lt;&gt;"",IF(INDEX(techniques[detection rules for techique],MATCH(C92,techniques[name],0))&gt;=1,INDEX(techniques[detection rules for techique],MATCH(C92,techniques[name],0)),""),"")</f>
        <v/>
      </c>
      <c r="E92" s="45" t="n"/>
      <c r="F92" s="54">
        <f t="array" ref="F92">IF(E92&lt;&gt;"",IF(INDEX(techniques[detection rules for techique],MATCH(E92,techniques[name],0))&gt;=1,INDEX(techniques[detection rules for techique],MATCH(E92,techniques[name],0)),""),"")</f>
        <v/>
      </c>
      <c r="G92" s="45" t="n"/>
      <c r="H92" s="54">
        <f t="array" ref="H92">IF(G92&lt;&gt;"",IF(INDEX(techniques[detection rules for techique],MATCH(G92,techniques[name],0))&gt;=1,INDEX(techniques[detection rules for techique],MATCH(G92,techniques[name],0)),""),"")</f>
        <v/>
      </c>
      <c r="I92" s="45" t="inlineStr">
        <is>
          <t>Kernel Modules and Extensions (T1547.006)</t>
        </is>
      </c>
      <c r="J92" s="54">
        <f t="array" ref="J92">IF(I92&lt;&gt;"",IF(INDEX(techniques[detection rules for techique],MATCH(I92,techniques[name],0))&gt;=1,INDEX(techniques[detection rules for techique],MATCH(I92,techniques[name],0)),""),"")</f>
        <v/>
      </c>
      <c r="K92" s="45" t="inlineStr">
        <is>
          <t>Bypass User Account Control (T1548.002)</t>
        </is>
      </c>
      <c r="L92" s="54">
        <f t="array" ref="L92">IF(K92&lt;&gt;"",IF(INDEX(techniques[detection rules for techique],MATCH(K92,techniques[name],0))&gt;=1,INDEX(techniques[detection rules for techique],MATCH(K92,techniques[name],0)),""),"")</f>
        <v/>
      </c>
      <c r="M92" s="45" t="inlineStr">
        <is>
          <t>Regsvr32 (T1218.010)</t>
        </is>
      </c>
      <c r="N92" s="54">
        <f t="array" ref="N92">IF(M92&lt;&gt;"",IF(INDEX(techniques[detection rules for techique],MATCH(M92,techniques[name],0))&gt;=1,INDEX(techniques[detection rules for techique],MATCH(M92,techniques[name],0)),""),"")</f>
        <v/>
      </c>
      <c r="O92" s="45" t="n"/>
      <c r="P92" s="54">
        <f t="array" ref="P92">IF(O92&lt;&gt;"",IF(INDEX(techniques[detection rules for techique],MATCH(O92,techniques[name],0))&gt;=1,INDEX(techniques[detection rules for techique],MATCH(O92,techniques[name],0)),""),"")</f>
        <v/>
      </c>
      <c r="Q92" s="45" t="n"/>
      <c r="R92" s="54">
        <f t="array" ref="R92">IF(Q92&lt;&gt;"",IF(INDEX(techniques[detection rules for techique],MATCH(Q92,techniques[name],0))&gt;=1,INDEX(techniques[detection rules for techique],MATCH(Q92,techniques[name],0)),""),"")</f>
        <v/>
      </c>
      <c r="S92" s="45" t="n"/>
      <c r="T92" s="54">
        <f t="array" ref="T92">IF(S92&lt;&gt;"",IF(INDEX(techniques[detection rules for techique],MATCH(S92,techniques[name],0))&gt;=1,INDEX(techniques[detection rules for techique],MATCH(S92,techniques[name],0)),""),"")</f>
        <v/>
      </c>
      <c r="U92" s="45" t="n"/>
      <c r="V92" s="54">
        <f t="array" ref="V92">IF(U92&lt;&gt;"",IF(INDEX(techniques[detection rules for techique],MATCH(U92,techniques[name],0))&gt;=1,INDEX(techniques[detection rules for techique],MATCH(U92,techniques[name],0)),""),"")</f>
        <v/>
      </c>
      <c r="W92" s="45" t="n"/>
      <c r="X92" s="54">
        <f t="array" ref="X92">IF(W92&lt;&gt;"",IF(INDEX(techniques[detection rules for techique],MATCH(W92,techniques[name],0))&gt;=1,INDEX(techniques[detection rules for techique],MATCH(W92,techniques[name],0)),""),"")</f>
        <v/>
      </c>
      <c r="Y92" s="45" t="n"/>
      <c r="Z92" s="54">
        <f t="array" ref="Z92">IF(Y92&lt;&gt;"",IF(INDEX(techniques[detection rules for techique],MATCH(Y92,techniques[name],0))&gt;=1,INDEX(techniques[detection rules for techique],MATCH(Y92,techniques[name],0)),""),"")</f>
        <v/>
      </c>
      <c r="AA92" s="45" t="n"/>
      <c r="AB92" s="54">
        <f t="array" ref="AB92">IF(AA92&lt;&gt;"",IF(INDEX(techniques[detection rules for techique],MATCH(AA92,techniques[name],0))&gt;=1,INDEX(techniques[detection rules for techique],MATCH(AA92,techniques[name],0)),""),"")</f>
        <v/>
      </c>
      <c r="AC92" s="45" t="n"/>
      <c r="AD92" s="54">
        <f t="array" ref="AD92">IF(AC92&lt;&gt;"",IF(INDEX(techniques[detection rules for techique],MATCH(AC92,techniques[name],0))&gt;=1,INDEX(techniques[detection rules for techique],MATCH(AC92,techniques[name],0)),""),"")</f>
        <v/>
      </c>
    </row>
    <row r="93" ht="22.5" customHeight="1">
      <c r="A93" s="45" t="n"/>
      <c r="B93" s="54">
        <f t="array" ref="B93">IF(A93&lt;&gt;"",IF(INDEX(techniques[detection rules for techique],MATCH(A93,techniques[name],0))&gt;=1,INDEX(techniques[detection rules for techique],MATCH(A93,techniques[name],0)),""),"")</f>
        <v/>
      </c>
      <c r="C93" s="45" t="n"/>
      <c r="D93" s="54">
        <f t="array" ref="D93">IF(C93&lt;&gt;"",IF(INDEX(techniques[detection rules for techique],MATCH(C93,techniques[name],0))&gt;=1,INDEX(techniques[detection rules for techique],MATCH(C93,techniques[name],0)),""),"")</f>
        <v/>
      </c>
      <c r="E93" s="45" t="n"/>
      <c r="F93" s="54">
        <f t="array" ref="F93">IF(E93&lt;&gt;"",IF(INDEX(techniques[detection rules for techique],MATCH(E93,techniques[name],0))&gt;=1,INDEX(techniques[detection rules for techique],MATCH(E93,techniques[name],0)),""),"")</f>
        <v/>
      </c>
      <c r="G93" s="45" t="n"/>
      <c r="H93" s="54">
        <f t="array" ref="H93">IF(G93&lt;&gt;"",IF(INDEX(techniques[detection rules for techique],MATCH(G93,techniques[name],0))&gt;=1,INDEX(techniques[detection rules for techique],MATCH(G93,techniques[name],0)),""),"")</f>
        <v/>
      </c>
      <c r="I93" s="45" t="inlineStr">
        <is>
          <t>Re-opened Applications (T1547.007)</t>
        </is>
      </c>
      <c r="J93" s="54">
        <f t="array" ref="J93">IF(I93&lt;&gt;"",IF(INDEX(techniques[detection rules for techique],MATCH(I93,techniques[name],0))&gt;=1,INDEX(techniques[detection rules for techique],MATCH(I93,techniques[name],0)),""),"")</f>
        <v/>
      </c>
      <c r="K93" s="45" t="inlineStr">
        <is>
          <t>Sudo and Sudo Caching (T1548.003)</t>
        </is>
      </c>
      <c r="L93" s="54">
        <f t="array" ref="L93">IF(K93&lt;&gt;"",IF(INDEX(techniques[detection rules for techique],MATCH(K93,techniques[name],0))&gt;=1,INDEX(techniques[detection rules for techique],MATCH(K93,techniques[name],0)),""),"")</f>
        <v/>
      </c>
      <c r="M93" s="45" t="inlineStr">
        <is>
          <t>Rundll32 (T1218.011)</t>
        </is>
      </c>
      <c r="N93" s="54">
        <f t="array" ref="N93">IF(M93&lt;&gt;"",IF(INDEX(techniques[detection rules for techique],MATCH(M93,techniques[name],0))&gt;=1,INDEX(techniques[detection rules for techique],MATCH(M93,techniques[name],0)),""),"")</f>
        <v/>
      </c>
      <c r="O93" s="45" t="n"/>
      <c r="P93" s="54">
        <f t="array" ref="P93">IF(O93&lt;&gt;"",IF(INDEX(techniques[detection rules for techique],MATCH(O93,techniques[name],0))&gt;=1,INDEX(techniques[detection rules for techique],MATCH(O93,techniques[name],0)),""),"")</f>
        <v/>
      </c>
      <c r="Q93" s="45" t="n"/>
      <c r="R93" s="54">
        <f t="array" ref="R93">IF(Q93&lt;&gt;"",IF(INDEX(techniques[detection rules for techique],MATCH(Q93,techniques[name],0))&gt;=1,INDEX(techniques[detection rules for techique],MATCH(Q93,techniques[name],0)),""),"")</f>
        <v/>
      </c>
      <c r="S93" s="45" t="n"/>
      <c r="T93" s="54">
        <f t="array" ref="T93">IF(S93&lt;&gt;"",IF(INDEX(techniques[detection rules for techique],MATCH(S93,techniques[name],0))&gt;=1,INDEX(techniques[detection rules for techique],MATCH(S93,techniques[name],0)),""),"")</f>
        <v/>
      </c>
      <c r="U93" s="45" t="n"/>
      <c r="V93" s="54">
        <f t="array" ref="V93">IF(U93&lt;&gt;"",IF(INDEX(techniques[detection rules for techique],MATCH(U93,techniques[name],0))&gt;=1,INDEX(techniques[detection rules for techique],MATCH(U93,techniques[name],0)),""),"")</f>
        <v/>
      </c>
      <c r="W93" s="45" t="n"/>
      <c r="X93" s="54">
        <f t="array" ref="X93">IF(W93&lt;&gt;"",IF(INDEX(techniques[detection rules for techique],MATCH(W93,techniques[name],0))&gt;=1,INDEX(techniques[detection rules for techique],MATCH(W93,techniques[name],0)),""),"")</f>
        <v/>
      </c>
      <c r="Y93" s="45" t="n"/>
      <c r="Z93" s="54">
        <f t="array" ref="Z93">IF(Y93&lt;&gt;"",IF(INDEX(techniques[detection rules for techique],MATCH(Y93,techniques[name],0))&gt;=1,INDEX(techniques[detection rules for techique],MATCH(Y93,techniques[name],0)),""),"")</f>
        <v/>
      </c>
      <c r="AA93" s="45" t="n"/>
      <c r="AB93" s="54">
        <f t="array" ref="AB93">IF(AA93&lt;&gt;"",IF(INDEX(techniques[detection rules for techique],MATCH(AA93,techniques[name],0))&gt;=1,INDEX(techniques[detection rules for techique],MATCH(AA93,techniques[name],0)),""),"")</f>
        <v/>
      </c>
      <c r="AC93" s="45" t="n"/>
      <c r="AD93" s="54">
        <f t="array" ref="AD93">IF(AC93&lt;&gt;"",IF(INDEX(techniques[detection rules for techique],MATCH(AC93,techniques[name],0))&gt;=1,INDEX(techniques[detection rules for techique],MATCH(AC93,techniques[name],0)),""),"")</f>
        <v/>
      </c>
    </row>
    <row r="94" ht="22.5" customHeight="1">
      <c r="A94" s="45" t="n"/>
      <c r="B94" s="54">
        <f t="array" ref="B94">IF(A94&lt;&gt;"",IF(INDEX(techniques[detection rules for techique],MATCH(A94,techniques[name],0))&gt;=1,INDEX(techniques[detection rules for techique],MATCH(A94,techniques[name],0)),""),"")</f>
        <v/>
      </c>
      <c r="C94" s="45" t="n"/>
      <c r="D94" s="54">
        <f t="array" ref="D94">IF(C94&lt;&gt;"",IF(INDEX(techniques[detection rules for techique],MATCH(C94,techniques[name],0))&gt;=1,INDEX(techniques[detection rules for techique],MATCH(C94,techniques[name],0)),""),"")</f>
        <v/>
      </c>
      <c r="E94" s="45" t="n"/>
      <c r="F94" s="54">
        <f t="array" ref="F94">IF(E94&lt;&gt;"",IF(INDEX(techniques[detection rules for techique],MATCH(E94,techniques[name],0))&gt;=1,INDEX(techniques[detection rules for techique],MATCH(E94,techniques[name],0)),""),"")</f>
        <v/>
      </c>
      <c r="G94" s="45" t="n"/>
      <c r="H94" s="54">
        <f t="array" ref="H94">IF(G94&lt;&gt;"",IF(INDEX(techniques[detection rules for techique],MATCH(G94,techniques[name],0))&gt;=1,INDEX(techniques[detection rules for techique],MATCH(G94,techniques[name],0)),""),"")</f>
        <v/>
      </c>
      <c r="I94" s="45" t="inlineStr">
        <is>
          <t>LSASS Driver (T1547.008)</t>
        </is>
      </c>
      <c r="J94" s="54">
        <f t="array" ref="J94">IF(I94&lt;&gt;"",IF(INDEX(techniques[detection rules for techique],MATCH(I94,techniques[name],0))&gt;=1,INDEX(techniques[detection rules for techique],MATCH(I94,techniques[name],0)),""),"")</f>
        <v/>
      </c>
      <c r="K94" s="45" t="inlineStr">
        <is>
          <t>Elevated Execution with Prompt (T1548.004)</t>
        </is>
      </c>
      <c r="L94" s="54">
        <f t="array" ref="L94">IF(K94&lt;&gt;"",IF(INDEX(techniques[detection rules for techique],MATCH(K94,techniques[name],0))&gt;=1,INDEX(techniques[detection rules for techique],MATCH(K94,techniques[name],0)),""),"")</f>
        <v/>
      </c>
      <c r="M94" s="45" t="inlineStr">
        <is>
          <t>Verclsid (T1218.012)</t>
        </is>
      </c>
      <c r="N94" s="54">
        <f t="array" ref="N94">IF(M94&lt;&gt;"",IF(INDEX(techniques[detection rules for techique],MATCH(M94,techniques[name],0))&gt;=1,INDEX(techniques[detection rules for techique],MATCH(M94,techniques[name],0)),""),"")</f>
        <v/>
      </c>
      <c r="O94" s="45" t="n"/>
      <c r="P94" s="54">
        <f t="array" ref="P94">IF(O94&lt;&gt;"",IF(INDEX(techniques[detection rules for techique],MATCH(O94,techniques[name],0))&gt;=1,INDEX(techniques[detection rules for techique],MATCH(O94,techniques[name],0)),""),"")</f>
        <v/>
      </c>
      <c r="Q94" s="45" t="n"/>
      <c r="R94" s="54">
        <f t="array" ref="R94">IF(Q94&lt;&gt;"",IF(INDEX(techniques[detection rules for techique],MATCH(Q94,techniques[name],0))&gt;=1,INDEX(techniques[detection rules for techique],MATCH(Q94,techniques[name],0)),""),"")</f>
        <v/>
      </c>
      <c r="S94" s="45" t="n"/>
      <c r="T94" s="54">
        <f t="array" ref="T94">IF(S94&lt;&gt;"",IF(INDEX(techniques[detection rules for techique],MATCH(S94,techniques[name],0))&gt;=1,INDEX(techniques[detection rules for techique],MATCH(S94,techniques[name],0)),""),"")</f>
        <v/>
      </c>
      <c r="U94" s="45" t="n"/>
      <c r="V94" s="54">
        <f t="array" ref="V94">IF(U94&lt;&gt;"",IF(INDEX(techniques[detection rules for techique],MATCH(U94,techniques[name],0))&gt;=1,INDEX(techniques[detection rules for techique],MATCH(U94,techniques[name],0)),""),"")</f>
        <v/>
      </c>
      <c r="W94" s="45" t="n"/>
      <c r="X94" s="54">
        <f t="array" ref="X94">IF(W94&lt;&gt;"",IF(INDEX(techniques[detection rules for techique],MATCH(W94,techniques[name],0))&gt;=1,INDEX(techniques[detection rules for techique],MATCH(W94,techniques[name],0)),""),"")</f>
        <v/>
      </c>
      <c r="Y94" s="45" t="n"/>
      <c r="Z94" s="54">
        <f t="array" ref="Z94">IF(Y94&lt;&gt;"",IF(INDEX(techniques[detection rules for techique],MATCH(Y94,techniques[name],0))&gt;=1,INDEX(techniques[detection rules for techique],MATCH(Y94,techniques[name],0)),""),"")</f>
        <v/>
      </c>
      <c r="AA94" s="45" t="n"/>
      <c r="AB94" s="54">
        <f t="array" ref="AB94">IF(AA94&lt;&gt;"",IF(INDEX(techniques[detection rules for techique],MATCH(AA94,techniques[name],0))&gt;=1,INDEX(techniques[detection rules for techique],MATCH(AA94,techniques[name],0)),""),"")</f>
        <v/>
      </c>
      <c r="AC94" s="45" t="n"/>
      <c r="AD94" s="54">
        <f t="array" ref="AD94">IF(AC94&lt;&gt;"",IF(INDEX(techniques[detection rules for techique],MATCH(AC94,techniques[name],0))&gt;=1,INDEX(techniques[detection rules for techique],MATCH(AC94,techniques[name],0)),""),"")</f>
        <v/>
      </c>
    </row>
    <row r="95" ht="33.75" customHeight="1">
      <c r="A95" s="45" t="n"/>
      <c r="B95" s="54">
        <f t="array" ref="B95">IF(A95&lt;&gt;"",IF(INDEX(techniques[detection rules for techique],MATCH(A95,techniques[name],0))&gt;=1,INDEX(techniques[detection rules for techique],MATCH(A95,techniques[name],0)),""),"")</f>
        <v/>
      </c>
      <c r="C95" s="45" t="n"/>
      <c r="D95" s="54">
        <f t="array" ref="D95">IF(C95&lt;&gt;"",IF(INDEX(techniques[detection rules for techique],MATCH(C95,techniques[name],0))&gt;=1,INDEX(techniques[detection rules for techique],MATCH(C95,techniques[name],0)),""),"")</f>
        <v/>
      </c>
      <c r="E95" s="45" t="n"/>
      <c r="F95" s="54">
        <f t="array" ref="F95">IF(E95&lt;&gt;"",IF(INDEX(techniques[detection rules for techique],MATCH(E95,techniques[name],0))&gt;=1,INDEX(techniques[detection rules for techique],MATCH(E95,techniques[name],0)),""),"")</f>
        <v/>
      </c>
      <c r="G95" s="45" t="n"/>
      <c r="H95" s="54">
        <f t="array" ref="H95">IF(G95&lt;&gt;"",IF(INDEX(techniques[detection rules for techique],MATCH(G95,techniques[name],0))&gt;=1,INDEX(techniques[detection rules for techique],MATCH(G95,techniques[name],0)),""),"")</f>
        <v/>
      </c>
      <c r="I95" s="45" t="inlineStr">
        <is>
          <t>Shortcut Modification (T1547.009)</t>
        </is>
      </c>
      <c r="J95" s="54">
        <f t="array" ref="J95">IF(I95&lt;&gt;"",IF(INDEX(techniques[detection rules for techique],MATCH(I95,techniques[name],0))&gt;=1,INDEX(techniques[detection rules for techique],MATCH(I95,techniques[name],0)),""),"")</f>
        <v/>
      </c>
      <c r="K95" s="45" t="inlineStr">
        <is>
          <t>Temporary Elevated Cloud Access (T1548.005)</t>
        </is>
      </c>
      <c r="L95" s="54">
        <f t="array" ref="L95">IF(K95&lt;&gt;"",IF(INDEX(techniques[detection rules for techique],MATCH(K95,techniques[name],0))&gt;=1,INDEX(techniques[detection rules for techique],MATCH(K95,techniques[name],0)),""),"")</f>
        <v/>
      </c>
      <c r="M95" s="45" t="inlineStr">
        <is>
          <t>Mavinject (T1218.013)</t>
        </is>
      </c>
      <c r="N95" s="54">
        <f t="array" ref="N95">IF(M95&lt;&gt;"",IF(INDEX(techniques[detection rules for techique],MATCH(M95,techniques[name],0))&gt;=1,INDEX(techniques[detection rules for techique],MATCH(M95,techniques[name],0)),""),"")</f>
        <v/>
      </c>
      <c r="O95" s="45" t="n"/>
      <c r="P95" s="54">
        <f t="array" ref="P95">IF(O95&lt;&gt;"",IF(INDEX(techniques[detection rules for techique],MATCH(O95,techniques[name],0))&gt;=1,INDEX(techniques[detection rules for techique],MATCH(O95,techniques[name],0)),""),"")</f>
        <v/>
      </c>
      <c r="Q95" s="45" t="n"/>
      <c r="R95" s="54">
        <f t="array" ref="R95">IF(Q95&lt;&gt;"",IF(INDEX(techniques[detection rules for techique],MATCH(Q95,techniques[name],0))&gt;=1,INDEX(techniques[detection rules for techique],MATCH(Q95,techniques[name],0)),""),"")</f>
        <v/>
      </c>
      <c r="S95" s="45" t="n"/>
      <c r="T95" s="54">
        <f t="array" ref="T95">IF(S95&lt;&gt;"",IF(INDEX(techniques[detection rules for techique],MATCH(S95,techniques[name],0))&gt;=1,INDEX(techniques[detection rules for techique],MATCH(S95,techniques[name],0)),""),"")</f>
        <v/>
      </c>
      <c r="U95" s="45" t="n"/>
      <c r="V95" s="54">
        <f t="array" ref="V95">IF(U95&lt;&gt;"",IF(INDEX(techniques[detection rules for techique],MATCH(U95,techniques[name],0))&gt;=1,INDEX(techniques[detection rules for techique],MATCH(U95,techniques[name],0)),""),"")</f>
        <v/>
      </c>
      <c r="W95" s="45" t="n"/>
      <c r="X95" s="54">
        <f t="array" ref="X95">IF(W95&lt;&gt;"",IF(INDEX(techniques[detection rules for techique],MATCH(W95,techniques[name],0))&gt;=1,INDEX(techniques[detection rules for techique],MATCH(W95,techniques[name],0)),""),"")</f>
        <v/>
      </c>
      <c r="Y95" s="45" t="n"/>
      <c r="Z95" s="54">
        <f t="array" ref="Z95">IF(Y95&lt;&gt;"",IF(INDEX(techniques[detection rules for techique],MATCH(Y95,techniques[name],0))&gt;=1,INDEX(techniques[detection rules for techique],MATCH(Y95,techniques[name],0)),""),"")</f>
        <v/>
      </c>
      <c r="AA95" s="45" t="n"/>
      <c r="AB95" s="54">
        <f t="array" ref="AB95">IF(AA95&lt;&gt;"",IF(INDEX(techniques[detection rules for techique],MATCH(AA95,techniques[name],0))&gt;=1,INDEX(techniques[detection rules for techique],MATCH(AA95,techniques[name],0)),""),"")</f>
        <v/>
      </c>
      <c r="AC95" s="45" t="n"/>
      <c r="AD95" s="54">
        <f t="array" ref="AD95">IF(AC95&lt;&gt;"",IF(INDEX(techniques[detection rules for techique],MATCH(AC95,techniques[name],0))&gt;=1,INDEX(techniques[detection rules for techique],MATCH(AC95,techniques[name],0)),""),"")</f>
        <v/>
      </c>
    </row>
    <row r="96" ht="22.5" customHeight="1">
      <c r="A96" s="45" t="n"/>
      <c r="B96" s="54">
        <f t="array" ref="B96">IF(A96&lt;&gt;"",IF(INDEX(techniques[detection rules for techique],MATCH(A96,techniques[name],0))&gt;=1,INDEX(techniques[detection rules for techique],MATCH(A96,techniques[name],0)),""),"")</f>
        <v/>
      </c>
      <c r="C96" s="45" t="n"/>
      <c r="D96" s="54">
        <f t="array" ref="D96">IF(C96&lt;&gt;"",IF(INDEX(techniques[detection rules for techique],MATCH(C96,techniques[name],0))&gt;=1,INDEX(techniques[detection rules for techique],MATCH(C96,techniques[name],0)),""),"")</f>
        <v/>
      </c>
      <c r="E96" s="45" t="n"/>
      <c r="F96" s="54">
        <f t="array" ref="F96">IF(E96&lt;&gt;"",IF(INDEX(techniques[detection rules for techique],MATCH(E96,techniques[name],0))&gt;=1,INDEX(techniques[detection rules for techique],MATCH(E96,techniques[name],0)),""),"")</f>
        <v/>
      </c>
      <c r="G96" s="45" t="n"/>
      <c r="H96" s="54">
        <f t="array" ref="H96">IF(G96&lt;&gt;"",IF(INDEX(techniques[detection rules for techique],MATCH(G96,techniques[name],0))&gt;=1,INDEX(techniques[detection rules for techique],MATCH(G96,techniques[name],0)),""),"")</f>
        <v/>
      </c>
      <c r="I96" s="45" t="inlineStr">
        <is>
          <t>Port Monitors (T1547.010)</t>
        </is>
      </c>
      <c r="J96" s="54">
        <f t="array" ref="J96">IF(I96&lt;&gt;"",IF(INDEX(techniques[detection rules for techique],MATCH(I96,techniques[name],0))&gt;=1,INDEX(techniques[detection rules for techique],MATCH(I96,techniques[name],0)),""),"")</f>
        <v/>
      </c>
      <c r="K96" s="45" t="inlineStr">
        <is>
          <t>TCC Manipulation (T1548.006)</t>
        </is>
      </c>
      <c r="L96" s="54">
        <f t="array" ref="L96">IF(K96&lt;&gt;"",IF(INDEX(techniques[detection rules for techique],MATCH(K96,techniques[name],0))&gt;=1,INDEX(techniques[detection rules for techique],MATCH(K96,techniques[name],0)),""),"")</f>
        <v/>
      </c>
      <c r="M96" s="45" t="inlineStr">
        <is>
          <t>MMC (T1218.014)</t>
        </is>
      </c>
      <c r="N96" s="54">
        <f t="array" ref="N96">IF(M96&lt;&gt;"",IF(INDEX(techniques[detection rules for techique],MATCH(M96,techniques[name],0))&gt;=1,INDEX(techniques[detection rules for techique],MATCH(M96,techniques[name],0)),""),"")</f>
        <v/>
      </c>
      <c r="O96" s="45" t="n"/>
      <c r="P96" s="54">
        <f t="array" ref="P96">IF(O96&lt;&gt;"",IF(INDEX(techniques[detection rules for techique],MATCH(O96,techniques[name],0))&gt;=1,INDEX(techniques[detection rules for techique],MATCH(O96,techniques[name],0)),""),"")</f>
        <v/>
      </c>
      <c r="Q96" s="45" t="n"/>
      <c r="R96" s="54">
        <f t="array" ref="R96">IF(Q96&lt;&gt;"",IF(INDEX(techniques[detection rules for techique],MATCH(Q96,techniques[name],0))&gt;=1,INDEX(techniques[detection rules for techique],MATCH(Q96,techniques[name],0)),""),"")</f>
        <v/>
      </c>
      <c r="S96" s="45" t="n"/>
      <c r="T96" s="54">
        <f t="array" ref="T96">IF(S96&lt;&gt;"",IF(INDEX(techniques[detection rules for techique],MATCH(S96,techniques[name],0))&gt;=1,INDEX(techniques[detection rules for techique],MATCH(S96,techniques[name],0)),""),"")</f>
        <v/>
      </c>
      <c r="U96" s="45" t="n"/>
      <c r="V96" s="54">
        <f t="array" ref="V96">IF(U96&lt;&gt;"",IF(INDEX(techniques[detection rules for techique],MATCH(U96,techniques[name],0))&gt;=1,INDEX(techniques[detection rules for techique],MATCH(U96,techniques[name],0)),""),"")</f>
        <v/>
      </c>
      <c r="W96" s="45" t="n"/>
      <c r="X96" s="54">
        <f t="array" ref="X96">IF(W96&lt;&gt;"",IF(INDEX(techniques[detection rules for techique],MATCH(W96,techniques[name],0))&gt;=1,INDEX(techniques[detection rules for techique],MATCH(W96,techniques[name],0)),""),"")</f>
        <v/>
      </c>
      <c r="Y96" s="45" t="n"/>
      <c r="Z96" s="54">
        <f t="array" ref="Z96">IF(Y96&lt;&gt;"",IF(INDEX(techniques[detection rules for techique],MATCH(Y96,techniques[name],0))&gt;=1,INDEX(techniques[detection rules for techique],MATCH(Y96,techniques[name],0)),""),"")</f>
        <v/>
      </c>
      <c r="AA96" s="45" t="n"/>
      <c r="AB96" s="54">
        <f t="array" ref="AB96">IF(AA96&lt;&gt;"",IF(INDEX(techniques[detection rules for techique],MATCH(AA96,techniques[name],0))&gt;=1,INDEX(techniques[detection rules for techique],MATCH(AA96,techniques[name],0)),""),"")</f>
        <v/>
      </c>
      <c r="AC96" s="45" t="n"/>
      <c r="AD96" s="54">
        <f t="array" ref="AD96">IF(AC96&lt;&gt;"",IF(INDEX(techniques[detection rules for techique],MATCH(AC96,techniques[name],0))&gt;=1,INDEX(techniques[detection rules for techique],MATCH(AC96,techniques[name],0)),""),"")</f>
        <v/>
      </c>
    </row>
    <row r="97" ht="22.5" customHeight="1">
      <c r="A97" s="45" t="n"/>
      <c r="B97" s="54">
        <f t="array" ref="B97">IF(A97&lt;&gt;"",IF(INDEX(techniques[detection rules for techique],MATCH(A97,techniques[name],0))&gt;=1,INDEX(techniques[detection rules for techique],MATCH(A97,techniques[name],0)),""),"")</f>
        <v/>
      </c>
      <c r="C97" s="45" t="n"/>
      <c r="D97" s="54">
        <f t="array" ref="D97">IF(C97&lt;&gt;"",IF(INDEX(techniques[detection rules for techique],MATCH(C97,techniques[name],0))&gt;=1,INDEX(techniques[detection rules for techique],MATCH(C97,techniques[name],0)),""),"")</f>
        <v/>
      </c>
      <c r="E97" s="45" t="n"/>
      <c r="F97" s="54">
        <f t="array" ref="F97">IF(E97&lt;&gt;"",IF(INDEX(techniques[detection rules for techique],MATCH(E97,techniques[name],0))&gt;=1,INDEX(techniques[detection rules for techique],MATCH(E97,techniques[name],0)),""),"")</f>
        <v/>
      </c>
      <c r="G97" s="45" t="n"/>
      <c r="H97" s="54">
        <f t="array" ref="H97">IF(G97&lt;&gt;"",IF(INDEX(techniques[detection rules for techique],MATCH(G97,techniques[name],0))&gt;=1,INDEX(techniques[detection rules for techique],MATCH(G97,techniques[name],0)),""),"")</f>
        <v/>
      </c>
      <c r="I97" s="45" t="inlineStr">
        <is>
          <t>Print Processors (T1547.012)</t>
        </is>
      </c>
      <c r="J97" s="54">
        <f t="array" ref="J97">IF(I97&lt;&gt;"",IF(INDEX(techniques[detection rules for techique],MATCH(I97,techniques[name],0))&gt;=1,INDEX(techniques[detection rules for techique],MATCH(I97,techniques[name],0)),""),"")</f>
        <v/>
      </c>
      <c r="K97" s="45" t="inlineStr">
        <is>
          <t>Escape to Host (T1611)</t>
        </is>
      </c>
      <c r="L97" s="54">
        <f t="array" ref="L97">IF(K97&lt;&gt;"",IF(INDEX(techniques[detection rules for techique],MATCH(K97,techniques[name],0))&gt;=1,INDEX(techniques[detection rules for techique],MATCH(K97,techniques[name],0)),""),"")</f>
        <v/>
      </c>
      <c r="M97" s="45" t="inlineStr">
        <is>
          <t>Electron Applications (T1218.015)</t>
        </is>
      </c>
      <c r="N97" s="54">
        <f t="array" ref="N97">IF(M97&lt;&gt;"",IF(INDEX(techniques[detection rules for techique],MATCH(M97,techniques[name],0))&gt;=1,INDEX(techniques[detection rules for techique],MATCH(M97,techniques[name],0)),""),"")</f>
        <v/>
      </c>
      <c r="O97" s="45" t="n"/>
      <c r="P97" s="54">
        <f t="array" ref="P97">IF(O97&lt;&gt;"",IF(INDEX(techniques[detection rules for techique],MATCH(O97,techniques[name],0))&gt;=1,INDEX(techniques[detection rules for techique],MATCH(O97,techniques[name],0)),""),"")</f>
        <v/>
      </c>
      <c r="Q97" s="45" t="n"/>
      <c r="R97" s="54">
        <f t="array" ref="R97">IF(Q97&lt;&gt;"",IF(INDEX(techniques[detection rules for techique],MATCH(Q97,techniques[name],0))&gt;=1,INDEX(techniques[detection rules for techique],MATCH(Q97,techniques[name],0)),""),"")</f>
        <v/>
      </c>
      <c r="S97" s="45" t="n"/>
      <c r="T97" s="54">
        <f t="array" ref="T97">IF(S97&lt;&gt;"",IF(INDEX(techniques[detection rules for techique],MATCH(S97,techniques[name],0))&gt;=1,INDEX(techniques[detection rules for techique],MATCH(S97,techniques[name],0)),""),"")</f>
        <v/>
      </c>
      <c r="U97" s="45" t="n"/>
      <c r="V97" s="54">
        <f t="array" ref="V97">IF(U97&lt;&gt;"",IF(INDEX(techniques[detection rules for techique],MATCH(U97,techniques[name],0))&gt;=1,INDEX(techniques[detection rules for techique],MATCH(U97,techniques[name],0)),""),"")</f>
        <v/>
      </c>
      <c r="W97" s="45" t="n"/>
      <c r="X97" s="54">
        <f t="array" ref="X97">IF(W97&lt;&gt;"",IF(INDEX(techniques[detection rules for techique],MATCH(W97,techniques[name],0))&gt;=1,INDEX(techniques[detection rules for techique],MATCH(W97,techniques[name],0)),""),"")</f>
        <v/>
      </c>
      <c r="Y97" s="45" t="n"/>
      <c r="Z97" s="54">
        <f t="array" ref="Z97">IF(Y97&lt;&gt;"",IF(INDEX(techniques[detection rules for techique],MATCH(Y97,techniques[name],0))&gt;=1,INDEX(techniques[detection rules for techique],MATCH(Y97,techniques[name],0)),""),"")</f>
        <v/>
      </c>
      <c r="AA97" s="45" t="n"/>
      <c r="AB97" s="54">
        <f t="array" ref="AB97">IF(AA97&lt;&gt;"",IF(INDEX(techniques[detection rules for techique],MATCH(AA97,techniques[name],0))&gt;=1,INDEX(techniques[detection rules for techique],MATCH(AA97,techniques[name],0)),""),"")</f>
        <v/>
      </c>
      <c r="AC97" s="45" t="n"/>
      <c r="AD97" s="54">
        <f t="array" ref="AD97">IF(AC97&lt;&gt;"",IF(INDEX(techniques[detection rules for techique],MATCH(AC97,techniques[name],0))&gt;=1,INDEX(techniques[detection rules for techique],MATCH(AC97,techniques[name],0)),""),"")</f>
        <v/>
      </c>
    </row>
    <row r="98" ht="22.5" customHeight="1">
      <c r="A98" s="45" t="n"/>
      <c r="B98" s="54">
        <f t="array" ref="B98">IF(A98&lt;&gt;"",IF(INDEX(techniques[detection rules for techique],MATCH(A98,techniques[name],0))&gt;=1,INDEX(techniques[detection rules for techique],MATCH(A98,techniques[name],0)),""),"")</f>
        <v/>
      </c>
      <c r="C98" s="45" t="n"/>
      <c r="D98" s="54">
        <f t="array" ref="D98">IF(C98&lt;&gt;"",IF(INDEX(techniques[detection rules for techique],MATCH(C98,techniques[name],0))&gt;=1,INDEX(techniques[detection rules for techique],MATCH(C98,techniques[name],0)),""),"")</f>
        <v/>
      </c>
      <c r="E98" s="45" t="n"/>
      <c r="F98" s="54">
        <f t="array" ref="F98">IF(E98&lt;&gt;"",IF(INDEX(techniques[detection rules for techique],MATCH(E98,techniques[name],0))&gt;=1,INDEX(techniques[detection rules for techique],MATCH(E98,techniques[name],0)),""),"")</f>
        <v/>
      </c>
      <c r="G98" s="45" t="n"/>
      <c r="H98" s="54">
        <f t="array" ref="H98">IF(G98&lt;&gt;"",IF(INDEX(techniques[detection rules for techique],MATCH(G98,techniques[name],0))&gt;=1,INDEX(techniques[detection rules for techique],MATCH(G98,techniques[name],0)),""),"")</f>
        <v/>
      </c>
      <c r="I98" s="45" t="inlineStr">
        <is>
          <t>XDG Autostart Entries (T1547.013)</t>
        </is>
      </c>
      <c r="J98" s="54">
        <f t="array" ref="J98">IF(I98&lt;&gt;"",IF(INDEX(techniques[detection rules for techique],MATCH(I98,techniques[name],0))&gt;=1,INDEX(techniques[detection rules for techique],MATCH(I98,techniques[name],0)),""),"")</f>
        <v/>
      </c>
      <c r="K98" s="45" t="n"/>
      <c r="L98" s="54">
        <f t="array" ref="L98">IF(K98&lt;&gt;"",IF(INDEX(techniques[detection rules for techique],MATCH(K98,techniques[name],0))&gt;=1,INDEX(techniques[detection rules for techique],MATCH(K98,techniques[name],0)),""),"")</f>
        <v/>
      </c>
      <c r="M98" s="45" t="inlineStr">
        <is>
          <t>XSL Script Processing (T1220)</t>
        </is>
      </c>
      <c r="N98" s="54">
        <f t="array" ref="N98">IF(M98&lt;&gt;"",IF(INDEX(techniques[detection rules for techique],MATCH(M98,techniques[name],0))&gt;=1,INDEX(techniques[detection rules for techique],MATCH(M98,techniques[name],0)),""),"")</f>
        <v/>
      </c>
      <c r="O98" s="45" t="n"/>
      <c r="P98" s="54">
        <f t="array" ref="P98">IF(O98&lt;&gt;"",IF(INDEX(techniques[detection rules for techique],MATCH(O98,techniques[name],0))&gt;=1,INDEX(techniques[detection rules for techique],MATCH(O98,techniques[name],0)),""),"")</f>
        <v/>
      </c>
      <c r="Q98" s="45" t="n"/>
      <c r="R98" s="54">
        <f t="array" ref="R98">IF(Q98&lt;&gt;"",IF(INDEX(techniques[detection rules for techique],MATCH(Q98,techniques[name],0))&gt;=1,INDEX(techniques[detection rules for techique],MATCH(Q98,techniques[name],0)),""),"")</f>
        <v/>
      </c>
      <c r="S98" s="45" t="n"/>
      <c r="T98" s="54">
        <f t="array" ref="T98">IF(S98&lt;&gt;"",IF(INDEX(techniques[detection rules for techique],MATCH(S98,techniques[name],0))&gt;=1,INDEX(techniques[detection rules for techique],MATCH(S98,techniques[name],0)),""),"")</f>
        <v/>
      </c>
      <c r="U98" s="45" t="n"/>
      <c r="V98" s="54">
        <f t="array" ref="V98">IF(U98&lt;&gt;"",IF(INDEX(techniques[detection rules for techique],MATCH(U98,techniques[name],0))&gt;=1,INDEX(techniques[detection rules for techique],MATCH(U98,techniques[name],0)),""),"")</f>
        <v/>
      </c>
      <c r="W98" s="45" t="n"/>
      <c r="X98" s="54">
        <f t="array" ref="X98">IF(W98&lt;&gt;"",IF(INDEX(techniques[detection rules for techique],MATCH(W98,techniques[name],0))&gt;=1,INDEX(techniques[detection rules for techique],MATCH(W98,techniques[name],0)),""),"")</f>
        <v/>
      </c>
      <c r="Y98" s="45" t="n"/>
      <c r="Z98" s="54">
        <f t="array" ref="Z98">IF(Y98&lt;&gt;"",IF(INDEX(techniques[detection rules for techique],MATCH(Y98,techniques[name],0))&gt;=1,INDEX(techniques[detection rules for techique],MATCH(Y98,techniques[name],0)),""),"")</f>
        <v/>
      </c>
      <c r="AA98" s="45" t="n"/>
      <c r="AB98" s="54">
        <f t="array" ref="AB98">IF(AA98&lt;&gt;"",IF(INDEX(techniques[detection rules for techique],MATCH(AA98,techniques[name],0))&gt;=1,INDEX(techniques[detection rules for techique],MATCH(AA98,techniques[name],0)),""),"")</f>
        <v/>
      </c>
      <c r="AC98" s="45" t="n"/>
      <c r="AD98" s="54">
        <f t="array" ref="AD98">IF(AC98&lt;&gt;"",IF(INDEX(techniques[detection rules for techique],MATCH(AC98,techniques[name],0))&gt;=1,INDEX(techniques[detection rules for techique],MATCH(AC98,techniques[name],0)),""),"")</f>
        <v/>
      </c>
    </row>
    <row r="99" ht="22.5" customHeight="1">
      <c r="A99" s="45" t="n"/>
      <c r="B99" s="54">
        <f t="array" ref="B99">IF(A99&lt;&gt;"",IF(INDEX(techniques[detection rules for techique],MATCH(A99,techniques[name],0))&gt;=1,INDEX(techniques[detection rules for techique],MATCH(A99,techniques[name],0)),""),"")</f>
        <v/>
      </c>
      <c r="C99" s="45" t="n"/>
      <c r="D99" s="54">
        <f t="array" ref="D99">IF(C99&lt;&gt;"",IF(INDEX(techniques[detection rules for techique],MATCH(C99,techniques[name],0))&gt;=1,INDEX(techniques[detection rules for techique],MATCH(C99,techniques[name],0)),""),"")</f>
        <v/>
      </c>
      <c r="E99" s="45" t="n"/>
      <c r="F99" s="54">
        <f t="array" ref="F99">IF(E99&lt;&gt;"",IF(INDEX(techniques[detection rules for techique],MATCH(E99,techniques[name],0))&gt;=1,INDEX(techniques[detection rules for techique],MATCH(E99,techniques[name],0)),""),"")</f>
        <v/>
      </c>
      <c r="G99" s="45" t="n"/>
      <c r="H99" s="54">
        <f t="array" ref="H99">IF(G99&lt;&gt;"",IF(INDEX(techniques[detection rules for techique],MATCH(G99,techniques[name],0))&gt;=1,INDEX(techniques[detection rules for techique],MATCH(G99,techniques[name],0)),""),"")</f>
        <v/>
      </c>
      <c r="I99" s="45" t="inlineStr">
        <is>
          <t>Active Setup (T1547.014)</t>
        </is>
      </c>
      <c r="J99" s="54">
        <f t="array" ref="J99">IF(I99&lt;&gt;"",IF(INDEX(techniques[detection rules for techique],MATCH(I99,techniques[name],0))&gt;=1,INDEX(techniques[detection rules for techique],MATCH(I99,techniques[name],0)),""),"")</f>
        <v/>
      </c>
      <c r="K99" s="45" t="n"/>
      <c r="L99" s="54">
        <f t="array" ref="L99">IF(K99&lt;&gt;"",IF(INDEX(techniques[detection rules for techique],MATCH(K99,techniques[name],0))&gt;=1,INDEX(techniques[detection rules for techique],MATCH(K99,techniques[name],0)),""),"")</f>
        <v/>
      </c>
      <c r="M99" s="45" t="inlineStr">
        <is>
          <t>Template Injection (T1221)</t>
        </is>
      </c>
      <c r="N99" s="54">
        <f t="array" ref="N99">IF(M99&lt;&gt;"",IF(INDEX(techniques[detection rules for techique],MATCH(M99,techniques[name],0))&gt;=1,INDEX(techniques[detection rules for techique],MATCH(M99,techniques[name],0)),""),"")</f>
        <v/>
      </c>
      <c r="O99" s="45" t="n"/>
      <c r="P99" s="54">
        <f t="array" ref="P99">IF(O99&lt;&gt;"",IF(INDEX(techniques[detection rules for techique],MATCH(O99,techniques[name],0))&gt;=1,INDEX(techniques[detection rules for techique],MATCH(O99,techniques[name],0)),""),"")</f>
        <v/>
      </c>
      <c r="Q99" s="45" t="n"/>
      <c r="R99" s="54">
        <f t="array" ref="R99">IF(Q99&lt;&gt;"",IF(INDEX(techniques[detection rules for techique],MATCH(Q99,techniques[name],0))&gt;=1,INDEX(techniques[detection rules for techique],MATCH(Q99,techniques[name],0)),""),"")</f>
        <v/>
      </c>
      <c r="S99" s="45" t="n"/>
      <c r="T99" s="54">
        <f t="array" ref="T99">IF(S99&lt;&gt;"",IF(INDEX(techniques[detection rules for techique],MATCH(S99,techniques[name],0))&gt;=1,INDEX(techniques[detection rules for techique],MATCH(S99,techniques[name],0)),""),"")</f>
        <v/>
      </c>
      <c r="U99" s="45" t="n"/>
      <c r="V99" s="54">
        <f t="array" ref="V99">IF(U99&lt;&gt;"",IF(INDEX(techniques[detection rules for techique],MATCH(U99,techniques[name],0))&gt;=1,INDEX(techniques[detection rules for techique],MATCH(U99,techniques[name],0)),""),"")</f>
        <v/>
      </c>
      <c r="W99" s="45" t="n"/>
      <c r="X99" s="54">
        <f t="array" ref="X99">IF(W99&lt;&gt;"",IF(INDEX(techniques[detection rules for techique],MATCH(W99,techniques[name],0))&gt;=1,INDEX(techniques[detection rules for techique],MATCH(W99,techniques[name],0)),""),"")</f>
        <v/>
      </c>
      <c r="Y99" s="45" t="n"/>
      <c r="Z99" s="54">
        <f t="array" ref="Z99">IF(Y99&lt;&gt;"",IF(INDEX(techniques[detection rules for techique],MATCH(Y99,techniques[name],0))&gt;=1,INDEX(techniques[detection rules for techique],MATCH(Y99,techniques[name],0)),""),"")</f>
        <v/>
      </c>
      <c r="AA99" s="45" t="n"/>
      <c r="AB99" s="54">
        <f t="array" ref="AB99">IF(AA99&lt;&gt;"",IF(INDEX(techniques[detection rules for techique],MATCH(AA99,techniques[name],0))&gt;=1,INDEX(techniques[detection rules for techique],MATCH(AA99,techniques[name],0)),""),"")</f>
        <v/>
      </c>
      <c r="AC99" s="45" t="n"/>
      <c r="AD99" s="54">
        <f t="array" ref="AD99">IF(AC99&lt;&gt;"",IF(INDEX(techniques[detection rules for techique],MATCH(AC99,techniques[name],0))&gt;=1,INDEX(techniques[detection rules for techique],MATCH(AC99,techniques[name],0)),""),"")</f>
        <v/>
      </c>
    </row>
    <row r="100" ht="22.5" customHeight="1">
      <c r="A100" s="45" t="n"/>
      <c r="B100" s="54">
        <f t="array" ref="B100">IF(A100&lt;&gt;"",IF(INDEX(techniques[detection rules for techique],MATCH(A100,techniques[name],0))&gt;=1,INDEX(techniques[detection rules for techique],MATCH(A100,techniques[name],0)),""),"")</f>
        <v/>
      </c>
      <c r="C100" s="45" t="n"/>
      <c r="D100" s="54">
        <f t="array" ref="D100">IF(C100&lt;&gt;"",IF(INDEX(techniques[detection rules for techique],MATCH(C100,techniques[name],0))&gt;=1,INDEX(techniques[detection rules for techique],MATCH(C100,techniques[name],0)),""),"")</f>
        <v/>
      </c>
      <c r="E100" s="45" t="n"/>
      <c r="F100" s="54">
        <f t="array" ref="F100">IF(E100&lt;&gt;"",IF(INDEX(techniques[detection rules for techique],MATCH(E100,techniques[name],0))&gt;=1,INDEX(techniques[detection rules for techique],MATCH(E100,techniques[name],0)),""),"")</f>
        <v/>
      </c>
      <c r="G100" s="45" t="n"/>
      <c r="H100" s="54">
        <f t="array" ref="H100">IF(G100&lt;&gt;"",IF(INDEX(techniques[detection rules for techique],MATCH(G100,techniques[name],0))&gt;=1,INDEX(techniques[detection rules for techique],MATCH(G100,techniques[name],0)),""),"")</f>
        <v/>
      </c>
      <c r="I100" s="45" t="inlineStr">
        <is>
          <t>Login Items (T1547.015)</t>
        </is>
      </c>
      <c r="J100" s="54">
        <f t="array" ref="J100">IF(I100&lt;&gt;"",IF(INDEX(techniques[detection rules for techique],MATCH(I100,techniques[name],0))&gt;=1,INDEX(techniques[detection rules for techique],MATCH(I100,techniques[name],0)),""),"")</f>
        <v/>
      </c>
      <c r="K100" s="45" t="n"/>
      <c r="L100" s="54">
        <f t="array" ref="L100">IF(K100&lt;&gt;"",IF(INDEX(techniques[detection rules for techique],MATCH(K100,techniques[name],0))&gt;=1,INDEX(techniques[detection rules for techique],MATCH(K100,techniques[name],0)),""),"")</f>
        <v/>
      </c>
      <c r="M100" s="45" t="inlineStr">
        <is>
          <t>Execution Guardrails (T1480)</t>
        </is>
      </c>
      <c r="N100" s="54">
        <f t="array" ref="N100">IF(M100&lt;&gt;"",IF(INDEX(techniques[detection rules for techique],MATCH(M100,techniques[name],0))&gt;=1,INDEX(techniques[detection rules for techique],MATCH(M100,techniques[name],0)),""),"")</f>
        <v/>
      </c>
      <c r="O100" s="45" t="n"/>
      <c r="P100" s="54">
        <f t="array" ref="P100">IF(O100&lt;&gt;"",IF(INDEX(techniques[detection rules for techique],MATCH(O100,techniques[name],0))&gt;=1,INDEX(techniques[detection rules for techique],MATCH(O100,techniques[name],0)),""),"")</f>
        <v/>
      </c>
      <c r="Q100" s="45" t="n"/>
      <c r="R100" s="54">
        <f t="array" ref="R100">IF(Q100&lt;&gt;"",IF(INDEX(techniques[detection rules for techique],MATCH(Q100,techniques[name],0))&gt;=1,INDEX(techniques[detection rules for techique],MATCH(Q100,techniques[name],0)),""),"")</f>
        <v/>
      </c>
      <c r="S100" s="45" t="n"/>
      <c r="T100" s="54">
        <f t="array" ref="T100">IF(S100&lt;&gt;"",IF(INDEX(techniques[detection rules for techique],MATCH(S100,techniques[name],0))&gt;=1,INDEX(techniques[detection rules for techique],MATCH(S100,techniques[name],0)),""),"")</f>
        <v/>
      </c>
      <c r="U100" s="45" t="n"/>
      <c r="V100" s="54">
        <f t="array" ref="V100">IF(U100&lt;&gt;"",IF(INDEX(techniques[detection rules for techique],MATCH(U100,techniques[name],0))&gt;=1,INDEX(techniques[detection rules for techique],MATCH(U100,techniques[name],0)),""),"")</f>
        <v/>
      </c>
      <c r="W100" s="45" t="n"/>
      <c r="X100" s="54">
        <f t="array" ref="X100">IF(W100&lt;&gt;"",IF(INDEX(techniques[detection rules for techique],MATCH(W100,techniques[name],0))&gt;=1,INDEX(techniques[detection rules for techique],MATCH(W100,techniques[name],0)),""),"")</f>
        <v/>
      </c>
      <c r="Y100" s="45" t="n"/>
      <c r="Z100" s="54">
        <f t="array" ref="Z100">IF(Y100&lt;&gt;"",IF(INDEX(techniques[detection rules for techique],MATCH(Y100,techniques[name],0))&gt;=1,INDEX(techniques[detection rules for techique],MATCH(Y100,techniques[name],0)),""),"")</f>
        <v/>
      </c>
      <c r="AA100" s="45" t="n"/>
      <c r="AB100" s="54">
        <f t="array" ref="AB100">IF(AA100&lt;&gt;"",IF(INDEX(techniques[detection rules for techique],MATCH(AA100,techniques[name],0))&gt;=1,INDEX(techniques[detection rules for techique],MATCH(AA100,techniques[name],0)),""),"")</f>
        <v/>
      </c>
      <c r="AC100" s="45" t="n"/>
      <c r="AD100" s="54">
        <f t="array" ref="AD100">IF(AC100&lt;&gt;"",IF(INDEX(techniques[detection rules for techique],MATCH(AC100,techniques[name],0))&gt;=1,INDEX(techniques[detection rules for techique],MATCH(AC100,techniques[name],0)),""),"")</f>
        <v/>
      </c>
    </row>
    <row r="101" ht="22.5" customHeight="1">
      <c r="A101" s="45" t="n"/>
      <c r="B101" s="54">
        <f t="array" ref="B101">IF(A101&lt;&gt;"",IF(INDEX(techniques[detection rules for techique],MATCH(A101,techniques[name],0))&gt;=1,INDEX(techniques[detection rules for techique],MATCH(A101,techniques[name],0)),""),"")</f>
        <v/>
      </c>
      <c r="C101" s="45" t="n"/>
      <c r="D101" s="54">
        <f t="array" ref="D101">IF(C101&lt;&gt;"",IF(INDEX(techniques[detection rules for techique],MATCH(C101,techniques[name],0))&gt;=1,INDEX(techniques[detection rules for techique],MATCH(C101,techniques[name],0)),""),"")</f>
        <v/>
      </c>
      <c r="E101" s="45" t="n"/>
      <c r="F101" s="54">
        <f t="array" ref="F101">IF(E101&lt;&gt;"",IF(INDEX(techniques[detection rules for techique],MATCH(E101,techniques[name],0))&gt;=1,INDEX(techniques[detection rules for techique],MATCH(E101,techniques[name],0)),""),"")</f>
        <v/>
      </c>
      <c r="G101" s="45" t="n"/>
      <c r="H101" s="54">
        <f t="array" ref="H101">IF(G101&lt;&gt;"",IF(INDEX(techniques[detection rules for techique],MATCH(G101,techniques[name],0))&gt;=1,INDEX(techniques[detection rules for techique],MATCH(G101,techniques[name],0)),""),"")</f>
        <v/>
      </c>
      <c r="I101" s="45" t="inlineStr">
        <is>
          <t>Compromise Host Software Binary (T1554)</t>
        </is>
      </c>
      <c r="J101" s="54">
        <f t="array" ref="J101">IF(I101&lt;&gt;"",IF(INDEX(techniques[detection rules for techique],MATCH(I101,techniques[name],0))&gt;=1,INDEX(techniques[detection rules for techique],MATCH(I101,techniques[name],0)),""),"")</f>
        <v/>
      </c>
      <c r="K101" s="45" t="n"/>
      <c r="L101" s="54">
        <f t="array" ref="L101">IF(K101&lt;&gt;"",IF(INDEX(techniques[detection rules for techique],MATCH(K101,techniques[name],0))&gt;=1,INDEX(techniques[detection rules for techique],MATCH(K101,techniques[name],0)),""),"")</f>
        <v/>
      </c>
      <c r="M101" s="45" t="inlineStr">
        <is>
          <t>Environmental Keying (T1480.001)</t>
        </is>
      </c>
      <c r="N101" s="54">
        <f t="array" ref="N101">IF(M101&lt;&gt;"",IF(INDEX(techniques[detection rules for techique],MATCH(M101,techniques[name],0))&gt;=1,INDEX(techniques[detection rules for techique],MATCH(M101,techniques[name],0)),""),"")</f>
        <v/>
      </c>
      <c r="O101" s="45" t="n"/>
      <c r="P101" s="54">
        <f t="array" ref="P101">IF(O101&lt;&gt;"",IF(INDEX(techniques[detection rules for techique],MATCH(O101,techniques[name],0))&gt;=1,INDEX(techniques[detection rules for techique],MATCH(O101,techniques[name],0)),""),"")</f>
        <v/>
      </c>
      <c r="Q101" s="45" t="n"/>
      <c r="R101" s="54">
        <f t="array" ref="R101">IF(Q101&lt;&gt;"",IF(INDEX(techniques[detection rules for techique],MATCH(Q101,techniques[name],0))&gt;=1,INDEX(techniques[detection rules for techique],MATCH(Q101,techniques[name],0)),""),"")</f>
        <v/>
      </c>
      <c r="S101" s="45" t="n"/>
      <c r="T101" s="54">
        <f t="array" ref="T101">IF(S101&lt;&gt;"",IF(INDEX(techniques[detection rules for techique],MATCH(S101,techniques[name],0))&gt;=1,INDEX(techniques[detection rules for techique],MATCH(S101,techniques[name],0)),""),"")</f>
        <v/>
      </c>
      <c r="U101" s="45" t="n"/>
      <c r="V101" s="54">
        <f t="array" ref="V101">IF(U101&lt;&gt;"",IF(INDEX(techniques[detection rules for techique],MATCH(U101,techniques[name],0))&gt;=1,INDEX(techniques[detection rules for techique],MATCH(U101,techniques[name],0)),""),"")</f>
        <v/>
      </c>
      <c r="W101" s="45" t="n"/>
      <c r="X101" s="54">
        <f t="array" ref="X101">IF(W101&lt;&gt;"",IF(INDEX(techniques[detection rules for techique],MATCH(W101,techniques[name],0))&gt;=1,INDEX(techniques[detection rules for techique],MATCH(W101,techniques[name],0)),""),"")</f>
        <v/>
      </c>
      <c r="Y101" s="45" t="n"/>
      <c r="Z101" s="54">
        <f t="array" ref="Z101">IF(Y101&lt;&gt;"",IF(INDEX(techniques[detection rules for techique],MATCH(Y101,techniques[name],0))&gt;=1,INDEX(techniques[detection rules for techique],MATCH(Y101,techniques[name],0)),""),"")</f>
        <v/>
      </c>
      <c r="AA101" s="45" t="n"/>
      <c r="AB101" s="54">
        <f t="array" ref="AB101">IF(AA101&lt;&gt;"",IF(INDEX(techniques[detection rules for techique],MATCH(AA101,techniques[name],0))&gt;=1,INDEX(techniques[detection rules for techique],MATCH(AA101,techniques[name],0)),""),"")</f>
        <v/>
      </c>
      <c r="AC101" s="45" t="n"/>
      <c r="AD101" s="54">
        <f t="array" ref="AD101">IF(AC101&lt;&gt;"",IF(INDEX(techniques[detection rules for techique],MATCH(AC101,techniques[name],0))&gt;=1,INDEX(techniques[detection rules for techique],MATCH(AC101,techniques[name],0)),""),"")</f>
        <v/>
      </c>
    </row>
    <row r="102" ht="33.75" customHeight="1">
      <c r="A102" s="45" t="n"/>
      <c r="B102" s="54">
        <f t="array" ref="B102">IF(A102&lt;&gt;"",IF(INDEX(techniques[detection rules for techique],MATCH(A102,techniques[name],0))&gt;=1,INDEX(techniques[detection rules for techique],MATCH(A102,techniques[name],0)),""),"")</f>
        <v/>
      </c>
      <c r="C102" s="45" t="n"/>
      <c r="D102" s="54">
        <f t="array" ref="D102">IF(C102&lt;&gt;"",IF(INDEX(techniques[detection rules for techique],MATCH(C102,techniques[name],0))&gt;=1,INDEX(techniques[detection rules for techique],MATCH(C102,techniques[name],0)),""),"")</f>
        <v/>
      </c>
      <c r="E102" s="45" t="n"/>
      <c r="F102" s="54">
        <f t="array" ref="F102">IF(E102&lt;&gt;"",IF(INDEX(techniques[detection rules for techique],MATCH(E102,techniques[name],0))&gt;=1,INDEX(techniques[detection rules for techique],MATCH(E102,techniques[name],0)),""),"")</f>
        <v/>
      </c>
      <c r="G102" s="45" t="n"/>
      <c r="H102" s="54">
        <f t="array" ref="H102">IF(G102&lt;&gt;"",IF(INDEX(techniques[detection rules for techique],MATCH(G102,techniques[name],0))&gt;=1,INDEX(techniques[detection rules for techique],MATCH(G102,techniques[name],0)),""),"")</f>
        <v/>
      </c>
      <c r="I102" s="45" t="inlineStr">
        <is>
          <t>Modify Authentication Process (T1556)</t>
        </is>
      </c>
      <c r="J102" s="54">
        <f t="array" ref="J102">IF(I102&lt;&gt;"",IF(INDEX(techniques[detection rules for techique],MATCH(I102,techniques[name],0))&gt;=1,INDEX(techniques[detection rules for techique],MATCH(I102,techniques[name],0)),""),"")</f>
        <v/>
      </c>
      <c r="K102" s="45" t="n"/>
      <c r="L102" s="54">
        <f t="array" ref="L102">IF(K102&lt;&gt;"",IF(INDEX(techniques[detection rules for techique],MATCH(K102,techniques[name],0))&gt;=1,INDEX(techniques[detection rules for techique],MATCH(K102,techniques[name],0)),""),"")</f>
        <v/>
      </c>
      <c r="M102" s="45" t="inlineStr">
        <is>
          <t>Mutual Exclusion (T1480.002)</t>
        </is>
      </c>
      <c r="N102" s="54">
        <f t="array" ref="N102">IF(M102&lt;&gt;"",IF(INDEX(techniques[detection rules for techique],MATCH(M102,techniques[name],0))&gt;=1,INDEX(techniques[detection rules for techique],MATCH(M102,techniques[name],0)),""),"")</f>
        <v/>
      </c>
      <c r="O102" s="45" t="n"/>
      <c r="P102" s="54">
        <f t="array" ref="P102">IF(O102&lt;&gt;"",IF(INDEX(techniques[detection rules for techique],MATCH(O102,techniques[name],0))&gt;=1,INDEX(techniques[detection rules for techique],MATCH(O102,techniques[name],0)),""),"")</f>
        <v/>
      </c>
      <c r="Q102" s="45" t="n"/>
      <c r="R102" s="54">
        <f t="array" ref="R102">IF(Q102&lt;&gt;"",IF(INDEX(techniques[detection rules for techique],MATCH(Q102,techniques[name],0))&gt;=1,INDEX(techniques[detection rules for techique],MATCH(Q102,techniques[name],0)),""),"")</f>
        <v/>
      </c>
      <c r="S102" s="45" t="n"/>
      <c r="T102" s="54">
        <f t="array" ref="T102">IF(S102&lt;&gt;"",IF(INDEX(techniques[detection rules for techique],MATCH(S102,techniques[name],0))&gt;=1,INDEX(techniques[detection rules for techique],MATCH(S102,techniques[name],0)),""),"")</f>
        <v/>
      </c>
      <c r="U102" s="45" t="n"/>
      <c r="V102" s="54">
        <f t="array" ref="V102">IF(U102&lt;&gt;"",IF(INDEX(techniques[detection rules for techique],MATCH(U102,techniques[name],0))&gt;=1,INDEX(techniques[detection rules for techique],MATCH(U102,techniques[name],0)),""),"")</f>
        <v/>
      </c>
      <c r="W102" s="45" t="n"/>
      <c r="X102" s="54">
        <f t="array" ref="X102">IF(W102&lt;&gt;"",IF(INDEX(techniques[detection rules for techique],MATCH(W102,techniques[name],0))&gt;=1,INDEX(techniques[detection rules for techique],MATCH(W102,techniques[name],0)),""),"")</f>
        <v/>
      </c>
      <c r="Y102" s="45" t="n"/>
      <c r="Z102" s="54">
        <f t="array" ref="Z102">IF(Y102&lt;&gt;"",IF(INDEX(techniques[detection rules for techique],MATCH(Y102,techniques[name],0))&gt;=1,INDEX(techniques[detection rules for techique],MATCH(Y102,techniques[name],0)),""),"")</f>
        <v/>
      </c>
      <c r="AA102" s="45" t="n"/>
      <c r="AB102" s="54">
        <f t="array" ref="AB102">IF(AA102&lt;&gt;"",IF(INDEX(techniques[detection rules for techique],MATCH(AA102,techniques[name],0))&gt;=1,INDEX(techniques[detection rules for techique],MATCH(AA102,techniques[name],0)),""),"")</f>
        <v/>
      </c>
      <c r="AC102" s="45" t="n"/>
      <c r="AD102" s="54">
        <f t="array" ref="AD102">IF(AC102&lt;&gt;"",IF(INDEX(techniques[detection rules for techique],MATCH(AC102,techniques[name],0))&gt;=1,INDEX(techniques[detection rules for techique],MATCH(AC102,techniques[name],0)),""),"")</f>
        <v/>
      </c>
    </row>
    <row r="103" ht="33.75" customHeight="1">
      <c r="A103" s="45" t="n"/>
      <c r="B103" s="54">
        <f t="array" ref="B103">IF(A103&lt;&gt;"",IF(INDEX(techniques[detection rules for techique],MATCH(A103,techniques[name],0))&gt;=1,INDEX(techniques[detection rules for techique],MATCH(A103,techniques[name],0)),""),"")</f>
        <v/>
      </c>
      <c r="C103" s="45" t="n"/>
      <c r="D103" s="54">
        <f t="array" ref="D103">IF(C103&lt;&gt;"",IF(INDEX(techniques[detection rules for techique],MATCH(C103,techniques[name],0))&gt;=1,INDEX(techniques[detection rules for techique],MATCH(C103,techniques[name],0)),""),"")</f>
        <v/>
      </c>
      <c r="E103" s="45" t="n"/>
      <c r="F103" s="54">
        <f t="array" ref="F103">IF(E103&lt;&gt;"",IF(INDEX(techniques[detection rules for techique],MATCH(E103,techniques[name],0))&gt;=1,INDEX(techniques[detection rules for techique],MATCH(E103,techniques[name],0)),""),"")</f>
        <v/>
      </c>
      <c r="G103" s="45" t="n"/>
      <c r="H103" s="54">
        <f t="array" ref="H103">IF(G103&lt;&gt;"",IF(INDEX(techniques[detection rules for techique],MATCH(G103,techniques[name],0))&gt;=1,INDEX(techniques[detection rules for techique],MATCH(G103,techniques[name],0)),""),"")</f>
        <v/>
      </c>
      <c r="I103" s="45" t="inlineStr">
        <is>
          <t>Domain Controller Authentication (T1556.001)</t>
        </is>
      </c>
      <c r="J103" s="54">
        <f t="array" ref="J103">IF(I103&lt;&gt;"",IF(INDEX(techniques[detection rules for techique],MATCH(I103,techniques[name],0))&gt;=1,INDEX(techniques[detection rules for techique],MATCH(I103,techniques[name],0)),""),"")</f>
        <v/>
      </c>
      <c r="K103" s="45" t="n"/>
      <c r="L103" s="54">
        <f t="array" ref="L103">IF(K103&lt;&gt;"",IF(INDEX(techniques[detection rules for techique],MATCH(K103,techniques[name],0))&gt;=1,INDEX(techniques[detection rules for techique],MATCH(K103,techniques[name],0)),""),"")</f>
        <v/>
      </c>
      <c r="M103" s="45" t="inlineStr">
        <is>
          <t>Virtualization/Sandbox Evasion (T1497)</t>
        </is>
      </c>
      <c r="N103" s="54">
        <f t="array" ref="N103">IF(M103&lt;&gt;"",IF(INDEX(techniques[detection rules for techique],MATCH(M103,techniques[name],0))&gt;=1,INDEX(techniques[detection rules for techique],MATCH(M103,techniques[name],0)),""),"")</f>
        <v/>
      </c>
      <c r="O103" s="45" t="n"/>
      <c r="P103" s="54">
        <f t="array" ref="P103">IF(O103&lt;&gt;"",IF(INDEX(techniques[detection rules for techique],MATCH(O103,techniques[name],0))&gt;=1,INDEX(techniques[detection rules for techique],MATCH(O103,techniques[name],0)),""),"")</f>
        <v/>
      </c>
      <c r="Q103" s="45" t="n"/>
      <c r="R103" s="54">
        <f t="array" ref="R103">IF(Q103&lt;&gt;"",IF(INDEX(techniques[detection rules for techique],MATCH(Q103,techniques[name],0))&gt;=1,INDEX(techniques[detection rules for techique],MATCH(Q103,techniques[name],0)),""),"")</f>
        <v/>
      </c>
      <c r="S103" s="45" t="n"/>
      <c r="T103" s="54">
        <f t="array" ref="T103">IF(S103&lt;&gt;"",IF(INDEX(techniques[detection rules for techique],MATCH(S103,techniques[name],0))&gt;=1,INDEX(techniques[detection rules for techique],MATCH(S103,techniques[name],0)),""),"")</f>
        <v/>
      </c>
      <c r="U103" s="45" t="n"/>
      <c r="V103" s="54">
        <f t="array" ref="V103">IF(U103&lt;&gt;"",IF(INDEX(techniques[detection rules for techique],MATCH(U103,techniques[name],0))&gt;=1,INDEX(techniques[detection rules for techique],MATCH(U103,techniques[name],0)),""),"")</f>
        <v/>
      </c>
      <c r="W103" s="45" t="n"/>
      <c r="X103" s="54">
        <f t="array" ref="X103">IF(W103&lt;&gt;"",IF(INDEX(techniques[detection rules for techique],MATCH(W103,techniques[name],0))&gt;=1,INDEX(techniques[detection rules for techique],MATCH(W103,techniques[name],0)),""),"")</f>
        <v/>
      </c>
      <c r="Y103" s="45" t="n"/>
      <c r="Z103" s="54">
        <f t="array" ref="Z103">IF(Y103&lt;&gt;"",IF(INDEX(techniques[detection rules for techique],MATCH(Y103,techniques[name],0))&gt;=1,INDEX(techniques[detection rules for techique],MATCH(Y103,techniques[name],0)),""),"")</f>
        <v/>
      </c>
      <c r="AA103" s="45" t="n"/>
      <c r="AB103" s="54">
        <f t="array" ref="AB103">IF(AA103&lt;&gt;"",IF(INDEX(techniques[detection rules for techique],MATCH(AA103,techniques[name],0))&gt;=1,INDEX(techniques[detection rules for techique],MATCH(AA103,techniques[name],0)),""),"")</f>
        <v/>
      </c>
      <c r="AC103" s="45" t="n"/>
      <c r="AD103" s="54">
        <f t="array" ref="AD103">IF(AC103&lt;&gt;"",IF(INDEX(techniques[detection rules for techique],MATCH(AC103,techniques[name],0))&gt;=1,INDEX(techniques[detection rules for techique],MATCH(AC103,techniques[name],0)),""),"")</f>
        <v/>
      </c>
    </row>
    <row r="104">
      <c r="A104" s="45" t="n"/>
      <c r="B104" s="54">
        <f t="array" ref="B104">IF(A104&lt;&gt;"",IF(INDEX(techniques[detection rules for techique],MATCH(A104,techniques[name],0))&gt;=1,INDEX(techniques[detection rules for techique],MATCH(A104,techniques[name],0)),""),"")</f>
        <v/>
      </c>
      <c r="C104" s="45" t="n"/>
      <c r="D104" s="54">
        <f t="array" ref="D104">IF(C104&lt;&gt;"",IF(INDEX(techniques[detection rules for techique],MATCH(C104,techniques[name],0))&gt;=1,INDEX(techniques[detection rules for techique],MATCH(C104,techniques[name],0)),""),"")</f>
        <v/>
      </c>
      <c r="E104" s="45" t="n"/>
      <c r="F104" s="54">
        <f t="array" ref="F104">IF(E104&lt;&gt;"",IF(INDEX(techniques[detection rules for techique],MATCH(E104,techniques[name],0))&gt;=1,INDEX(techniques[detection rules for techique],MATCH(E104,techniques[name],0)),""),"")</f>
        <v/>
      </c>
      <c r="G104" s="45" t="n"/>
      <c r="H104" s="54">
        <f t="array" ref="H104">IF(G104&lt;&gt;"",IF(INDEX(techniques[detection rules for techique],MATCH(G104,techniques[name],0))&gt;=1,INDEX(techniques[detection rules for techique],MATCH(G104,techniques[name],0)),""),"")</f>
        <v/>
      </c>
      <c r="I104" s="45" t="inlineStr">
        <is>
          <t>Password Filter DLL (T1556.002)</t>
        </is>
      </c>
      <c r="J104" s="54">
        <f t="array" ref="J104">IF(I104&lt;&gt;"",IF(INDEX(techniques[detection rules for techique],MATCH(I104,techniques[name],0))&gt;=1,INDEX(techniques[detection rules for techique],MATCH(I104,techniques[name],0)),""),"")</f>
        <v/>
      </c>
      <c r="K104" s="45" t="n"/>
      <c r="L104" s="54">
        <f t="array" ref="L104">IF(K104&lt;&gt;"",IF(INDEX(techniques[detection rules for techique],MATCH(K104,techniques[name],0))&gt;=1,INDEX(techniques[detection rules for techique],MATCH(K104,techniques[name],0)),""),"")</f>
        <v/>
      </c>
      <c r="M104" s="45" t="inlineStr">
        <is>
          <t>System Checks (T1497.001)</t>
        </is>
      </c>
      <c r="N104" s="54">
        <f t="array" ref="N104">IF(M104&lt;&gt;"",IF(INDEX(techniques[detection rules for techique],MATCH(M104,techniques[name],0))&gt;=1,INDEX(techniques[detection rules for techique],MATCH(M104,techniques[name],0)),""),"")</f>
        <v/>
      </c>
      <c r="O104" s="45" t="n"/>
      <c r="P104" s="54">
        <f t="array" ref="P104">IF(O104&lt;&gt;"",IF(INDEX(techniques[detection rules for techique],MATCH(O104,techniques[name],0))&gt;=1,INDEX(techniques[detection rules for techique],MATCH(O104,techniques[name],0)),""),"")</f>
        <v/>
      </c>
      <c r="Q104" s="45" t="n"/>
      <c r="R104" s="54">
        <f t="array" ref="R104">IF(Q104&lt;&gt;"",IF(INDEX(techniques[detection rules for techique],MATCH(Q104,techniques[name],0))&gt;=1,INDEX(techniques[detection rules for techique],MATCH(Q104,techniques[name],0)),""),"")</f>
        <v/>
      </c>
      <c r="S104" s="45" t="n"/>
      <c r="T104" s="54">
        <f t="array" ref="T104">IF(S104&lt;&gt;"",IF(INDEX(techniques[detection rules for techique],MATCH(S104,techniques[name],0))&gt;=1,INDEX(techniques[detection rules for techique],MATCH(S104,techniques[name],0)),""),"")</f>
        <v/>
      </c>
      <c r="U104" s="45" t="n"/>
      <c r="V104" s="54">
        <f t="array" ref="V104">IF(U104&lt;&gt;"",IF(INDEX(techniques[detection rules for techique],MATCH(U104,techniques[name],0))&gt;=1,INDEX(techniques[detection rules for techique],MATCH(U104,techniques[name],0)),""),"")</f>
        <v/>
      </c>
      <c r="W104" s="45" t="n"/>
      <c r="X104" s="54">
        <f t="array" ref="X104">IF(W104&lt;&gt;"",IF(INDEX(techniques[detection rules for techique],MATCH(W104,techniques[name],0))&gt;=1,INDEX(techniques[detection rules for techique],MATCH(W104,techniques[name],0)),""),"")</f>
        <v/>
      </c>
      <c r="Y104" s="45" t="n"/>
      <c r="Z104" s="54">
        <f t="array" ref="Z104">IF(Y104&lt;&gt;"",IF(INDEX(techniques[detection rules for techique],MATCH(Y104,techniques[name],0))&gt;=1,INDEX(techniques[detection rules for techique],MATCH(Y104,techniques[name],0)),""),"")</f>
        <v/>
      </c>
      <c r="AA104" s="45" t="n"/>
      <c r="AB104" s="54">
        <f t="array" ref="AB104">IF(AA104&lt;&gt;"",IF(INDEX(techniques[detection rules for techique],MATCH(AA104,techniques[name],0))&gt;=1,INDEX(techniques[detection rules for techique],MATCH(AA104,techniques[name],0)),""),"")</f>
        <v/>
      </c>
      <c r="AC104" s="45" t="n"/>
      <c r="AD104" s="54">
        <f t="array" ref="AD104">IF(AC104&lt;&gt;"",IF(INDEX(techniques[detection rules for techique],MATCH(AC104,techniques[name],0))&gt;=1,INDEX(techniques[detection rules for techique],MATCH(AC104,techniques[name],0)),""),"")</f>
        <v/>
      </c>
    </row>
    <row r="105">
      <c r="A105" s="45" t="n"/>
      <c r="B105" s="54">
        <f t="array" ref="B105">IF(A105&lt;&gt;"",IF(INDEX(techniques[detection rules for techique],MATCH(A105,techniques[name],0))&gt;=1,INDEX(techniques[detection rules for techique],MATCH(A105,techniques[name],0)),""),"")</f>
        <v/>
      </c>
      <c r="C105" s="45" t="n"/>
      <c r="D105" s="54">
        <f t="array" ref="D105">IF(C105&lt;&gt;"",IF(INDEX(techniques[detection rules for techique],MATCH(C105,techniques[name],0))&gt;=1,INDEX(techniques[detection rules for techique],MATCH(C105,techniques[name],0)),""),"")</f>
        <v/>
      </c>
      <c r="E105" s="45" t="n"/>
      <c r="F105" s="54">
        <f t="array" ref="F105">IF(E105&lt;&gt;"",IF(INDEX(techniques[detection rules for techique],MATCH(E105,techniques[name],0))&gt;=1,INDEX(techniques[detection rules for techique],MATCH(E105,techniques[name],0)),""),"")</f>
        <v/>
      </c>
      <c r="G105" s="45" t="n"/>
      <c r="H105" s="54">
        <f t="array" ref="H105">IF(G105&lt;&gt;"",IF(INDEX(techniques[detection rules for techique],MATCH(G105,techniques[name],0))&gt;=1,INDEX(techniques[detection rules for techique],MATCH(G105,techniques[name],0)),""),"")</f>
        <v/>
      </c>
      <c r="I105" s="45" t="inlineStr">
        <is>
          <t>Pluggable Authentication Modules (T1556.003)</t>
        </is>
      </c>
      <c r="J105" s="54">
        <f t="array" ref="J105">IF(I105&lt;&gt;"",IF(INDEX(techniques[detection rules for techique],MATCH(I105,techniques[name],0))&gt;=1,INDEX(techniques[detection rules for techique],MATCH(I105,techniques[name],0)),""),"")</f>
        <v/>
      </c>
      <c r="K105" s="45" t="n"/>
      <c r="L105" s="54">
        <f t="array" ref="L105">IF(K105&lt;&gt;"",IF(INDEX(techniques[detection rules for techique],MATCH(K105,techniques[name],0))&gt;=1,INDEX(techniques[detection rules for techique],MATCH(K105,techniques[name],0)),""),"")</f>
        <v/>
      </c>
      <c r="M105" s="45" t="inlineStr">
        <is>
          <t>User Activity Based Checks (T1497.002)</t>
        </is>
      </c>
      <c r="N105" s="54">
        <f t="array" ref="N105">IF(M105&lt;&gt;"",IF(INDEX(techniques[detection rules for techique],MATCH(M105,techniques[name],0))&gt;=1,INDEX(techniques[detection rules for techique],MATCH(M105,techniques[name],0)),""),"")</f>
        <v/>
      </c>
      <c r="O105" s="45" t="n"/>
      <c r="P105" s="54">
        <f t="array" ref="P105">IF(O105&lt;&gt;"",IF(INDEX(techniques[detection rules for techique],MATCH(O105,techniques[name],0))&gt;=1,INDEX(techniques[detection rules for techique],MATCH(O105,techniques[name],0)),""),"")</f>
        <v/>
      </c>
      <c r="Q105" s="45" t="n"/>
      <c r="R105" s="54">
        <f t="array" ref="R105">IF(Q105&lt;&gt;"",IF(INDEX(techniques[detection rules for techique],MATCH(Q105,techniques[name],0))&gt;=1,INDEX(techniques[detection rules for techique],MATCH(Q105,techniques[name],0)),""),"")</f>
        <v/>
      </c>
      <c r="S105" s="45" t="n"/>
      <c r="T105" s="54">
        <f t="array" ref="T105">IF(S105&lt;&gt;"",IF(INDEX(techniques[detection rules for techique],MATCH(S105,techniques[name],0))&gt;=1,INDEX(techniques[detection rules for techique],MATCH(S105,techniques[name],0)),""),"")</f>
        <v/>
      </c>
      <c r="U105" s="45" t="n"/>
      <c r="V105" s="54">
        <f t="array" ref="V105">IF(U105&lt;&gt;"",IF(INDEX(techniques[detection rules for techique],MATCH(U105,techniques[name],0))&gt;=1,INDEX(techniques[detection rules for techique],MATCH(U105,techniques[name],0)),""),"")</f>
        <v/>
      </c>
      <c r="W105" s="45" t="n"/>
      <c r="X105" s="54">
        <f t="array" ref="X105">IF(W105&lt;&gt;"",IF(INDEX(techniques[detection rules for techique],MATCH(W105,techniques[name],0))&gt;=1,INDEX(techniques[detection rules for techique],MATCH(W105,techniques[name],0)),""),"")</f>
        <v/>
      </c>
      <c r="Y105" s="45" t="n"/>
      <c r="Z105" s="54">
        <f t="array" ref="Z105">IF(Y105&lt;&gt;"",IF(INDEX(techniques[detection rules for techique],MATCH(Y105,techniques[name],0))&gt;=1,INDEX(techniques[detection rules for techique],MATCH(Y105,techniques[name],0)),""),"")</f>
        <v/>
      </c>
      <c r="AA105" s="45" t="n"/>
      <c r="AB105" s="54">
        <f t="array" ref="AB105">IF(AA105&lt;&gt;"",IF(INDEX(techniques[detection rules for techique],MATCH(AA105,techniques[name],0))&gt;=1,INDEX(techniques[detection rules for techique],MATCH(AA105,techniques[name],0)),""),"")</f>
        <v/>
      </c>
      <c r="AC105" s="45" t="n"/>
      <c r="AD105" s="54">
        <f t="array" ref="AD105">IF(AC105&lt;&gt;"",IF(INDEX(techniques[detection rules for techique],MATCH(AC105,techniques[name],0))&gt;=1,INDEX(techniques[detection rules for techique],MATCH(AC105,techniques[name],0)),""),"")</f>
        <v/>
      </c>
    </row>
    <row r="106" ht="22.5" customHeight="1">
      <c r="A106" s="45" t="n"/>
      <c r="B106" s="54">
        <f t="array" ref="B106">IF(A106&lt;&gt;"",IF(INDEX(techniques[detection rules for techique],MATCH(A106,techniques[name],0))&gt;=1,INDEX(techniques[detection rules for techique],MATCH(A106,techniques[name],0)),""),"")</f>
        <v/>
      </c>
      <c r="C106" s="45" t="n"/>
      <c r="D106" s="54">
        <f t="array" ref="D106">IF(C106&lt;&gt;"",IF(INDEX(techniques[detection rules for techique],MATCH(C106,techniques[name],0))&gt;=1,INDEX(techniques[detection rules for techique],MATCH(C106,techniques[name],0)),""),"")</f>
        <v/>
      </c>
      <c r="E106" s="45" t="n"/>
      <c r="F106" s="54">
        <f t="array" ref="F106">IF(E106&lt;&gt;"",IF(INDEX(techniques[detection rules for techique],MATCH(E106,techniques[name],0))&gt;=1,INDEX(techniques[detection rules for techique],MATCH(E106,techniques[name],0)),""),"")</f>
        <v/>
      </c>
      <c r="G106" s="45" t="n"/>
      <c r="H106" s="54">
        <f t="array" ref="H106">IF(G106&lt;&gt;"",IF(INDEX(techniques[detection rules for techique],MATCH(G106,techniques[name],0))&gt;=1,INDEX(techniques[detection rules for techique],MATCH(G106,techniques[name],0)),""),"")</f>
        <v/>
      </c>
      <c r="I106" s="45" t="inlineStr">
        <is>
          <t>Network Device Authentication (T1556.004)</t>
        </is>
      </c>
      <c r="J106" s="54">
        <f t="array" ref="J106">IF(I106&lt;&gt;"",IF(INDEX(techniques[detection rules for techique],MATCH(I106,techniques[name],0))&gt;=1,INDEX(techniques[detection rules for techique],MATCH(I106,techniques[name],0)),""),"")</f>
        <v/>
      </c>
      <c r="K106" s="45" t="n"/>
      <c r="L106" s="54">
        <f t="array" ref="L106">IF(K106&lt;&gt;"",IF(INDEX(techniques[detection rules for techique],MATCH(K106,techniques[name],0))&gt;=1,INDEX(techniques[detection rules for techique],MATCH(K106,techniques[name],0)),""),"")</f>
        <v/>
      </c>
      <c r="M106" s="45" t="inlineStr">
        <is>
          <t>Time Based Checks (T1497.003)</t>
        </is>
      </c>
      <c r="N106" s="54">
        <f t="array" ref="N106">IF(M106&lt;&gt;"",IF(INDEX(techniques[detection rules for techique],MATCH(M106,techniques[name],0))&gt;=1,INDEX(techniques[detection rules for techique],MATCH(M106,techniques[name],0)),""),"")</f>
        <v/>
      </c>
      <c r="O106" s="45" t="n"/>
      <c r="P106" s="54">
        <f t="array" ref="P106">IF(O106&lt;&gt;"",IF(INDEX(techniques[detection rules for techique],MATCH(O106,techniques[name],0))&gt;=1,INDEX(techniques[detection rules for techique],MATCH(O106,techniques[name],0)),""),"")</f>
        <v/>
      </c>
      <c r="Q106" s="45" t="n"/>
      <c r="R106" s="54">
        <f t="array" ref="R106">IF(Q106&lt;&gt;"",IF(INDEX(techniques[detection rules for techique],MATCH(Q106,techniques[name],0))&gt;=1,INDEX(techniques[detection rules for techique],MATCH(Q106,techniques[name],0)),""),"")</f>
        <v/>
      </c>
      <c r="S106" s="45" t="n"/>
      <c r="T106" s="54">
        <f t="array" ref="T106">IF(S106&lt;&gt;"",IF(INDEX(techniques[detection rules for techique],MATCH(S106,techniques[name],0))&gt;=1,INDEX(techniques[detection rules for techique],MATCH(S106,techniques[name],0)),""),"")</f>
        <v/>
      </c>
      <c r="U106" s="45" t="n"/>
      <c r="V106" s="54">
        <f t="array" ref="V106">IF(U106&lt;&gt;"",IF(INDEX(techniques[detection rules for techique],MATCH(U106,techniques[name],0))&gt;=1,INDEX(techniques[detection rules for techique],MATCH(U106,techniques[name],0)),""),"")</f>
        <v/>
      </c>
      <c r="W106" s="45" t="n"/>
      <c r="X106" s="54">
        <f t="array" ref="X106">IF(W106&lt;&gt;"",IF(INDEX(techniques[detection rules for techique],MATCH(W106,techniques[name],0))&gt;=1,INDEX(techniques[detection rules for techique],MATCH(W106,techniques[name],0)),""),"")</f>
        <v/>
      </c>
      <c r="Y106" s="45" t="n"/>
      <c r="Z106" s="54">
        <f t="array" ref="Z106">IF(Y106&lt;&gt;"",IF(INDEX(techniques[detection rules for techique],MATCH(Y106,techniques[name],0))&gt;=1,INDEX(techniques[detection rules for techique],MATCH(Y106,techniques[name],0)),""),"")</f>
        <v/>
      </c>
      <c r="AA106" s="45" t="n"/>
      <c r="AB106" s="54">
        <f t="array" ref="AB106">IF(AA106&lt;&gt;"",IF(INDEX(techniques[detection rules for techique],MATCH(AA106,techniques[name],0))&gt;=1,INDEX(techniques[detection rules for techique],MATCH(AA106,techniques[name],0)),""),"")</f>
        <v/>
      </c>
      <c r="AC106" s="45" t="n"/>
      <c r="AD106" s="54">
        <f t="array" ref="AD106">IF(AC106&lt;&gt;"",IF(INDEX(techniques[detection rules for techique],MATCH(AC106,techniques[name],0))&gt;=1,INDEX(techniques[detection rules for techique],MATCH(AC106,techniques[name],0)),""),"")</f>
        <v/>
      </c>
    </row>
    <row r="107" ht="22.5" customHeight="1">
      <c r="A107" s="45" t="n"/>
      <c r="B107" s="54">
        <f t="array" ref="B107">IF(A107&lt;&gt;"",IF(INDEX(techniques[detection rules for techique],MATCH(A107,techniques[name],0))&gt;=1,INDEX(techniques[detection rules for techique],MATCH(A107,techniques[name],0)),""),"")</f>
        <v/>
      </c>
      <c r="C107" s="45" t="n"/>
      <c r="D107" s="54">
        <f t="array" ref="D107">IF(C107&lt;&gt;"",IF(INDEX(techniques[detection rules for techique],MATCH(C107,techniques[name],0))&gt;=1,INDEX(techniques[detection rules for techique],MATCH(C107,techniques[name],0)),""),"")</f>
        <v/>
      </c>
      <c r="E107" s="45" t="n"/>
      <c r="F107" s="54">
        <f t="array" ref="F107">IF(E107&lt;&gt;"",IF(INDEX(techniques[detection rules for techique],MATCH(E107,techniques[name],0))&gt;=1,INDEX(techniques[detection rules for techique],MATCH(E107,techniques[name],0)),""),"")</f>
        <v/>
      </c>
      <c r="G107" s="45" t="n"/>
      <c r="H107" s="54">
        <f t="array" ref="H107">IF(G107&lt;&gt;"",IF(INDEX(techniques[detection rules for techique],MATCH(G107,techniques[name],0))&gt;=1,INDEX(techniques[detection rules for techique],MATCH(G107,techniques[name],0)),""),"")</f>
        <v/>
      </c>
      <c r="I107" s="45" t="inlineStr">
        <is>
          <t>Reversible Encryption (T1556.005)</t>
        </is>
      </c>
      <c r="J107" s="54">
        <f t="array" ref="J107">IF(I107&lt;&gt;"",IF(INDEX(techniques[detection rules for techique],MATCH(I107,techniques[name],0))&gt;=1,INDEX(techniques[detection rules for techique],MATCH(I107,techniques[name],0)),""),"")</f>
        <v/>
      </c>
      <c r="K107" s="45" t="n"/>
      <c r="L107" s="54">
        <f t="array" ref="L107">IF(K107&lt;&gt;"",IF(INDEX(techniques[detection rules for techique],MATCH(K107,techniques[name],0))&gt;=1,INDEX(techniques[detection rules for techique],MATCH(K107,techniques[name],0)),""),"")</f>
        <v/>
      </c>
      <c r="M107" s="45" t="inlineStr">
        <is>
          <t>Unused/Unsupported Cloud Regions (T1535)</t>
        </is>
      </c>
      <c r="N107" s="54">
        <f t="array" ref="N107">IF(M107&lt;&gt;"",IF(INDEX(techniques[detection rules for techique],MATCH(M107,techniques[name],0))&gt;=1,INDEX(techniques[detection rules for techique],MATCH(M107,techniques[name],0)),""),"")</f>
        <v/>
      </c>
      <c r="O107" s="45" t="n"/>
      <c r="P107" s="54">
        <f t="array" ref="P107">IF(O107&lt;&gt;"",IF(INDEX(techniques[detection rules for techique],MATCH(O107,techniques[name],0))&gt;=1,INDEX(techniques[detection rules for techique],MATCH(O107,techniques[name],0)),""),"")</f>
        <v/>
      </c>
      <c r="Q107" s="45" t="n"/>
      <c r="R107" s="54">
        <f t="array" ref="R107">IF(Q107&lt;&gt;"",IF(INDEX(techniques[detection rules for techique],MATCH(Q107,techniques[name],0))&gt;=1,INDEX(techniques[detection rules for techique],MATCH(Q107,techniques[name],0)),""),"")</f>
        <v/>
      </c>
      <c r="S107" s="45" t="n"/>
      <c r="T107" s="54">
        <f t="array" ref="T107">IF(S107&lt;&gt;"",IF(INDEX(techniques[detection rules for techique],MATCH(S107,techniques[name],0))&gt;=1,INDEX(techniques[detection rules for techique],MATCH(S107,techniques[name],0)),""),"")</f>
        <v/>
      </c>
      <c r="U107" s="45" t="n"/>
      <c r="V107" s="54">
        <f t="array" ref="V107">IF(U107&lt;&gt;"",IF(INDEX(techniques[detection rules for techique],MATCH(U107,techniques[name],0))&gt;=1,INDEX(techniques[detection rules for techique],MATCH(U107,techniques[name],0)),""),"")</f>
        <v/>
      </c>
      <c r="W107" s="45" t="n"/>
      <c r="X107" s="54">
        <f t="array" ref="X107">IF(W107&lt;&gt;"",IF(INDEX(techniques[detection rules for techique],MATCH(W107,techniques[name],0))&gt;=1,INDEX(techniques[detection rules for techique],MATCH(W107,techniques[name],0)),""),"")</f>
        <v/>
      </c>
      <c r="Y107" s="45" t="n"/>
      <c r="Z107" s="54">
        <f t="array" ref="Z107">IF(Y107&lt;&gt;"",IF(INDEX(techniques[detection rules for techique],MATCH(Y107,techniques[name],0))&gt;=1,INDEX(techniques[detection rules for techique],MATCH(Y107,techniques[name],0)),""),"")</f>
        <v/>
      </c>
      <c r="AA107" s="45" t="n"/>
      <c r="AB107" s="54">
        <f t="array" ref="AB107">IF(AA107&lt;&gt;"",IF(INDEX(techniques[detection rules for techique],MATCH(AA107,techniques[name],0))&gt;=1,INDEX(techniques[detection rules for techique],MATCH(AA107,techniques[name],0)),""),"")</f>
        <v/>
      </c>
      <c r="AC107" s="45" t="n"/>
      <c r="AD107" s="54">
        <f t="array" ref="AD107">IF(AC107&lt;&gt;"",IF(INDEX(techniques[detection rules for techique],MATCH(AC107,techniques[name],0))&gt;=1,INDEX(techniques[detection rules for techique],MATCH(AC107,techniques[name],0)),""),"")</f>
        <v/>
      </c>
    </row>
    <row r="108" ht="22.5" customHeight="1">
      <c r="A108" s="45" t="n"/>
      <c r="B108" s="54">
        <f t="array" ref="B108">IF(A108&lt;&gt;"",IF(INDEX(techniques[detection rules for techique],MATCH(A108,techniques[name],0))&gt;=1,INDEX(techniques[detection rules for techique],MATCH(A108,techniques[name],0)),""),"")</f>
        <v/>
      </c>
      <c r="C108" s="45" t="n"/>
      <c r="D108" s="54">
        <f t="array" ref="D108">IF(C108&lt;&gt;"",IF(INDEX(techniques[detection rules for techique],MATCH(C108,techniques[name],0))&gt;=1,INDEX(techniques[detection rules for techique],MATCH(C108,techniques[name],0)),""),"")</f>
        <v/>
      </c>
      <c r="E108" s="45" t="n"/>
      <c r="F108" s="54">
        <f t="array" ref="F108">IF(E108&lt;&gt;"",IF(INDEX(techniques[detection rules for techique],MATCH(E108,techniques[name],0))&gt;=1,INDEX(techniques[detection rules for techique],MATCH(E108,techniques[name],0)),""),"")</f>
        <v/>
      </c>
      <c r="G108" s="45" t="n"/>
      <c r="H108" s="54">
        <f t="array" ref="H108">IF(G108&lt;&gt;"",IF(INDEX(techniques[detection rules for techique],MATCH(G108,techniques[name],0))&gt;=1,INDEX(techniques[detection rules for techique],MATCH(G108,techniques[name],0)),""),"")</f>
        <v/>
      </c>
      <c r="I108" s="45" t="inlineStr">
        <is>
          <t>Multi-Factor Authentication (T1556.006)</t>
        </is>
      </c>
      <c r="J108" s="54">
        <f t="array" ref="J108">IF(I108&lt;&gt;"",IF(INDEX(techniques[detection rules for techique],MATCH(I108,techniques[name],0))&gt;=1,INDEX(techniques[detection rules for techique],MATCH(I108,techniques[name],0)),""),"")</f>
        <v/>
      </c>
      <c r="K108" s="45" t="n"/>
      <c r="L108" s="54">
        <f t="array" ref="L108">IF(K108&lt;&gt;"",IF(INDEX(techniques[detection rules for techique],MATCH(K108,techniques[name],0))&gt;=1,INDEX(techniques[detection rules for techique],MATCH(K108,techniques[name],0)),""),"")</f>
        <v/>
      </c>
      <c r="M108" s="45" t="inlineStr">
        <is>
          <t>Pre-OS Boot (T1542)</t>
        </is>
      </c>
      <c r="N108" s="54">
        <f t="array" ref="N108">IF(M108&lt;&gt;"",IF(INDEX(techniques[detection rules for techique],MATCH(M108,techniques[name],0))&gt;=1,INDEX(techniques[detection rules for techique],MATCH(M108,techniques[name],0)),""),"")</f>
        <v/>
      </c>
      <c r="O108" s="45" t="n"/>
      <c r="P108" s="54">
        <f t="array" ref="P108">IF(O108&lt;&gt;"",IF(INDEX(techniques[detection rules for techique],MATCH(O108,techniques[name],0))&gt;=1,INDEX(techniques[detection rules for techique],MATCH(O108,techniques[name],0)),""),"")</f>
        <v/>
      </c>
      <c r="Q108" s="45" t="n"/>
      <c r="R108" s="54">
        <f t="array" ref="R108">IF(Q108&lt;&gt;"",IF(INDEX(techniques[detection rules for techique],MATCH(Q108,techniques[name],0))&gt;=1,INDEX(techniques[detection rules for techique],MATCH(Q108,techniques[name],0)),""),"")</f>
        <v/>
      </c>
      <c r="S108" s="45" t="n"/>
      <c r="T108" s="54">
        <f t="array" ref="T108">IF(S108&lt;&gt;"",IF(INDEX(techniques[detection rules for techique],MATCH(S108,techniques[name],0))&gt;=1,INDEX(techniques[detection rules for techique],MATCH(S108,techniques[name],0)),""),"")</f>
        <v/>
      </c>
      <c r="U108" s="45" t="n"/>
      <c r="V108" s="54">
        <f t="array" ref="V108">IF(U108&lt;&gt;"",IF(INDEX(techniques[detection rules for techique],MATCH(U108,techniques[name],0))&gt;=1,INDEX(techniques[detection rules for techique],MATCH(U108,techniques[name],0)),""),"")</f>
        <v/>
      </c>
      <c r="W108" s="45" t="n"/>
      <c r="X108" s="54">
        <f t="array" ref="X108">IF(W108&lt;&gt;"",IF(INDEX(techniques[detection rules for techique],MATCH(W108,techniques[name],0))&gt;=1,INDEX(techniques[detection rules for techique],MATCH(W108,techniques[name],0)),""),"")</f>
        <v/>
      </c>
      <c r="Y108" s="45" t="n"/>
      <c r="Z108" s="54">
        <f t="array" ref="Z108">IF(Y108&lt;&gt;"",IF(INDEX(techniques[detection rules for techique],MATCH(Y108,techniques[name],0))&gt;=1,INDEX(techniques[detection rules for techique],MATCH(Y108,techniques[name],0)),""),"")</f>
        <v/>
      </c>
      <c r="AA108" s="45" t="n"/>
      <c r="AB108" s="54">
        <f t="array" ref="AB108">IF(AA108&lt;&gt;"",IF(INDEX(techniques[detection rules for techique],MATCH(AA108,techniques[name],0))&gt;=1,INDEX(techniques[detection rules for techique],MATCH(AA108,techniques[name],0)),""),"")</f>
        <v/>
      </c>
      <c r="AC108" s="45" t="n"/>
      <c r="AD108" s="54">
        <f t="array" ref="AD108">IF(AC108&lt;&gt;"",IF(INDEX(techniques[detection rules for techique],MATCH(AC108,techniques[name],0))&gt;=1,INDEX(techniques[detection rules for techique],MATCH(AC108,techniques[name],0)),""),"")</f>
        <v/>
      </c>
    </row>
    <row r="109">
      <c r="A109" s="45" t="n"/>
      <c r="B109" s="54">
        <f t="array" ref="B109">IF(A109&lt;&gt;"",IF(INDEX(techniques[detection rules for techique],MATCH(A109,techniques[name],0))&gt;=1,INDEX(techniques[detection rules for techique],MATCH(A109,techniques[name],0)),""),"")</f>
        <v/>
      </c>
      <c r="C109" s="45" t="n"/>
      <c r="D109" s="54">
        <f t="array" ref="D109">IF(C109&lt;&gt;"",IF(INDEX(techniques[detection rules for techique],MATCH(C109,techniques[name],0))&gt;=1,INDEX(techniques[detection rules for techique],MATCH(C109,techniques[name],0)),""),"")</f>
        <v/>
      </c>
      <c r="E109" s="45" t="n"/>
      <c r="F109" s="54">
        <f t="array" ref="F109">IF(E109&lt;&gt;"",IF(INDEX(techniques[detection rules for techique],MATCH(E109,techniques[name],0))&gt;=1,INDEX(techniques[detection rules for techique],MATCH(E109,techniques[name],0)),""),"")</f>
        <v/>
      </c>
      <c r="G109" s="45" t="n"/>
      <c r="H109" s="54">
        <f t="array" ref="H109">IF(G109&lt;&gt;"",IF(INDEX(techniques[detection rules for techique],MATCH(G109,techniques[name],0))&gt;=1,INDEX(techniques[detection rules for techique],MATCH(G109,techniques[name],0)),""),"")</f>
        <v/>
      </c>
      <c r="I109" s="45" t="inlineStr">
        <is>
          <t>Hybrid Identity (T1556.007)</t>
        </is>
      </c>
      <c r="J109" s="54">
        <f t="array" ref="J109">IF(I109&lt;&gt;"",IF(INDEX(techniques[detection rules for techique],MATCH(I109,techniques[name],0))&gt;=1,INDEX(techniques[detection rules for techique],MATCH(I109,techniques[name],0)),""),"")</f>
        <v/>
      </c>
      <c r="K109" s="45" t="n"/>
      <c r="L109" s="54">
        <f t="array" ref="L109">IF(K109&lt;&gt;"",IF(INDEX(techniques[detection rules for techique],MATCH(K109,techniques[name],0))&gt;=1,INDEX(techniques[detection rules for techique],MATCH(K109,techniques[name],0)),""),"")</f>
        <v/>
      </c>
      <c r="M109" s="45" t="inlineStr">
        <is>
          <t>System Firmware (T1542.001)</t>
        </is>
      </c>
      <c r="N109" s="54">
        <f t="array" ref="N109">IF(M109&lt;&gt;"",IF(INDEX(techniques[detection rules for techique],MATCH(M109,techniques[name],0))&gt;=1,INDEX(techniques[detection rules for techique],MATCH(M109,techniques[name],0)),""),"")</f>
        <v/>
      </c>
      <c r="O109" s="45" t="n"/>
      <c r="P109" s="54">
        <f t="array" ref="P109">IF(O109&lt;&gt;"",IF(INDEX(techniques[detection rules for techique],MATCH(O109,techniques[name],0))&gt;=1,INDEX(techniques[detection rules for techique],MATCH(O109,techniques[name],0)),""),"")</f>
        <v/>
      </c>
      <c r="Q109" s="45" t="n"/>
      <c r="R109" s="54">
        <f t="array" ref="R109">IF(Q109&lt;&gt;"",IF(INDEX(techniques[detection rules for techique],MATCH(Q109,techniques[name],0))&gt;=1,INDEX(techniques[detection rules for techique],MATCH(Q109,techniques[name],0)),""),"")</f>
        <v/>
      </c>
      <c r="S109" s="45" t="n"/>
      <c r="T109" s="54">
        <f t="array" ref="T109">IF(S109&lt;&gt;"",IF(INDEX(techniques[detection rules for techique],MATCH(S109,techniques[name],0))&gt;=1,INDEX(techniques[detection rules for techique],MATCH(S109,techniques[name],0)),""),"")</f>
        <v/>
      </c>
      <c r="U109" s="45" t="n"/>
      <c r="V109" s="54">
        <f t="array" ref="V109">IF(U109&lt;&gt;"",IF(INDEX(techniques[detection rules for techique],MATCH(U109,techniques[name],0))&gt;=1,INDEX(techniques[detection rules for techique],MATCH(U109,techniques[name],0)),""),"")</f>
        <v/>
      </c>
      <c r="W109" s="45" t="n"/>
      <c r="X109" s="54">
        <f t="array" ref="X109">IF(W109&lt;&gt;"",IF(INDEX(techniques[detection rules for techique],MATCH(W109,techniques[name],0))&gt;=1,INDEX(techniques[detection rules for techique],MATCH(W109,techniques[name],0)),""),"")</f>
        <v/>
      </c>
      <c r="Y109" s="45" t="n"/>
      <c r="Z109" s="54">
        <f t="array" ref="Z109">IF(Y109&lt;&gt;"",IF(INDEX(techniques[detection rules for techique],MATCH(Y109,techniques[name],0))&gt;=1,INDEX(techniques[detection rules for techique],MATCH(Y109,techniques[name],0)),""),"")</f>
        <v/>
      </c>
      <c r="AA109" s="45" t="n"/>
      <c r="AB109" s="54">
        <f t="array" ref="AB109">IF(AA109&lt;&gt;"",IF(INDEX(techniques[detection rules for techique],MATCH(AA109,techniques[name],0))&gt;=1,INDEX(techniques[detection rules for techique],MATCH(AA109,techniques[name],0)),""),"")</f>
        <v/>
      </c>
      <c r="AC109" s="45" t="n"/>
      <c r="AD109" s="54">
        <f t="array" ref="AD109">IF(AC109&lt;&gt;"",IF(INDEX(techniques[detection rules for techique],MATCH(AC109,techniques[name],0))&gt;=1,INDEX(techniques[detection rules for techique],MATCH(AC109,techniques[name],0)),""),"")</f>
        <v/>
      </c>
    </row>
    <row r="110" ht="22.5" customHeight="1">
      <c r="A110" s="45" t="n"/>
      <c r="B110" s="54">
        <f t="array" ref="B110">IF(A110&lt;&gt;"",IF(INDEX(techniques[detection rules for techique],MATCH(A110,techniques[name],0))&gt;=1,INDEX(techniques[detection rules for techique],MATCH(A110,techniques[name],0)),""),"")</f>
        <v/>
      </c>
      <c r="C110" s="45" t="n"/>
      <c r="D110" s="54">
        <f t="array" ref="D110">IF(C110&lt;&gt;"",IF(INDEX(techniques[detection rules for techique],MATCH(C110,techniques[name],0))&gt;=1,INDEX(techniques[detection rules for techique],MATCH(C110,techniques[name],0)),""),"")</f>
        <v/>
      </c>
      <c r="E110" s="45" t="n"/>
      <c r="F110" s="54">
        <f t="array" ref="F110">IF(E110&lt;&gt;"",IF(INDEX(techniques[detection rules for techique],MATCH(E110,techniques[name],0))&gt;=1,INDEX(techniques[detection rules for techique],MATCH(E110,techniques[name],0)),""),"")</f>
        <v/>
      </c>
      <c r="G110" s="45" t="n"/>
      <c r="H110" s="54">
        <f t="array" ref="H110">IF(G110&lt;&gt;"",IF(INDEX(techniques[detection rules for techique],MATCH(G110,techniques[name],0))&gt;=1,INDEX(techniques[detection rules for techique],MATCH(G110,techniques[name],0)),""),"")</f>
        <v/>
      </c>
      <c r="I110" s="45" t="inlineStr">
        <is>
          <t>Network Provider DLL (T1556.008)</t>
        </is>
      </c>
      <c r="J110" s="54">
        <f t="array" ref="J110">IF(I110&lt;&gt;"",IF(INDEX(techniques[detection rules for techique],MATCH(I110,techniques[name],0))&gt;=1,INDEX(techniques[detection rules for techique],MATCH(I110,techniques[name],0)),""),"")</f>
        <v/>
      </c>
      <c r="K110" s="45" t="n"/>
      <c r="L110" s="54">
        <f t="array" ref="L110">IF(K110&lt;&gt;"",IF(INDEX(techniques[detection rules for techique],MATCH(K110,techniques[name],0))&gt;=1,INDEX(techniques[detection rules for techique],MATCH(K110,techniques[name],0)),""),"")</f>
        <v/>
      </c>
      <c r="M110" s="45" t="inlineStr">
        <is>
          <t>Component Firmware (T1542.002)</t>
        </is>
      </c>
      <c r="N110" s="54">
        <f t="array" ref="N110">IF(M110&lt;&gt;"",IF(INDEX(techniques[detection rules for techique],MATCH(M110,techniques[name],0))&gt;=1,INDEX(techniques[detection rules for techique],MATCH(M110,techniques[name],0)),""),"")</f>
        <v/>
      </c>
      <c r="O110" s="45" t="n"/>
      <c r="P110" s="54">
        <f t="array" ref="P110">IF(O110&lt;&gt;"",IF(INDEX(techniques[detection rules for techique],MATCH(O110,techniques[name],0))&gt;=1,INDEX(techniques[detection rules for techique],MATCH(O110,techniques[name],0)),""),"")</f>
        <v/>
      </c>
      <c r="Q110" s="45" t="n"/>
      <c r="R110" s="54">
        <f t="array" ref="R110">IF(Q110&lt;&gt;"",IF(INDEX(techniques[detection rules for techique],MATCH(Q110,techniques[name],0))&gt;=1,INDEX(techniques[detection rules for techique],MATCH(Q110,techniques[name],0)),""),"")</f>
        <v/>
      </c>
      <c r="S110" s="45" t="n"/>
      <c r="T110" s="54">
        <f t="array" ref="T110">IF(S110&lt;&gt;"",IF(INDEX(techniques[detection rules for techique],MATCH(S110,techniques[name],0))&gt;=1,INDEX(techniques[detection rules for techique],MATCH(S110,techniques[name],0)),""),"")</f>
        <v/>
      </c>
      <c r="U110" s="45" t="n"/>
      <c r="V110" s="54">
        <f t="array" ref="V110">IF(U110&lt;&gt;"",IF(INDEX(techniques[detection rules for techique],MATCH(U110,techniques[name],0))&gt;=1,INDEX(techniques[detection rules for techique],MATCH(U110,techniques[name],0)),""),"")</f>
        <v/>
      </c>
      <c r="W110" s="45" t="n"/>
      <c r="X110" s="54">
        <f t="array" ref="X110">IF(W110&lt;&gt;"",IF(INDEX(techniques[detection rules for techique],MATCH(W110,techniques[name],0))&gt;=1,INDEX(techniques[detection rules for techique],MATCH(W110,techniques[name],0)),""),"")</f>
        <v/>
      </c>
      <c r="Y110" s="45" t="n"/>
      <c r="Z110" s="54">
        <f t="array" ref="Z110">IF(Y110&lt;&gt;"",IF(INDEX(techniques[detection rules for techique],MATCH(Y110,techniques[name],0))&gt;=1,INDEX(techniques[detection rules for techique],MATCH(Y110,techniques[name],0)),""),"")</f>
        <v/>
      </c>
      <c r="AA110" s="45" t="n"/>
      <c r="AB110" s="54">
        <f t="array" ref="AB110">IF(AA110&lt;&gt;"",IF(INDEX(techniques[detection rules for techique],MATCH(AA110,techniques[name],0))&gt;=1,INDEX(techniques[detection rules for techique],MATCH(AA110,techniques[name],0)),""),"")</f>
        <v/>
      </c>
      <c r="AC110" s="45" t="n"/>
      <c r="AD110" s="54">
        <f t="array" ref="AD110">IF(AC110&lt;&gt;"",IF(INDEX(techniques[detection rules for techique],MATCH(AC110,techniques[name],0))&gt;=1,INDEX(techniques[detection rules for techique],MATCH(AC110,techniques[name],0)),""),"")</f>
        <v/>
      </c>
    </row>
    <row r="111" ht="22.5" customHeight="1">
      <c r="A111" s="45" t="n"/>
      <c r="B111" s="54">
        <f t="array" ref="B111">IF(A111&lt;&gt;"",IF(INDEX(techniques[detection rules for techique],MATCH(A111,techniques[name],0))&gt;=1,INDEX(techniques[detection rules for techique],MATCH(A111,techniques[name],0)),""),"")</f>
        <v/>
      </c>
      <c r="C111" s="45" t="n"/>
      <c r="D111" s="54">
        <f t="array" ref="D111">IF(C111&lt;&gt;"",IF(INDEX(techniques[detection rules for techique],MATCH(C111,techniques[name],0))&gt;=1,INDEX(techniques[detection rules for techique],MATCH(C111,techniques[name],0)),""),"")</f>
        <v/>
      </c>
      <c r="E111" s="45" t="n"/>
      <c r="F111" s="54">
        <f t="array" ref="F111">IF(E111&lt;&gt;"",IF(INDEX(techniques[detection rules for techique],MATCH(E111,techniques[name],0))&gt;=1,INDEX(techniques[detection rules for techique],MATCH(E111,techniques[name],0)),""),"")</f>
        <v/>
      </c>
      <c r="G111" s="45" t="n"/>
      <c r="H111" s="54">
        <f t="array" ref="H111">IF(G111&lt;&gt;"",IF(INDEX(techniques[detection rules for techique],MATCH(G111,techniques[name],0))&gt;=1,INDEX(techniques[detection rules for techique],MATCH(G111,techniques[name],0)),""),"")</f>
        <v/>
      </c>
      <c r="I111" s="45" t="inlineStr">
        <is>
          <t>Conditional Access Policies (T1556.009)</t>
        </is>
      </c>
      <c r="J111" s="54">
        <f t="array" ref="J111">IF(I111&lt;&gt;"",IF(INDEX(techniques[detection rules for techique],MATCH(I111,techniques[name],0))&gt;=1,INDEX(techniques[detection rules for techique],MATCH(I111,techniques[name],0)),""),"")</f>
        <v/>
      </c>
      <c r="K111" s="45" t="n"/>
      <c r="L111" s="54">
        <f t="array" ref="L111">IF(K111&lt;&gt;"",IF(INDEX(techniques[detection rules for techique],MATCH(K111,techniques[name],0))&gt;=1,INDEX(techniques[detection rules for techique],MATCH(K111,techniques[name],0)),""),"")</f>
        <v/>
      </c>
      <c r="M111" s="45" t="inlineStr">
        <is>
          <t>Bootkit (T1542.003)</t>
        </is>
      </c>
      <c r="N111" s="54">
        <f t="array" ref="N111">IF(M111&lt;&gt;"",IF(INDEX(techniques[detection rules for techique],MATCH(M111,techniques[name],0))&gt;=1,INDEX(techniques[detection rules for techique],MATCH(M111,techniques[name],0)),""),"")</f>
        <v/>
      </c>
      <c r="O111" s="45" t="n"/>
      <c r="P111" s="54">
        <f t="array" ref="P111">IF(O111&lt;&gt;"",IF(INDEX(techniques[detection rules for techique],MATCH(O111,techniques[name],0))&gt;=1,INDEX(techniques[detection rules for techique],MATCH(O111,techniques[name],0)),""),"")</f>
        <v/>
      </c>
      <c r="Q111" s="45" t="n"/>
      <c r="R111" s="54">
        <f t="array" ref="R111">IF(Q111&lt;&gt;"",IF(INDEX(techniques[detection rules for techique],MATCH(Q111,techniques[name],0))&gt;=1,INDEX(techniques[detection rules for techique],MATCH(Q111,techniques[name],0)),""),"")</f>
        <v/>
      </c>
      <c r="S111" s="45" t="n"/>
      <c r="T111" s="54">
        <f t="array" ref="T111">IF(S111&lt;&gt;"",IF(INDEX(techniques[detection rules for techique],MATCH(S111,techniques[name],0))&gt;=1,INDEX(techniques[detection rules for techique],MATCH(S111,techniques[name],0)),""),"")</f>
        <v/>
      </c>
      <c r="U111" s="45" t="n"/>
      <c r="V111" s="54">
        <f t="array" ref="V111">IF(U111&lt;&gt;"",IF(INDEX(techniques[detection rules for techique],MATCH(U111,techniques[name],0))&gt;=1,INDEX(techniques[detection rules for techique],MATCH(U111,techniques[name],0)),""),"")</f>
        <v/>
      </c>
      <c r="W111" s="45" t="n"/>
      <c r="X111" s="54">
        <f t="array" ref="X111">IF(W111&lt;&gt;"",IF(INDEX(techniques[detection rules for techique],MATCH(W111,techniques[name],0))&gt;=1,INDEX(techniques[detection rules for techique],MATCH(W111,techniques[name],0)),""),"")</f>
        <v/>
      </c>
      <c r="Y111" s="45" t="n"/>
      <c r="Z111" s="54">
        <f t="array" ref="Z111">IF(Y111&lt;&gt;"",IF(INDEX(techniques[detection rules for techique],MATCH(Y111,techniques[name],0))&gt;=1,INDEX(techniques[detection rules for techique],MATCH(Y111,techniques[name],0)),""),"")</f>
        <v/>
      </c>
      <c r="AA111" s="45" t="n"/>
      <c r="AB111" s="54">
        <f t="array" ref="AB111">IF(AA111&lt;&gt;"",IF(INDEX(techniques[detection rules for techique],MATCH(AA111,techniques[name],0))&gt;=1,INDEX(techniques[detection rules for techique],MATCH(AA111,techniques[name],0)),""),"")</f>
        <v/>
      </c>
      <c r="AC111" s="45" t="n"/>
      <c r="AD111" s="54">
        <f t="array" ref="AD111">IF(AC111&lt;&gt;"",IF(INDEX(techniques[detection rules for techique],MATCH(AC111,techniques[name],0))&gt;=1,INDEX(techniques[detection rules for techique],MATCH(AC111,techniques[name],0)),""),"")</f>
        <v/>
      </c>
    </row>
    <row r="112" ht="22.5" customHeight="1">
      <c r="A112" s="45" t="n"/>
      <c r="B112" s="54">
        <f t="array" ref="B112">IF(A112&lt;&gt;"",IF(INDEX(techniques[detection rules for techique],MATCH(A112,techniques[name],0))&gt;=1,INDEX(techniques[detection rules for techique],MATCH(A112,techniques[name],0)),""),"")</f>
        <v/>
      </c>
      <c r="C112" s="45" t="n"/>
      <c r="D112" s="54">
        <f t="array" ref="D112">IF(C112&lt;&gt;"",IF(INDEX(techniques[detection rules for techique],MATCH(C112,techniques[name],0))&gt;=1,INDEX(techniques[detection rules for techique],MATCH(C112,techniques[name],0)),""),"")</f>
        <v/>
      </c>
      <c r="E112" s="45" t="n"/>
      <c r="F112" s="54">
        <f t="array" ref="F112">IF(E112&lt;&gt;"",IF(INDEX(techniques[detection rules for techique],MATCH(E112,techniques[name],0))&gt;=1,INDEX(techniques[detection rules for techique],MATCH(E112,techniques[name],0)),""),"")</f>
        <v/>
      </c>
      <c r="G112" s="45" t="n"/>
      <c r="H112" s="54">
        <f t="array" ref="H112">IF(G112&lt;&gt;"",IF(INDEX(techniques[detection rules for techique],MATCH(G112,techniques[name],0))&gt;=1,INDEX(techniques[detection rules for techique],MATCH(G112,techniques[name],0)),""),"")</f>
        <v/>
      </c>
      <c r="I112" s="45" t="inlineStr">
        <is>
          <t>Power Settings (T1653)</t>
        </is>
      </c>
      <c r="J112" s="54">
        <f t="array" ref="J112">IF(I112&lt;&gt;"",IF(INDEX(techniques[detection rules for techique],MATCH(I112,techniques[name],0))&gt;=1,INDEX(techniques[detection rules for techique],MATCH(I112,techniques[name],0)),""),"")</f>
        <v/>
      </c>
      <c r="K112" s="45" t="n"/>
      <c r="L112" s="54">
        <f t="array" ref="L112">IF(K112&lt;&gt;"",IF(INDEX(techniques[detection rules for techique],MATCH(K112,techniques[name],0))&gt;=1,INDEX(techniques[detection rules for techique],MATCH(K112,techniques[name],0)),""),"")</f>
        <v/>
      </c>
      <c r="M112" s="45" t="inlineStr">
        <is>
          <t>ROMMONkit (T1542.004)</t>
        </is>
      </c>
      <c r="N112" s="54">
        <f t="array" ref="N112">IF(M112&lt;&gt;"",IF(INDEX(techniques[detection rules for techique],MATCH(M112,techniques[name],0))&gt;=1,INDEX(techniques[detection rules for techique],MATCH(M112,techniques[name],0)),""),"")</f>
        <v/>
      </c>
      <c r="O112" s="45" t="n"/>
      <c r="P112" s="54">
        <f t="array" ref="P112">IF(O112&lt;&gt;"",IF(INDEX(techniques[detection rules for techique],MATCH(O112,techniques[name],0))&gt;=1,INDEX(techniques[detection rules for techique],MATCH(O112,techniques[name],0)),""),"")</f>
        <v/>
      </c>
      <c r="Q112" s="45" t="n"/>
      <c r="R112" s="54">
        <f t="array" ref="R112">IF(Q112&lt;&gt;"",IF(INDEX(techniques[detection rules for techique],MATCH(Q112,techniques[name],0))&gt;=1,INDEX(techniques[detection rules for techique],MATCH(Q112,techniques[name],0)),""),"")</f>
        <v/>
      </c>
      <c r="S112" s="45" t="n"/>
      <c r="T112" s="54">
        <f t="array" ref="T112">IF(S112&lt;&gt;"",IF(INDEX(techniques[detection rules for techique],MATCH(S112,techniques[name],0))&gt;=1,INDEX(techniques[detection rules for techique],MATCH(S112,techniques[name],0)),""),"")</f>
        <v/>
      </c>
      <c r="U112" s="45" t="n"/>
      <c r="V112" s="54">
        <f t="array" ref="V112">IF(U112&lt;&gt;"",IF(INDEX(techniques[detection rules for techique],MATCH(U112,techniques[name],0))&gt;=1,INDEX(techniques[detection rules for techique],MATCH(U112,techniques[name],0)),""),"")</f>
        <v/>
      </c>
      <c r="W112" s="45" t="n"/>
      <c r="X112" s="54">
        <f t="array" ref="X112">IF(W112&lt;&gt;"",IF(INDEX(techniques[detection rules for techique],MATCH(W112,techniques[name],0))&gt;=1,INDEX(techniques[detection rules for techique],MATCH(W112,techniques[name],0)),""),"")</f>
        <v/>
      </c>
      <c r="Y112" s="45" t="n"/>
      <c r="Z112" s="54">
        <f t="array" ref="Z112">IF(Y112&lt;&gt;"",IF(INDEX(techniques[detection rules for techique],MATCH(Y112,techniques[name],0))&gt;=1,INDEX(techniques[detection rules for techique],MATCH(Y112,techniques[name],0)),""),"")</f>
        <v/>
      </c>
      <c r="AA112" s="45" t="n"/>
      <c r="AB112" s="54">
        <f t="array" ref="AB112">IF(AA112&lt;&gt;"",IF(INDEX(techniques[detection rules for techique],MATCH(AA112,techniques[name],0))&gt;=1,INDEX(techniques[detection rules for techique],MATCH(AA112,techniques[name],0)),""),"")</f>
        <v/>
      </c>
      <c r="AC112" s="45" t="n"/>
      <c r="AD112" s="54">
        <f t="array" ref="AD112">IF(AC112&lt;&gt;"",IF(INDEX(techniques[detection rules for techique],MATCH(AC112,techniques[name],0))&gt;=1,INDEX(techniques[detection rules for techique],MATCH(AC112,techniques[name],0)),""),"")</f>
        <v/>
      </c>
    </row>
    <row r="113" ht="22.5" customHeight="1">
      <c r="A113" s="45" t="n"/>
      <c r="B113" s="54">
        <f t="array" ref="B113">IF(A113&lt;&gt;"",IF(INDEX(techniques[detection rules for techique],MATCH(A113,techniques[name],0))&gt;=1,INDEX(techniques[detection rules for techique],MATCH(A113,techniques[name],0)),""),"")</f>
        <v/>
      </c>
      <c r="C113" s="45" t="n"/>
      <c r="D113" s="54">
        <f t="array" ref="D113">IF(C113&lt;&gt;"",IF(INDEX(techniques[detection rules for techique],MATCH(C113,techniques[name],0))&gt;=1,INDEX(techniques[detection rules for techique],MATCH(C113,techniques[name],0)),""),"")</f>
        <v/>
      </c>
      <c r="E113" s="45" t="n"/>
      <c r="F113" s="54">
        <f t="array" ref="F113">IF(E113&lt;&gt;"",IF(INDEX(techniques[detection rules for techique],MATCH(E113,techniques[name],0))&gt;=1,INDEX(techniques[detection rules for techique],MATCH(E113,techniques[name],0)),""),"")</f>
        <v/>
      </c>
      <c r="G113" s="45" t="n"/>
      <c r="H113" s="54">
        <f t="array" ref="H113">IF(G113&lt;&gt;"",IF(INDEX(techniques[detection rules for techique],MATCH(G113,techniques[name],0))&gt;=1,INDEX(techniques[detection rules for techique],MATCH(G113,techniques[name],0)),""),"")</f>
        <v/>
      </c>
      <c r="I113" s="45" t="inlineStr">
        <is>
          <t>Exclusive Control (T1668)</t>
        </is>
      </c>
      <c r="J113" s="54">
        <f t="array" ref="J113">IF(I113&lt;&gt;"",IF(INDEX(techniques[detection rules for techique],MATCH(I113,techniques[name],0))&gt;=1,INDEX(techniques[detection rules for techique],MATCH(I113,techniques[name],0)),""),"")</f>
        <v/>
      </c>
      <c r="K113" s="45" t="n"/>
      <c r="L113" s="54">
        <f t="array" ref="L113">IF(K113&lt;&gt;"",IF(INDEX(techniques[detection rules for techique],MATCH(K113,techniques[name],0))&gt;=1,INDEX(techniques[detection rules for techique],MATCH(K113,techniques[name],0)),""),"")</f>
        <v/>
      </c>
      <c r="M113" s="45" t="inlineStr">
        <is>
          <t>TFTP Boot (T1542.005)</t>
        </is>
      </c>
      <c r="N113" s="54">
        <f t="array" ref="N113">IF(M113&lt;&gt;"",IF(INDEX(techniques[detection rules for techique],MATCH(M113,techniques[name],0))&gt;=1,INDEX(techniques[detection rules for techique],MATCH(M113,techniques[name],0)),""),"")</f>
        <v/>
      </c>
      <c r="O113" s="45" t="n"/>
      <c r="P113" s="54">
        <f t="array" ref="P113">IF(O113&lt;&gt;"",IF(INDEX(techniques[detection rules for techique],MATCH(O113,techniques[name],0))&gt;=1,INDEX(techniques[detection rules for techique],MATCH(O113,techniques[name],0)),""),"")</f>
        <v/>
      </c>
      <c r="Q113" s="45" t="n"/>
      <c r="R113" s="54">
        <f t="array" ref="R113">IF(Q113&lt;&gt;"",IF(INDEX(techniques[detection rules for techique],MATCH(Q113,techniques[name],0))&gt;=1,INDEX(techniques[detection rules for techique],MATCH(Q113,techniques[name],0)),""),"")</f>
        <v/>
      </c>
      <c r="S113" s="45" t="n"/>
      <c r="T113" s="54">
        <f t="array" ref="T113">IF(S113&lt;&gt;"",IF(INDEX(techniques[detection rules for techique],MATCH(S113,techniques[name],0))&gt;=1,INDEX(techniques[detection rules for techique],MATCH(S113,techniques[name],0)),""),"")</f>
        <v/>
      </c>
      <c r="U113" s="45" t="n"/>
      <c r="V113" s="54">
        <f t="array" ref="V113">IF(U113&lt;&gt;"",IF(INDEX(techniques[detection rules for techique],MATCH(U113,techniques[name],0))&gt;=1,INDEX(techniques[detection rules for techique],MATCH(U113,techniques[name],0)),""),"")</f>
        <v/>
      </c>
      <c r="W113" s="45" t="n"/>
      <c r="X113" s="54">
        <f t="array" ref="X113">IF(W113&lt;&gt;"",IF(INDEX(techniques[detection rules for techique],MATCH(W113,techniques[name],0))&gt;=1,INDEX(techniques[detection rules for techique],MATCH(W113,techniques[name],0)),""),"")</f>
        <v/>
      </c>
      <c r="Y113" s="45" t="n"/>
      <c r="Z113" s="54">
        <f t="array" ref="Z113">IF(Y113&lt;&gt;"",IF(INDEX(techniques[detection rules for techique],MATCH(Y113,techniques[name],0))&gt;=1,INDEX(techniques[detection rules for techique],MATCH(Y113,techniques[name],0)),""),"")</f>
        <v/>
      </c>
      <c r="AA113" s="45" t="n"/>
      <c r="AB113" s="54">
        <f t="array" ref="AB113">IF(AA113&lt;&gt;"",IF(INDEX(techniques[detection rules for techique],MATCH(AA113,techniques[name],0))&gt;=1,INDEX(techniques[detection rules for techique],MATCH(AA113,techniques[name],0)),""),"")</f>
        <v/>
      </c>
      <c r="AC113" s="45" t="n"/>
      <c r="AD113" s="54">
        <f t="array" ref="AD113">IF(AC113&lt;&gt;"",IF(INDEX(techniques[detection rules for techique],MATCH(AC113,techniques[name],0))&gt;=1,INDEX(techniques[detection rules for techique],MATCH(AC113,techniques[name],0)),""),"")</f>
        <v/>
      </c>
    </row>
    <row r="114" ht="22.5" customHeight="1">
      <c r="A114" s="45" t="n"/>
      <c r="B114" s="54">
        <f t="array" ref="B114">IF(A114&lt;&gt;"",IF(INDEX(techniques[detection rules for techique],MATCH(A114,techniques[name],0))&gt;=1,INDEX(techniques[detection rules for techique],MATCH(A114,techniques[name],0)),""),"")</f>
        <v/>
      </c>
      <c r="C114" s="45" t="n"/>
      <c r="D114" s="54">
        <f t="array" ref="D114">IF(C114&lt;&gt;"",IF(INDEX(techniques[detection rules for techique],MATCH(C114,techniques[name],0))&gt;=1,INDEX(techniques[detection rules for techique],MATCH(C114,techniques[name],0)),""),"")</f>
        <v/>
      </c>
      <c r="E114" s="45" t="n"/>
      <c r="F114" s="54">
        <f t="array" ref="F114">IF(E114&lt;&gt;"",IF(INDEX(techniques[detection rules for techique],MATCH(E114,techniques[name],0))&gt;=1,INDEX(techniques[detection rules for techique],MATCH(E114,techniques[name],0)),""),"")</f>
        <v/>
      </c>
      <c r="G114" s="45" t="n"/>
      <c r="H114" s="54">
        <f t="array" ref="H114">IF(G114&lt;&gt;"",IF(INDEX(techniques[detection rules for techique],MATCH(G114,techniques[name],0))&gt;=1,INDEX(techniques[detection rules for techique],MATCH(G114,techniques[name],0)),""),"")</f>
        <v/>
      </c>
      <c r="I114" s="45" t="inlineStr">
        <is>
          <t>Cloud Application Integration (T1671)</t>
        </is>
      </c>
      <c r="J114" s="54">
        <f t="array" ref="J114">IF(I114&lt;&gt;"",IF(INDEX(techniques[detection rules for techique],MATCH(I114,techniques[name],0))&gt;=1,INDEX(techniques[detection rules for techique],MATCH(I114,techniques[name],0)),""),"")</f>
        <v/>
      </c>
      <c r="K114" s="45" t="n"/>
      <c r="L114" s="54">
        <f t="array" ref="L114">IF(K114&lt;&gt;"",IF(INDEX(techniques[detection rules for techique],MATCH(K114,techniques[name],0))&gt;=1,INDEX(techniques[detection rules for techique],MATCH(K114,techniques[name],0)),""),"")</f>
        <v/>
      </c>
      <c r="M114" s="45" t="inlineStr">
        <is>
          <t>Hide Artifacts (T1564)</t>
        </is>
      </c>
      <c r="N114" s="54">
        <f t="array" ref="N114">IF(M114&lt;&gt;"",IF(INDEX(techniques[detection rules for techique],MATCH(M114,techniques[name],0))&gt;=1,INDEX(techniques[detection rules for techique],MATCH(M114,techniques[name],0)),""),"")</f>
        <v/>
      </c>
      <c r="O114" s="45" t="n"/>
      <c r="P114" s="54">
        <f t="array" ref="P114">IF(O114&lt;&gt;"",IF(INDEX(techniques[detection rules for techique],MATCH(O114,techniques[name],0))&gt;=1,INDEX(techniques[detection rules for techique],MATCH(O114,techniques[name],0)),""),"")</f>
        <v/>
      </c>
      <c r="Q114" s="45" t="n"/>
      <c r="R114" s="54">
        <f t="array" ref="R114">IF(Q114&lt;&gt;"",IF(INDEX(techniques[detection rules for techique],MATCH(Q114,techniques[name],0))&gt;=1,INDEX(techniques[detection rules for techique],MATCH(Q114,techniques[name],0)),""),"")</f>
        <v/>
      </c>
      <c r="S114" s="45" t="n"/>
      <c r="T114" s="54">
        <f t="array" ref="T114">IF(S114&lt;&gt;"",IF(INDEX(techniques[detection rules for techique],MATCH(S114,techniques[name],0))&gt;=1,INDEX(techniques[detection rules for techique],MATCH(S114,techniques[name],0)),""),"")</f>
        <v/>
      </c>
      <c r="U114" s="45" t="n"/>
      <c r="V114" s="54">
        <f t="array" ref="V114">IF(U114&lt;&gt;"",IF(INDEX(techniques[detection rules for techique],MATCH(U114,techniques[name],0))&gt;=1,INDEX(techniques[detection rules for techique],MATCH(U114,techniques[name],0)),""),"")</f>
        <v/>
      </c>
      <c r="W114" s="45" t="n"/>
      <c r="X114" s="54">
        <f t="array" ref="X114">IF(W114&lt;&gt;"",IF(INDEX(techniques[detection rules for techique],MATCH(W114,techniques[name],0))&gt;=1,INDEX(techniques[detection rules for techique],MATCH(W114,techniques[name],0)),""),"")</f>
        <v/>
      </c>
      <c r="Y114" s="45" t="n"/>
      <c r="Z114" s="54">
        <f t="array" ref="Z114">IF(Y114&lt;&gt;"",IF(INDEX(techniques[detection rules for techique],MATCH(Y114,techniques[name],0))&gt;=1,INDEX(techniques[detection rules for techique],MATCH(Y114,techniques[name],0)),""),"")</f>
        <v/>
      </c>
      <c r="AA114" s="45" t="n"/>
      <c r="AB114" s="54">
        <f t="array" ref="AB114">IF(AA114&lt;&gt;"",IF(INDEX(techniques[detection rules for techique],MATCH(AA114,techniques[name],0))&gt;=1,INDEX(techniques[detection rules for techique],MATCH(AA114,techniques[name],0)),""),"")</f>
        <v/>
      </c>
      <c r="AC114" s="45" t="n"/>
      <c r="AD114" s="54">
        <f t="array" ref="AD114">IF(AC114&lt;&gt;"",IF(INDEX(techniques[detection rules for techique],MATCH(AC114,techniques[name],0))&gt;=1,INDEX(techniques[detection rules for techique],MATCH(AC114,techniques[name],0)),""),"")</f>
        <v/>
      </c>
    </row>
    <row r="115" ht="22.5" customHeight="1">
      <c r="A115" s="45" t="n"/>
      <c r="B115" s="54">
        <f t="array" ref="B115">IF(A115&lt;&gt;"",IF(INDEX(techniques[detection rules for techique],MATCH(A115,techniques[name],0))&gt;=1,INDEX(techniques[detection rules for techique],MATCH(A115,techniques[name],0)),""),"")</f>
        <v/>
      </c>
      <c r="C115" s="45" t="n"/>
      <c r="D115" s="54">
        <f t="array" ref="D115">IF(C115&lt;&gt;"",IF(INDEX(techniques[detection rules for techique],MATCH(C115,techniques[name],0))&gt;=1,INDEX(techniques[detection rules for techique],MATCH(C115,techniques[name],0)),""),"")</f>
        <v/>
      </c>
      <c r="E115" s="45" t="n"/>
      <c r="F115" s="54">
        <f t="array" ref="F115">IF(E115&lt;&gt;"",IF(INDEX(techniques[detection rules for techique],MATCH(E115,techniques[name],0))&gt;=1,INDEX(techniques[detection rules for techique],MATCH(E115,techniques[name],0)),""),"")</f>
        <v/>
      </c>
      <c r="G115" s="45" t="n"/>
      <c r="H115" s="54">
        <f t="array" ref="H115">IF(G115&lt;&gt;"",IF(INDEX(techniques[detection rules for techique],MATCH(G115,techniques[name],0))&gt;=1,INDEX(techniques[detection rules for techique],MATCH(G115,techniques[name],0)),""),"")</f>
        <v/>
      </c>
      <c r="I115" s="45" t="n"/>
      <c r="J115" s="54">
        <f t="array" ref="J115">IF(I115&lt;&gt;"",IF(INDEX(techniques[detection rules for techique],MATCH(I115,techniques[name],0))&gt;=1,INDEX(techniques[detection rules for techique],MATCH(I115,techniques[name],0)),""),"")</f>
        <v/>
      </c>
      <c r="K115" s="45" t="n"/>
      <c r="L115" s="54">
        <f t="array" ref="L115">IF(K115&lt;&gt;"",IF(INDEX(techniques[detection rules for techique],MATCH(K115,techniques[name],0))&gt;=1,INDEX(techniques[detection rules for techique],MATCH(K115,techniques[name],0)),""),"")</f>
        <v/>
      </c>
      <c r="M115" s="45" t="inlineStr">
        <is>
          <t>Hidden Files and Directories (T1564.001)</t>
        </is>
      </c>
      <c r="N115" s="54">
        <f t="array" ref="N115">IF(M115&lt;&gt;"",IF(INDEX(techniques[detection rules for techique],MATCH(M115,techniques[name],0))&gt;=1,INDEX(techniques[detection rules for techique],MATCH(M115,techniques[name],0)),""),"")</f>
        <v/>
      </c>
      <c r="O115" s="45" t="n"/>
      <c r="P115" s="54">
        <f t="array" ref="P115">IF(O115&lt;&gt;"",IF(INDEX(techniques[detection rules for techique],MATCH(O115,techniques[name],0))&gt;=1,INDEX(techniques[detection rules for techique],MATCH(O115,techniques[name],0)),""),"")</f>
        <v/>
      </c>
      <c r="Q115" s="45" t="n"/>
      <c r="R115" s="54">
        <f t="array" ref="R115">IF(Q115&lt;&gt;"",IF(INDEX(techniques[detection rules for techique],MATCH(Q115,techniques[name],0))&gt;=1,INDEX(techniques[detection rules for techique],MATCH(Q115,techniques[name],0)),""),"")</f>
        <v/>
      </c>
      <c r="S115" s="45" t="n"/>
      <c r="T115" s="54">
        <f t="array" ref="T115">IF(S115&lt;&gt;"",IF(INDEX(techniques[detection rules for techique],MATCH(S115,techniques[name],0))&gt;=1,INDEX(techniques[detection rules for techique],MATCH(S115,techniques[name],0)),""),"")</f>
        <v/>
      </c>
      <c r="U115" s="45" t="n"/>
      <c r="V115" s="54">
        <f t="array" ref="V115">IF(U115&lt;&gt;"",IF(INDEX(techniques[detection rules for techique],MATCH(U115,techniques[name],0))&gt;=1,INDEX(techniques[detection rules for techique],MATCH(U115,techniques[name],0)),""),"")</f>
        <v/>
      </c>
      <c r="W115" s="45" t="n"/>
      <c r="X115" s="54">
        <f t="array" ref="X115">IF(W115&lt;&gt;"",IF(INDEX(techniques[detection rules for techique],MATCH(W115,techniques[name],0))&gt;=1,INDEX(techniques[detection rules for techique],MATCH(W115,techniques[name],0)),""),"")</f>
        <v/>
      </c>
      <c r="Y115" s="45" t="n"/>
      <c r="Z115" s="54">
        <f t="array" ref="Z115">IF(Y115&lt;&gt;"",IF(INDEX(techniques[detection rules for techique],MATCH(Y115,techniques[name],0))&gt;=1,INDEX(techniques[detection rules for techique],MATCH(Y115,techniques[name],0)),""),"")</f>
        <v/>
      </c>
      <c r="AA115" s="45" t="n"/>
      <c r="AB115" s="54">
        <f t="array" ref="AB115">IF(AA115&lt;&gt;"",IF(INDEX(techniques[detection rules for techique],MATCH(AA115,techniques[name],0))&gt;=1,INDEX(techniques[detection rules for techique],MATCH(AA115,techniques[name],0)),""),"")</f>
        <v/>
      </c>
      <c r="AC115" s="45" t="n"/>
      <c r="AD115" s="54">
        <f t="array" ref="AD115">IF(AC115&lt;&gt;"",IF(INDEX(techniques[detection rules for techique],MATCH(AC115,techniques[name],0))&gt;=1,INDEX(techniques[detection rules for techique],MATCH(AC115,techniques[name],0)),""),"")</f>
        <v/>
      </c>
    </row>
    <row r="116" ht="22.5" customHeight="1">
      <c r="A116" s="45" t="n"/>
      <c r="B116" s="54">
        <f t="array" ref="B116">IF(A116&lt;&gt;"",IF(INDEX(techniques[detection rules for techique],MATCH(A116,techniques[name],0))&gt;=1,INDEX(techniques[detection rules for techique],MATCH(A116,techniques[name],0)),""),"")</f>
        <v/>
      </c>
      <c r="C116" s="45" t="n"/>
      <c r="D116" s="54">
        <f t="array" ref="D116">IF(C116&lt;&gt;"",IF(INDEX(techniques[detection rules for techique],MATCH(C116,techniques[name],0))&gt;=1,INDEX(techniques[detection rules for techique],MATCH(C116,techniques[name],0)),""),"")</f>
        <v/>
      </c>
      <c r="E116" s="45" t="n"/>
      <c r="F116" s="54">
        <f t="array" ref="F116">IF(E116&lt;&gt;"",IF(INDEX(techniques[detection rules for techique],MATCH(E116,techniques[name],0))&gt;=1,INDEX(techniques[detection rules for techique],MATCH(E116,techniques[name],0)),""),"")</f>
        <v/>
      </c>
      <c r="G116" s="45" t="n"/>
      <c r="H116" s="54">
        <f t="array" ref="H116">IF(G116&lt;&gt;"",IF(INDEX(techniques[detection rules for techique],MATCH(G116,techniques[name],0))&gt;=1,INDEX(techniques[detection rules for techique],MATCH(G116,techniques[name],0)),""),"")</f>
        <v/>
      </c>
      <c r="I116" s="45" t="n"/>
      <c r="J116" s="54">
        <f t="array" ref="J116">IF(I116&lt;&gt;"",IF(INDEX(techniques[detection rules for techique],MATCH(I116,techniques[name],0))&gt;=1,INDEX(techniques[detection rules for techique],MATCH(I116,techniques[name],0)),""),"")</f>
        <v/>
      </c>
      <c r="K116" s="45" t="n"/>
      <c r="L116" s="54">
        <f t="array" ref="L116">IF(K116&lt;&gt;"",IF(INDEX(techniques[detection rules for techique],MATCH(K116,techniques[name],0))&gt;=1,INDEX(techniques[detection rules for techique],MATCH(K116,techniques[name],0)),""),"")</f>
        <v/>
      </c>
      <c r="M116" s="45" t="inlineStr">
        <is>
          <t>Hidden Users (T1564.002)</t>
        </is>
      </c>
      <c r="N116" s="54">
        <f t="array" ref="N116">IF(M116&lt;&gt;"",IF(INDEX(techniques[detection rules for techique],MATCH(M116,techniques[name],0))&gt;=1,INDEX(techniques[detection rules for techique],MATCH(M116,techniques[name],0)),""),"")</f>
        <v/>
      </c>
      <c r="O116" s="45" t="n"/>
      <c r="P116" s="54">
        <f t="array" ref="P116">IF(O116&lt;&gt;"",IF(INDEX(techniques[detection rules for techique],MATCH(O116,techniques[name],0))&gt;=1,INDEX(techniques[detection rules for techique],MATCH(O116,techniques[name],0)),""),"")</f>
        <v/>
      </c>
      <c r="Q116" s="45" t="n"/>
      <c r="R116" s="54">
        <f t="array" ref="R116">IF(Q116&lt;&gt;"",IF(INDEX(techniques[detection rules for techique],MATCH(Q116,techniques[name],0))&gt;=1,INDEX(techniques[detection rules for techique],MATCH(Q116,techniques[name],0)),""),"")</f>
        <v/>
      </c>
      <c r="S116" s="45" t="n"/>
      <c r="T116" s="54">
        <f t="array" ref="T116">IF(S116&lt;&gt;"",IF(INDEX(techniques[detection rules for techique],MATCH(S116,techniques[name],0))&gt;=1,INDEX(techniques[detection rules for techique],MATCH(S116,techniques[name],0)),""),"")</f>
        <v/>
      </c>
      <c r="U116" s="45" t="n"/>
      <c r="V116" s="54">
        <f t="array" ref="V116">IF(U116&lt;&gt;"",IF(INDEX(techniques[detection rules for techique],MATCH(U116,techniques[name],0))&gt;=1,INDEX(techniques[detection rules for techique],MATCH(U116,techniques[name],0)),""),"")</f>
        <v/>
      </c>
      <c r="W116" s="45" t="n"/>
      <c r="X116" s="54">
        <f t="array" ref="X116">IF(W116&lt;&gt;"",IF(INDEX(techniques[detection rules for techique],MATCH(W116,techniques[name],0))&gt;=1,INDEX(techniques[detection rules for techique],MATCH(W116,techniques[name],0)),""),"")</f>
        <v/>
      </c>
      <c r="Y116" s="45" t="n"/>
      <c r="Z116" s="54">
        <f t="array" ref="Z116">IF(Y116&lt;&gt;"",IF(INDEX(techniques[detection rules for techique],MATCH(Y116,techniques[name],0))&gt;=1,INDEX(techniques[detection rules for techique],MATCH(Y116,techniques[name],0)),""),"")</f>
        <v/>
      </c>
      <c r="AA116" s="45" t="n"/>
      <c r="AB116" s="54">
        <f t="array" ref="AB116">IF(AA116&lt;&gt;"",IF(INDEX(techniques[detection rules for techique],MATCH(AA116,techniques[name],0))&gt;=1,INDEX(techniques[detection rules for techique],MATCH(AA116,techniques[name],0)),""),"")</f>
        <v/>
      </c>
      <c r="AC116" s="45" t="n"/>
      <c r="AD116" s="54">
        <f t="array" ref="AD116">IF(AC116&lt;&gt;"",IF(INDEX(techniques[detection rules for techique],MATCH(AC116,techniques[name],0))&gt;=1,INDEX(techniques[detection rules for techique],MATCH(AC116,techniques[name],0)),""),"")</f>
        <v/>
      </c>
    </row>
    <row r="117" ht="22.5" customHeight="1">
      <c r="A117" s="45" t="n"/>
      <c r="B117" s="54">
        <f t="array" ref="B117">IF(A117&lt;&gt;"",IF(INDEX(techniques[detection rules for techique],MATCH(A117,techniques[name],0))&gt;=1,INDEX(techniques[detection rules for techique],MATCH(A117,techniques[name],0)),""),"")</f>
        <v/>
      </c>
      <c r="C117" s="45" t="n"/>
      <c r="D117" s="54">
        <f t="array" ref="D117">IF(C117&lt;&gt;"",IF(INDEX(techniques[detection rules for techique],MATCH(C117,techniques[name],0))&gt;=1,INDEX(techniques[detection rules for techique],MATCH(C117,techniques[name],0)),""),"")</f>
        <v/>
      </c>
      <c r="E117" s="45" t="n"/>
      <c r="F117" s="54">
        <f t="array" ref="F117">IF(E117&lt;&gt;"",IF(INDEX(techniques[detection rules for techique],MATCH(E117,techniques[name],0))&gt;=1,INDEX(techniques[detection rules for techique],MATCH(E117,techniques[name],0)),""),"")</f>
        <v/>
      </c>
      <c r="G117" s="45" t="n"/>
      <c r="H117" s="54">
        <f t="array" ref="H117">IF(G117&lt;&gt;"",IF(INDEX(techniques[detection rules for techique],MATCH(G117,techniques[name],0))&gt;=1,INDEX(techniques[detection rules for techique],MATCH(G117,techniques[name],0)),""),"")</f>
        <v/>
      </c>
      <c r="I117" s="45" t="n"/>
      <c r="J117" s="54">
        <f t="array" ref="J117">IF(I117&lt;&gt;"",IF(INDEX(techniques[detection rules for techique],MATCH(I117,techniques[name],0))&gt;=1,INDEX(techniques[detection rules for techique],MATCH(I117,techniques[name],0)),""),"")</f>
        <v/>
      </c>
      <c r="K117" s="45" t="n"/>
      <c r="L117" s="54">
        <f t="array" ref="L117">IF(K117&lt;&gt;"",IF(INDEX(techniques[detection rules for techique],MATCH(K117,techniques[name],0))&gt;=1,INDEX(techniques[detection rules for techique],MATCH(K117,techniques[name],0)),""),"")</f>
        <v/>
      </c>
      <c r="M117" s="45" t="inlineStr">
        <is>
          <t>Hidden Window (T1564.003)</t>
        </is>
      </c>
      <c r="N117" s="54">
        <f t="array" ref="N117">IF(M117&lt;&gt;"",IF(INDEX(techniques[detection rules for techique],MATCH(M117,techniques[name],0))&gt;=1,INDEX(techniques[detection rules for techique],MATCH(M117,techniques[name],0)),""),"")</f>
        <v/>
      </c>
      <c r="O117" s="45" t="n"/>
      <c r="P117" s="54">
        <f t="array" ref="P117">IF(O117&lt;&gt;"",IF(INDEX(techniques[detection rules for techique],MATCH(O117,techniques[name],0))&gt;=1,INDEX(techniques[detection rules for techique],MATCH(O117,techniques[name],0)),""),"")</f>
        <v/>
      </c>
      <c r="Q117" s="45" t="n"/>
      <c r="R117" s="54">
        <f t="array" ref="R117">IF(Q117&lt;&gt;"",IF(INDEX(techniques[detection rules for techique],MATCH(Q117,techniques[name],0))&gt;=1,INDEX(techniques[detection rules for techique],MATCH(Q117,techniques[name],0)),""),"")</f>
        <v/>
      </c>
      <c r="S117" s="45" t="n"/>
      <c r="T117" s="54">
        <f t="array" ref="T117">IF(S117&lt;&gt;"",IF(INDEX(techniques[detection rules for techique],MATCH(S117,techniques[name],0))&gt;=1,INDEX(techniques[detection rules for techique],MATCH(S117,techniques[name],0)),""),"")</f>
        <v/>
      </c>
      <c r="U117" s="45" t="n"/>
      <c r="V117" s="54">
        <f t="array" ref="V117">IF(U117&lt;&gt;"",IF(INDEX(techniques[detection rules for techique],MATCH(U117,techniques[name],0))&gt;=1,INDEX(techniques[detection rules for techique],MATCH(U117,techniques[name],0)),""),"")</f>
        <v/>
      </c>
      <c r="W117" s="45" t="n"/>
      <c r="X117" s="54">
        <f t="array" ref="X117">IF(W117&lt;&gt;"",IF(INDEX(techniques[detection rules for techique],MATCH(W117,techniques[name],0))&gt;=1,INDEX(techniques[detection rules for techique],MATCH(W117,techniques[name],0)),""),"")</f>
        <v/>
      </c>
      <c r="Y117" s="45" t="n"/>
      <c r="Z117" s="54">
        <f t="array" ref="Z117">IF(Y117&lt;&gt;"",IF(INDEX(techniques[detection rules for techique],MATCH(Y117,techniques[name],0))&gt;=1,INDEX(techniques[detection rules for techique],MATCH(Y117,techniques[name],0)),""),"")</f>
        <v/>
      </c>
      <c r="AA117" s="45" t="n"/>
      <c r="AB117" s="54">
        <f t="array" ref="AB117">IF(AA117&lt;&gt;"",IF(INDEX(techniques[detection rules for techique],MATCH(AA117,techniques[name],0))&gt;=1,INDEX(techniques[detection rules for techique],MATCH(AA117,techniques[name],0)),""),"")</f>
        <v/>
      </c>
      <c r="AC117" s="45" t="n"/>
      <c r="AD117" s="54">
        <f t="array" ref="AD117">IF(AC117&lt;&gt;"",IF(INDEX(techniques[detection rules for techique],MATCH(AC117,techniques[name],0))&gt;=1,INDEX(techniques[detection rules for techique],MATCH(AC117,techniques[name],0)),""),"")</f>
        <v/>
      </c>
    </row>
    <row r="118" ht="22.5" customHeight="1">
      <c r="A118" s="45" t="n"/>
      <c r="B118" s="54">
        <f t="array" ref="B118">IF(A118&lt;&gt;"",IF(INDEX(techniques[detection rules for techique],MATCH(A118,techniques[name],0))&gt;=1,INDEX(techniques[detection rules for techique],MATCH(A118,techniques[name],0)),""),"")</f>
        <v/>
      </c>
      <c r="C118" s="45" t="n"/>
      <c r="D118" s="54">
        <f t="array" ref="D118">IF(C118&lt;&gt;"",IF(INDEX(techniques[detection rules for techique],MATCH(C118,techniques[name],0))&gt;=1,INDEX(techniques[detection rules for techique],MATCH(C118,techniques[name],0)),""),"")</f>
        <v/>
      </c>
      <c r="E118" s="45" t="n"/>
      <c r="F118" s="54">
        <f t="array" ref="F118">IF(E118&lt;&gt;"",IF(INDEX(techniques[detection rules for techique],MATCH(E118,techniques[name],0))&gt;=1,INDEX(techniques[detection rules for techique],MATCH(E118,techniques[name],0)),""),"")</f>
        <v/>
      </c>
      <c r="G118" s="45" t="n"/>
      <c r="H118" s="54">
        <f t="array" ref="H118">IF(G118&lt;&gt;"",IF(INDEX(techniques[detection rules for techique],MATCH(G118,techniques[name],0))&gt;=1,INDEX(techniques[detection rules for techique],MATCH(G118,techniques[name],0)),""),"")</f>
        <v/>
      </c>
      <c r="I118" s="45" t="n"/>
      <c r="J118" s="54">
        <f t="array" ref="J118">IF(I118&lt;&gt;"",IF(INDEX(techniques[detection rules for techique],MATCH(I118,techniques[name],0))&gt;=1,INDEX(techniques[detection rules for techique],MATCH(I118,techniques[name],0)),""),"")</f>
        <v/>
      </c>
      <c r="K118" s="45" t="n"/>
      <c r="L118" s="54">
        <f t="array" ref="L118">IF(K118&lt;&gt;"",IF(INDEX(techniques[detection rules for techique],MATCH(K118,techniques[name],0))&gt;=1,INDEX(techniques[detection rules for techique],MATCH(K118,techniques[name],0)),""),"")</f>
        <v/>
      </c>
      <c r="M118" s="45" t="inlineStr">
        <is>
          <t>NTFS File Attributes (T1564.004)</t>
        </is>
      </c>
      <c r="N118" s="54">
        <f t="array" ref="N118">IF(M118&lt;&gt;"",IF(INDEX(techniques[detection rules for techique],MATCH(M118,techniques[name],0))&gt;=1,INDEX(techniques[detection rules for techique],MATCH(M118,techniques[name],0)),""),"")</f>
        <v/>
      </c>
      <c r="O118" s="45" t="n"/>
      <c r="P118" s="54">
        <f t="array" ref="P118">IF(O118&lt;&gt;"",IF(INDEX(techniques[detection rules for techique],MATCH(O118,techniques[name],0))&gt;=1,INDEX(techniques[detection rules for techique],MATCH(O118,techniques[name],0)),""),"")</f>
        <v/>
      </c>
      <c r="Q118" s="45" t="n"/>
      <c r="R118" s="54">
        <f t="array" ref="R118">IF(Q118&lt;&gt;"",IF(INDEX(techniques[detection rules for techique],MATCH(Q118,techniques[name],0))&gt;=1,INDEX(techniques[detection rules for techique],MATCH(Q118,techniques[name],0)),""),"")</f>
        <v/>
      </c>
      <c r="S118" s="45" t="n"/>
      <c r="T118" s="54">
        <f t="array" ref="T118">IF(S118&lt;&gt;"",IF(INDEX(techniques[detection rules for techique],MATCH(S118,techniques[name],0))&gt;=1,INDEX(techniques[detection rules for techique],MATCH(S118,techniques[name],0)),""),"")</f>
        <v/>
      </c>
      <c r="U118" s="45" t="n"/>
      <c r="V118" s="54">
        <f t="array" ref="V118">IF(U118&lt;&gt;"",IF(INDEX(techniques[detection rules for techique],MATCH(U118,techniques[name],0))&gt;=1,INDEX(techniques[detection rules for techique],MATCH(U118,techniques[name],0)),""),"")</f>
        <v/>
      </c>
      <c r="W118" s="45" t="n"/>
      <c r="X118" s="54">
        <f t="array" ref="X118">IF(W118&lt;&gt;"",IF(INDEX(techniques[detection rules for techique],MATCH(W118,techniques[name],0))&gt;=1,INDEX(techniques[detection rules for techique],MATCH(W118,techniques[name],0)),""),"")</f>
        <v/>
      </c>
      <c r="Y118" s="45" t="n"/>
      <c r="Z118" s="54">
        <f t="array" ref="Z118">IF(Y118&lt;&gt;"",IF(INDEX(techniques[detection rules for techique],MATCH(Y118,techniques[name],0))&gt;=1,INDEX(techniques[detection rules for techique],MATCH(Y118,techniques[name],0)),""),"")</f>
        <v/>
      </c>
      <c r="AA118" s="45" t="n"/>
      <c r="AB118" s="54">
        <f t="array" ref="AB118">IF(AA118&lt;&gt;"",IF(INDEX(techniques[detection rules for techique],MATCH(AA118,techniques[name],0))&gt;=1,INDEX(techniques[detection rules for techique],MATCH(AA118,techniques[name],0)),""),"")</f>
        <v/>
      </c>
      <c r="AC118" s="45" t="n"/>
      <c r="AD118" s="54">
        <f t="array" ref="AD118">IF(AC118&lt;&gt;"",IF(INDEX(techniques[detection rules for techique],MATCH(AC118,techniques[name],0))&gt;=1,INDEX(techniques[detection rules for techique],MATCH(AC118,techniques[name],0)),""),"")</f>
        <v/>
      </c>
    </row>
    <row r="119" ht="22.5" customHeight="1">
      <c r="A119" s="45" t="n"/>
      <c r="B119" s="54">
        <f t="array" ref="B119">IF(A119&lt;&gt;"",IF(INDEX(techniques[detection rules for techique],MATCH(A119,techniques[name],0))&gt;=1,INDEX(techniques[detection rules for techique],MATCH(A119,techniques[name],0)),""),"")</f>
        <v/>
      </c>
      <c r="C119" s="45" t="n"/>
      <c r="D119" s="54">
        <f t="array" ref="D119">IF(C119&lt;&gt;"",IF(INDEX(techniques[detection rules for techique],MATCH(C119,techniques[name],0))&gt;=1,INDEX(techniques[detection rules for techique],MATCH(C119,techniques[name],0)),""),"")</f>
        <v/>
      </c>
      <c r="E119" s="45" t="n"/>
      <c r="F119" s="54">
        <f t="array" ref="F119">IF(E119&lt;&gt;"",IF(INDEX(techniques[detection rules for techique],MATCH(E119,techniques[name],0))&gt;=1,INDEX(techniques[detection rules for techique],MATCH(E119,techniques[name],0)),""),"")</f>
        <v/>
      </c>
      <c r="G119" s="45" t="n"/>
      <c r="H119" s="54">
        <f t="array" ref="H119">IF(G119&lt;&gt;"",IF(INDEX(techniques[detection rules for techique],MATCH(G119,techniques[name],0))&gt;=1,INDEX(techniques[detection rules for techique],MATCH(G119,techniques[name],0)),""),"")</f>
        <v/>
      </c>
      <c r="I119" s="45" t="n"/>
      <c r="J119" s="54">
        <f t="array" ref="J119">IF(I119&lt;&gt;"",IF(INDEX(techniques[detection rules for techique],MATCH(I119,techniques[name],0))&gt;=1,INDEX(techniques[detection rules for techique],MATCH(I119,techniques[name],0)),""),"")</f>
        <v/>
      </c>
      <c r="K119" s="45" t="n"/>
      <c r="L119" s="54">
        <f t="array" ref="L119">IF(K119&lt;&gt;"",IF(INDEX(techniques[detection rules for techique],MATCH(K119,techniques[name],0))&gt;=1,INDEX(techniques[detection rules for techique],MATCH(K119,techniques[name],0)),""),"")</f>
        <v/>
      </c>
      <c r="M119" s="45" t="inlineStr">
        <is>
          <t>Hidden File System (T1564.005)</t>
        </is>
      </c>
      <c r="N119" s="54">
        <f t="array" ref="N119">IF(M119&lt;&gt;"",IF(INDEX(techniques[detection rules for techique],MATCH(M119,techniques[name],0))&gt;=1,INDEX(techniques[detection rules for techique],MATCH(M119,techniques[name],0)),""),"")</f>
        <v/>
      </c>
      <c r="O119" s="45" t="n"/>
      <c r="P119" s="54">
        <f t="array" ref="P119">IF(O119&lt;&gt;"",IF(INDEX(techniques[detection rules for techique],MATCH(O119,techniques[name],0))&gt;=1,INDEX(techniques[detection rules for techique],MATCH(O119,techniques[name],0)),""),"")</f>
        <v/>
      </c>
      <c r="Q119" s="45" t="n"/>
      <c r="R119" s="54">
        <f t="array" ref="R119">IF(Q119&lt;&gt;"",IF(INDEX(techniques[detection rules for techique],MATCH(Q119,techniques[name],0))&gt;=1,INDEX(techniques[detection rules for techique],MATCH(Q119,techniques[name],0)),""),"")</f>
        <v/>
      </c>
      <c r="S119" s="45" t="n"/>
      <c r="T119" s="54">
        <f t="array" ref="T119">IF(S119&lt;&gt;"",IF(INDEX(techniques[detection rules for techique],MATCH(S119,techniques[name],0))&gt;=1,INDEX(techniques[detection rules for techique],MATCH(S119,techniques[name],0)),""),"")</f>
        <v/>
      </c>
      <c r="U119" s="45" t="n"/>
      <c r="V119" s="54">
        <f t="array" ref="V119">IF(U119&lt;&gt;"",IF(INDEX(techniques[detection rules for techique],MATCH(U119,techniques[name],0))&gt;=1,INDEX(techniques[detection rules for techique],MATCH(U119,techniques[name],0)),""),"")</f>
        <v/>
      </c>
      <c r="W119" s="45" t="n"/>
      <c r="X119" s="54">
        <f t="array" ref="X119">IF(W119&lt;&gt;"",IF(INDEX(techniques[detection rules for techique],MATCH(W119,techniques[name],0))&gt;=1,INDEX(techniques[detection rules for techique],MATCH(W119,techniques[name],0)),""),"")</f>
        <v/>
      </c>
      <c r="Y119" s="45" t="n"/>
      <c r="Z119" s="54">
        <f t="array" ref="Z119">IF(Y119&lt;&gt;"",IF(INDEX(techniques[detection rules for techique],MATCH(Y119,techniques[name],0))&gt;=1,INDEX(techniques[detection rules for techique],MATCH(Y119,techniques[name],0)),""),"")</f>
        <v/>
      </c>
      <c r="AA119" s="45" t="n"/>
      <c r="AB119" s="54">
        <f t="array" ref="AB119">IF(AA119&lt;&gt;"",IF(INDEX(techniques[detection rules for techique],MATCH(AA119,techniques[name],0))&gt;=1,INDEX(techniques[detection rules for techique],MATCH(AA119,techniques[name],0)),""),"")</f>
        <v/>
      </c>
      <c r="AC119" s="45" t="n"/>
      <c r="AD119" s="54">
        <f t="array" ref="AD119">IF(AC119&lt;&gt;"",IF(INDEX(techniques[detection rules for techique],MATCH(AC119,techniques[name],0))&gt;=1,INDEX(techniques[detection rules for techique],MATCH(AC119,techniques[name],0)),""),"")</f>
        <v/>
      </c>
    </row>
    <row r="120">
      <c r="A120" s="45" t="n"/>
      <c r="B120" s="54">
        <f t="array" ref="B120">IF(A120&lt;&gt;"",IF(INDEX(techniques[detection rules for techique],MATCH(A120,techniques[name],0))&gt;=1,INDEX(techniques[detection rules for techique],MATCH(A120,techniques[name],0)),""),"")</f>
        <v/>
      </c>
      <c r="C120" s="45" t="n"/>
      <c r="D120" s="54">
        <f t="array" ref="D120">IF(C120&lt;&gt;"",IF(INDEX(techniques[detection rules for techique],MATCH(C120,techniques[name],0))&gt;=1,INDEX(techniques[detection rules for techique],MATCH(C120,techniques[name],0)),""),"")</f>
        <v/>
      </c>
      <c r="E120" s="45" t="n"/>
      <c r="F120" s="54">
        <f t="array" ref="F120">IF(E120&lt;&gt;"",IF(INDEX(techniques[detection rules for techique],MATCH(E120,techniques[name],0))&gt;=1,INDEX(techniques[detection rules for techique],MATCH(E120,techniques[name],0)),""),"")</f>
        <v/>
      </c>
      <c r="G120" s="45" t="n"/>
      <c r="H120" s="54">
        <f t="array" ref="H120">IF(G120&lt;&gt;"",IF(INDEX(techniques[detection rules for techique],MATCH(G120,techniques[name],0))&gt;=1,INDEX(techniques[detection rules for techique],MATCH(G120,techniques[name],0)),""),"")</f>
        <v/>
      </c>
      <c r="I120" s="45" t="n"/>
      <c r="J120" s="54">
        <f t="array" ref="J120">IF(I120&lt;&gt;"",IF(INDEX(techniques[detection rules for techique],MATCH(I120,techniques[name],0))&gt;=1,INDEX(techniques[detection rules for techique],MATCH(I120,techniques[name],0)),""),"")</f>
        <v/>
      </c>
      <c r="K120" s="45" t="n"/>
      <c r="L120" s="54">
        <f t="array" ref="L120">IF(K120&lt;&gt;"",IF(INDEX(techniques[detection rules for techique],MATCH(K120,techniques[name],0))&gt;=1,INDEX(techniques[detection rules for techique],MATCH(K120,techniques[name],0)),""),"")</f>
        <v/>
      </c>
      <c r="M120" s="45" t="inlineStr">
        <is>
          <t>Run Virtual Instance (T1564.006)</t>
        </is>
      </c>
      <c r="N120" s="54">
        <f t="array" ref="N120">IF(M120&lt;&gt;"",IF(INDEX(techniques[detection rules for techique],MATCH(M120,techniques[name],0))&gt;=1,INDEX(techniques[detection rules for techique],MATCH(M120,techniques[name],0)),""),"")</f>
        <v/>
      </c>
      <c r="O120" s="45" t="n"/>
      <c r="P120" s="54">
        <f t="array" ref="P120">IF(O120&lt;&gt;"",IF(INDEX(techniques[detection rules for techique],MATCH(O120,techniques[name],0))&gt;=1,INDEX(techniques[detection rules for techique],MATCH(O120,techniques[name],0)),""),"")</f>
        <v/>
      </c>
      <c r="Q120" s="45" t="n"/>
      <c r="R120" s="54">
        <f t="array" ref="R120">IF(Q120&lt;&gt;"",IF(INDEX(techniques[detection rules for techique],MATCH(Q120,techniques[name],0))&gt;=1,INDEX(techniques[detection rules for techique],MATCH(Q120,techniques[name],0)),""),"")</f>
        <v/>
      </c>
      <c r="S120" s="45" t="n"/>
      <c r="T120" s="54">
        <f t="array" ref="T120">IF(S120&lt;&gt;"",IF(INDEX(techniques[detection rules for techique],MATCH(S120,techniques[name],0))&gt;=1,INDEX(techniques[detection rules for techique],MATCH(S120,techniques[name],0)),""),"")</f>
        <v/>
      </c>
      <c r="U120" s="45" t="n"/>
      <c r="V120" s="54">
        <f t="array" ref="V120">IF(U120&lt;&gt;"",IF(INDEX(techniques[detection rules for techique],MATCH(U120,techniques[name],0))&gt;=1,INDEX(techniques[detection rules for techique],MATCH(U120,techniques[name],0)),""),"")</f>
        <v/>
      </c>
      <c r="W120" s="45" t="n"/>
      <c r="X120" s="54">
        <f t="array" ref="X120">IF(W120&lt;&gt;"",IF(INDEX(techniques[detection rules for techique],MATCH(W120,techniques[name],0))&gt;=1,INDEX(techniques[detection rules for techique],MATCH(W120,techniques[name],0)),""),"")</f>
        <v/>
      </c>
      <c r="Y120" s="45" t="n"/>
      <c r="Z120" s="54">
        <f t="array" ref="Z120">IF(Y120&lt;&gt;"",IF(INDEX(techniques[detection rules for techique],MATCH(Y120,techniques[name],0))&gt;=1,INDEX(techniques[detection rules for techique],MATCH(Y120,techniques[name],0)),""),"")</f>
        <v/>
      </c>
      <c r="AA120" s="45" t="n"/>
      <c r="AB120" s="54">
        <f t="array" ref="AB120">IF(AA120&lt;&gt;"",IF(INDEX(techniques[detection rules for techique],MATCH(AA120,techniques[name],0))&gt;=1,INDEX(techniques[detection rules for techique],MATCH(AA120,techniques[name],0)),""),"")</f>
        <v/>
      </c>
      <c r="AC120" s="45" t="n"/>
      <c r="AD120" s="54">
        <f t="array" ref="AD120">IF(AC120&lt;&gt;"",IF(INDEX(techniques[detection rules for techique],MATCH(AC120,techniques[name],0))&gt;=1,INDEX(techniques[detection rules for techique],MATCH(AC120,techniques[name],0)),""),"")</f>
        <v/>
      </c>
    </row>
    <row r="121" ht="22.5" customHeight="1">
      <c r="A121" s="45" t="n"/>
      <c r="B121" s="54">
        <f t="array" ref="B121">IF(A121&lt;&gt;"",IF(INDEX(techniques[detection rules for techique],MATCH(A121,techniques[name],0))&gt;=1,INDEX(techniques[detection rules for techique],MATCH(A121,techniques[name],0)),""),"")</f>
        <v/>
      </c>
      <c r="C121" s="45" t="n"/>
      <c r="D121" s="54">
        <f t="array" ref="D121">IF(C121&lt;&gt;"",IF(INDEX(techniques[detection rules for techique],MATCH(C121,techniques[name],0))&gt;=1,INDEX(techniques[detection rules for techique],MATCH(C121,techniques[name],0)),""),"")</f>
        <v/>
      </c>
      <c r="E121" s="45" t="n"/>
      <c r="F121" s="54">
        <f t="array" ref="F121">IF(E121&lt;&gt;"",IF(INDEX(techniques[detection rules for techique],MATCH(E121,techniques[name],0))&gt;=1,INDEX(techniques[detection rules for techique],MATCH(E121,techniques[name],0)),""),"")</f>
        <v/>
      </c>
      <c r="G121" s="45" t="n"/>
      <c r="H121" s="54">
        <f t="array" ref="H121">IF(G121&lt;&gt;"",IF(INDEX(techniques[detection rules for techique],MATCH(G121,techniques[name],0))&gt;=1,INDEX(techniques[detection rules for techique],MATCH(G121,techniques[name],0)),""),"")</f>
        <v/>
      </c>
      <c r="I121" s="45" t="n"/>
      <c r="J121" s="54">
        <f t="array" ref="J121">IF(I121&lt;&gt;"",IF(INDEX(techniques[detection rules for techique],MATCH(I121,techniques[name],0))&gt;=1,INDEX(techniques[detection rules for techique],MATCH(I121,techniques[name],0)),""),"")</f>
        <v/>
      </c>
      <c r="K121" s="45" t="n"/>
      <c r="L121" s="54">
        <f t="array" ref="L121">IF(K121&lt;&gt;"",IF(INDEX(techniques[detection rules for techique],MATCH(K121,techniques[name],0))&gt;=1,INDEX(techniques[detection rules for techique],MATCH(K121,techniques[name],0)),""),"")</f>
        <v/>
      </c>
      <c r="M121" s="45" t="inlineStr">
        <is>
          <t>VBA Stomping (T1564.007)</t>
        </is>
      </c>
      <c r="N121" s="54">
        <f t="array" ref="N121">IF(M121&lt;&gt;"",IF(INDEX(techniques[detection rules for techique],MATCH(M121,techniques[name],0))&gt;=1,INDEX(techniques[detection rules for techique],MATCH(M121,techniques[name],0)),""),"")</f>
        <v/>
      </c>
      <c r="O121" s="45" t="n"/>
      <c r="P121" s="54">
        <f t="array" ref="P121">IF(O121&lt;&gt;"",IF(INDEX(techniques[detection rules for techique],MATCH(O121,techniques[name],0))&gt;=1,INDEX(techniques[detection rules for techique],MATCH(O121,techniques[name],0)),""),"")</f>
        <v/>
      </c>
      <c r="Q121" s="45" t="n"/>
      <c r="R121" s="54">
        <f t="array" ref="R121">IF(Q121&lt;&gt;"",IF(INDEX(techniques[detection rules for techique],MATCH(Q121,techniques[name],0))&gt;=1,INDEX(techniques[detection rules for techique],MATCH(Q121,techniques[name],0)),""),"")</f>
        <v/>
      </c>
      <c r="S121" s="45" t="n"/>
      <c r="T121" s="54">
        <f t="array" ref="T121">IF(S121&lt;&gt;"",IF(INDEX(techniques[detection rules for techique],MATCH(S121,techniques[name],0))&gt;=1,INDEX(techniques[detection rules for techique],MATCH(S121,techniques[name],0)),""),"")</f>
        <v/>
      </c>
      <c r="U121" s="45" t="n"/>
      <c r="V121" s="54">
        <f t="array" ref="V121">IF(U121&lt;&gt;"",IF(INDEX(techniques[detection rules for techique],MATCH(U121,techniques[name],0))&gt;=1,INDEX(techniques[detection rules for techique],MATCH(U121,techniques[name],0)),""),"")</f>
        <v/>
      </c>
      <c r="W121" s="45" t="n"/>
      <c r="X121" s="54">
        <f t="array" ref="X121">IF(W121&lt;&gt;"",IF(INDEX(techniques[detection rules for techique],MATCH(W121,techniques[name],0))&gt;=1,INDEX(techniques[detection rules for techique],MATCH(W121,techniques[name],0)),""),"")</f>
        <v/>
      </c>
      <c r="Y121" s="45" t="n"/>
      <c r="Z121" s="54">
        <f t="array" ref="Z121">IF(Y121&lt;&gt;"",IF(INDEX(techniques[detection rules for techique],MATCH(Y121,techniques[name],0))&gt;=1,INDEX(techniques[detection rules for techique],MATCH(Y121,techniques[name],0)),""),"")</f>
        <v/>
      </c>
      <c r="AA121" s="45" t="n"/>
      <c r="AB121" s="54">
        <f t="array" ref="AB121">IF(AA121&lt;&gt;"",IF(INDEX(techniques[detection rules for techique],MATCH(AA121,techniques[name],0))&gt;=1,INDEX(techniques[detection rules for techique],MATCH(AA121,techniques[name],0)),""),"")</f>
        <v/>
      </c>
      <c r="AC121" s="45" t="n"/>
      <c r="AD121" s="54">
        <f t="array" ref="AD121">IF(AC121&lt;&gt;"",IF(INDEX(techniques[detection rules for techique],MATCH(AC121,techniques[name],0))&gt;=1,INDEX(techniques[detection rules for techique],MATCH(AC121,techniques[name],0)),""),"")</f>
        <v/>
      </c>
    </row>
    <row r="122" ht="22.5" customHeight="1">
      <c r="A122" s="45" t="n"/>
      <c r="B122" s="54">
        <f t="array" ref="B122">IF(A122&lt;&gt;"",IF(INDEX(techniques[detection rules for techique],MATCH(A122,techniques[name],0))&gt;=1,INDEX(techniques[detection rules for techique],MATCH(A122,techniques[name],0)),""),"")</f>
        <v/>
      </c>
      <c r="C122" s="45" t="n"/>
      <c r="D122" s="54">
        <f t="array" ref="D122">IF(C122&lt;&gt;"",IF(INDEX(techniques[detection rules for techique],MATCH(C122,techniques[name],0))&gt;=1,INDEX(techniques[detection rules for techique],MATCH(C122,techniques[name],0)),""),"")</f>
        <v/>
      </c>
      <c r="E122" s="45" t="n"/>
      <c r="F122" s="54">
        <f t="array" ref="F122">IF(E122&lt;&gt;"",IF(INDEX(techniques[detection rules for techique],MATCH(E122,techniques[name],0))&gt;=1,INDEX(techniques[detection rules for techique],MATCH(E122,techniques[name],0)),""),"")</f>
        <v/>
      </c>
      <c r="G122" s="45" t="n"/>
      <c r="H122" s="54">
        <f t="array" ref="H122">IF(G122&lt;&gt;"",IF(INDEX(techniques[detection rules for techique],MATCH(G122,techniques[name],0))&gt;=1,INDEX(techniques[detection rules for techique],MATCH(G122,techniques[name],0)),""),"")</f>
        <v/>
      </c>
      <c r="I122" s="45" t="n"/>
      <c r="J122" s="54">
        <f t="array" ref="J122">IF(I122&lt;&gt;"",IF(INDEX(techniques[detection rules for techique],MATCH(I122,techniques[name],0))&gt;=1,INDEX(techniques[detection rules for techique],MATCH(I122,techniques[name],0)),""),"")</f>
        <v/>
      </c>
      <c r="K122" s="45" t="n"/>
      <c r="L122" s="54">
        <f t="array" ref="L122">IF(K122&lt;&gt;"",IF(INDEX(techniques[detection rules for techique],MATCH(K122,techniques[name],0))&gt;=1,INDEX(techniques[detection rules for techique],MATCH(K122,techniques[name],0)),""),"")</f>
        <v/>
      </c>
      <c r="M122" s="45" t="inlineStr">
        <is>
          <t>Email Hiding Rules (T1564.008)</t>
        </is>
      </c>
      <c r="N122" s="54">
        <f t="array" ref="N122">IF(M122&lt;&gt;"",IF(INDEX(techniques[detection rules for techique],MATCH(M122,techniques[name],0))&gt;=1,INDEX(techniques[detection rules for techique],MATCH(M122,techniques[name],0)),""),"")</f>
        <v/>
      </c>
      <c r="O122" s="45" t="n"/>
      <c r="P122" s="54">
        <f t="array" ref="P122">IF(O122&lt;&gt;"",IF(INDEX(techniques[detection rules for techique],MATCH(O122,techniques[name],0))&gt;=1,INDEX(techniques[detection rules for techique],MATCH(O122,techniques[name],0)),""),"")</f>
        <v/>
      </c>
      <c r="Q122" s="45" t="n"/>
      <c r="R122" s="54">
        <f t="array" ref="R122">IF(Q122&lt;&gt;"",IF(INDEX(techniques[detection rules for techique],MATCH(Q122,techniques[name],0))&gt;=1,INDEX(techniques[detection rules for techique],MATCH(Q122,techniques[name],0)),""),"")</f>
        <v/>
      </c>
      <c r="S122" s="45" t="n"/>
      <c r="T122" s="54">
        <f t="array" ref="T122">IF(S122&lt;&gt;"",IF(INDEX(techniques[detection rules for techique],MATCH(S122,techniques[name],0))&gt;=1,INDEX(techniques[detection rules for techique],MATCH(S122,techniques[name],0)),""),"")</f>
        <v/>
      </c>
      <c r="U122" s="45" t="n"/>
      <c r="V122" s="54">
        <f t="array" ref="V122">IF(U122&lt;&gt;"",IF(INDEX(techniques[detection rules for techique],MATCH(U122,techniques[name],0))&gt;=1,INDEX(techniques[detection rules for techique],MATCH(U122,techniques[name],0)),""),"")</f>
        <v/>
      </c>
      <c r="W122" s="45" t="n"/>
      <c r="X122" s="54">
        <f t="array" ref="X122">IF(W122&lt;&gt;"",IF(INDEX(techniques[detection rules for techique],MATCH(W122,techniques[name],0))&gt;=1,INDEX(techniques[detection rules for techique],MATCH(W122,techniques[name],0)),""),"")</f>
        <v/>
      </c>
      <c r="Y122" s="45" t="n"/>
      <c r="Z122" s="54">
        <f t="array" ref="Z122">IF(Y122&lt;&gt;"",IF(INDEX(techniques[detection rules for techique],MATCH(Y122,techniques[name],0))&gt;=1,INDEX(techniques[detection rules for techique],MATCH(Y122,techniques[name],0)),""),"")</f>
        <v/>
      </c>
      <c r="AA122" s="45" t="n"/>
      <c r="AB122" s="54">
        <f t="array" ref="AB122">IF(AA122&lt;&gt;"",IF(INDEX(techniques[detection rules for techique],MATCH(AA122,techniques[name],0))&gt;=1,INDEX(techniques[detection rules for techique],MATCH(AA122,techniques[name],0)),""),"")</f>
        <v/>
      </c>
      <c r="AC122" s="45" t="n"/>
      <c r="AD122" s="54">
        <f t="array" ref="AD122">IF(AC122&lt;&gt;"",IF(INDEX(techniques[detection rules for techique],MATCH(AC122,techniques[name],0))&gt;=1,INDEX(techniques[detection rules for techique],MATCH(AC122,techniques[name],0)),""),"")</f>
        <v/>
      </c>
    </row>
    <row r="123" ht="22.5" customHeight="1">
      <c r="A123" s="45" t="n"/>
      <c r="B123" s="54">
        <f t="array" ref="B123">IF(A123&lt;&gt;"",IF(INDEX(techniques[detection rules for techique],MATCH(A123,techniques[name],0))&gt;=1,INDEX(techniques[detection rules for techique],MATCH(A123,techniques[name],0)),""),"")</f>
        <v/>
      </c>
      <c r="C123" s="45" t="n"/>
      <c r="D123" s="54">
        <f t="array" ref="D123">IF(C123&lt;&gt;"",IF(INDEX(techniques[detection rules for techique],MATCH(C123,techniques[name],0))&gt;=1,INDEX(techniques[detection rules for techique],MATCH(C123,techniques[name],0)),""),"")</f>
        <v/>
      </c>
      <c r="E123" s="45" t="n"/>
      <c r="F123" s="54">
        <f t="array" ref="F123">IF(E123&lt;&gt;"",IF(INDEX(techniques[detection rules for techique],MATCH(E123,techniques[name],0))&gt;=1,INDEX(techniques[detection rules for techique],MATCH(E123,techniques[name],0)),""),"")</f>
        <v/>
      </c>
      <c r="G123" s="45" t="n"/>
      <c r="H123" s="54">
        <f t="array" ref="H123">IF(G123&lt;&gt;"",IF(INDEX(techniques[detection rules for techique],MATCH(G123,techniques[name],0))&gt;=1,INDEX(techniques[detection rules for techique],MATCH(G123,techniques[name],0)),""),"")</f>
        <v/>
      </c>
      <c r="I123" s="45" t="n"/>
      <c r="J123" s="54">
        <f t="array" ref="J123">IF(I123&lt;&gt;"",IF(INDEX(techniques[detection rules for techique],MATCH(I123,techniques[name],0))&gt;=1,INDEX(techniques[detection rules for techique],MATCH(I123,techniques[name],0)),""),"")</f>
        <v/>
      </c>
      <c r="K123" s="45" t="n"/>
      <c r="L123" s="54">
        <f t="array" ref="L123">IF(K123&lt;&gt;"",IF(INDEX(techniques[detection rules for techique],MATCH(K123,techniques[name],0))&gt;=1,INDEX(techniques[detection rules for techique],MATCH(K123,techniques[name],0)),""),"")</f>
        <v/>
      </c>
      <c r="M123" s="45" t="inlineStr">
        <is>
          <t>Resource Forking (T1564.009)</t>
        </is>
      </c>
      <c r="N123" s="54">
        <f t="array" ref="N123">IF(M123&lt;&gt;"",IF(INDEX(techniques[detection rules for techique],MATCH(M123,techniques[name],0))&gt;=1,INDEX(techniques[detection rules for techique],MATCH(M123,techniques[name],0)),""),"")</f>
        <v/>
      </c>
      <c r="O123" s="45" t="n"/>
      <c r="P123" s="54">
        <f t="array" ref="P123">IF(O123&lt;&gt;"",IF(INDEX(techniques[detection rules for techique],MATCH(O123,techniques[name],0))&gt;=1,INDEX(techniques[detection rules for techique],MATCH(O123,techniques[name],0)),""),"")</f>
        <v/>
      </c>
      <c r="Q123" s="45" t="n"/>
      <c r="R123" s="54">
        <f t="array" ref="R123">IF(Q123&lt;&gt;"",IF(INDEX(techniques[detection rules for techique],MATCH(Q123,techniques[name],0))&gt;=1,INDEX(techniques[detection rules for techique],MATCH(Q123,techniques[name],0)),""),"")</f>
        <v/>
      </c>
      <c r="S123" s="45" t="n"/>
      <c r="T123" s="54">
        <f t="array" ref="T123">IF(S123&lt;&gt;"",IF(INDEX(techniques[detection rules for techique],MATCH(S123,techniques[name],0))&gt;=1,INDEX(techniques[detection rules for techique],MATCH(S123,techniques[name],0)),""),"")</f>
        <v/>
      </c>
      <c r="U123" s="45" t="n"/>
      <c r="V123" s="54">
        <f t="array" ref="V123">IF(U123&lt;&gt;"",IF(INDEX(techniques[detection rules for techique],MATCH(U123,techniques[name],0))&gt;=1,INDEX(techniques[detection rules for techique],MATCH(U123,techniques[name],0)),""),"")</f>
        <v/>
      </c>
      <c r="W123" s="45" t="n"/>
      <c r="X123" s="54">
        <f t="array" ref="X123">IF(W123&lt;&gt;"",IF(INDEX(techniques[detection rules for techique],MATCH(W123,techniques[name],0))&gt;=1,INDEX(techniques[detection rules for techique],MATCH(W123,techniques[name],0)),""),"")</f>
        <v/>
      </c>
      <c r="Y123" s="45" t="n"/>
      <c r="Z123" s="54">
        <f t="array" ref="Z123">IF(Y123&lt;&gt;"",IF(INDEX(techniques[detection rules for techique],MATCH(Y123,techniques[name],0))&gt;=1,INDEX(techniques[detection rules for techique],MATCH(Y123,techniques[name],0)),""),"")</f>
        <v/>
      </c>
      <c r="AA123" s="45" t="n"/>
      <c r="AB123" s="54">
        <f t="array" ref="AB123">IF(AA123&lt;&gt;"",IF(INDEX(techniques[detection rules for techique],MATCH(AA123,techniques[name],0))&gt;=1,INDEX(techniques[detection rules for techique],MATCH(AA123,techniques[name],0)),""),"")</f>
        <v/>
      </c>
      <c r="AC123" s="45" t="n"/>
      <c r="AD123" s="54">
        <f t="array" ref="AD123">IF(AC123&lt;&gt;"",IF(INDEX(techniques[detection rules for techique],MATCH(AC123,techniques[name],0))&gt;=1,INDEX(techniques[detection rules for techique],MATCH(AC123,techniques[name],0)),""),"")</f>
        <v/>
      </c>
    </row>
    <row r="124" ht="22.5" customHeight="1">
      <c r="A124" s="45" t="n"/>
      <c r="B124" s="54">
        <f t="array" ref="B124">IF(A124&lt;&gt;"",IF(INDEX(techniques[detection rules for techique],MATCH(A124,techniques[name],0))&gt;=1,INDEX(techniques[detection rules for techique],MATCH(A124,techniques[name],0)),""),"")</f>
        <v/>
      </c>
      <c r="C124" s="45" t="n"/>
      <c r="D124" s="54">
        <f t="array" ref="D124">IF(C124&lt;&gt;"",IF(INDEX(techniques[detection rules for techique],MATCH(C124,techniques[name],0))&gt;=1,INDEX(techniques[detection rules for techique],MATCH(C124,techniques[name],0)),""),"")</f>
        <v/>
      </c>
      <c r="E124" s="45" t="n"/>
      <c r="F124" s="54">
        <f t="array" ref="F124">IF(E124&lt;&gt;"",IF(INDEX(techniques[detection rules for techique],MATCH(E124,techniques[name],0))&gt;=1,INDEX(techniques[detection rules for techique],MATCH(E124,techniques[name],0)),""),"")</f>
        <v/>
      </c>
      <c r="G124" s="45" t="n"/>
      <c r="H124" s="54">
        <f t="array" ref="H124">IF(G124&lt;&gt;"",IF(INDEX(techniques[detection rules for techique],MATCH(G124,techniques[name],0))&gt;=1,INDEX(techniques[detection rules for techique],MATCH(G124,techniques[name],0)),""),"")</f>
        <v/>
      </c>
      <c r="I124" s="45" t="n"/>
      <c r="J124" s="54">
        <f t="array" ref="J124">IF(I124&lt;&gt;"",IF(INDEX(techniques[detection rules for techique],MATCH(I124,techniques[name],0))&gt;=1,INDEX(techniques[detection rules for techique],MATCH(I124,techniques[name],0)),""),"")</f>
        <v/>
      </c>
      <c r="K124" s="45" t="n"/>
      <c r="L124" s="54">
        <f t="array" ref="L124">IF(K124&lt;&gt;"",IF(INDEX(techniques[detection rules for techique],MATCH(K124,techniques[name],0))&gt;=1,INDEX(techniques[detection rules for techique],MATCH(K124,techniques[name],0)),""),"")</f>
        <v/>
      </c>
      <c r="M124" s="45" t="inlineStr">
        <is>
          <t>Process Argument Spoofing (T1564.010)</t>
        </is>
      </c>
      <c r="N124" s="54">
        <f t="array" ref="N124">IF(M124&lt;&gt;"",IF(INDEX(techniques[detection rules for techique],MATCH(M124,techniques[name],0))&gt;=1,INDEX(techniques[detection rules for techique],MATCH(M124,techniques[name],0)),""),"")</f>
        <v/>
      </c>
      <c r="O124" s="45" t="n"/>
      <c r="P124" s="54">
        <f t="array" ref="P124">IF(O124&lt;&gt;"",IF(INDEX(techniques[detection rules for techique],MATCH(O124,techniques[name],0))&gt;=1,INDEX(techniques[detection rules for techique],MATCH(O124,techniques[name],0)),""),"")</f>
        <v/>
      </c>
      <c r="Q124" s="45" t="n"/>
      <c r="R124" s="54">
        <f t="array" ref="R124">IF(Q124&lt;&gt;"",IF(INDEX(techniques[detection rules for techique],MATCH(Q124,techniques[name],0))&gt;=1,INDEX(techniques[detection rules for techique],MATCH(Q124,techniques[name],0)),""),"")</f>
        <v/>
      </c>
      <c r="S124" s="45" t="n"/>
      <c r="T124" s="54">
        <f t="array" ref="T124">IF(S124&lt;&gt;"",IF(INDEX(techniques[detection rules for techique],MATCH(S124,techniques[name],0))&gt;=1,INDEX(techniques[detection rules for techique],MATCH(S124,techniques[name],0)),""),"")</f>
        <v/>
      </c>
      <c r="U124" s="45" t="n"/>
      <c r="V124" s="54">
        <f t="array" ref="V124">IF(U124&lt;&gt;"",IF(INDEX(techniques[detection rules for techique],MATCH(U124,techniques[name],0))&gt;=1,INDEX(techniques[detection rules for techique],MATCH(U124,techniques[name],0)),""),"")</f>
        <v/>
      </c>
      <c r="W124" s="45" t="n"/>
      <c r="X124" s="54">
        <f t="array" ref="X124">IF(W124&lt;&gt;"",IF(INDEX(techniques[detection rules for techique],MATCH(W124,techniques[name],0))&gt;=1,INDEX(techniques[detection rules for techique],MATCH(W124,techniques[name],0)),""),"")</f>
        <v/>
      </c>
      <c r="Y124" s="45" t="n"/>
      <c r="Z124" s="54">
        <f t="array" ref="Z124">IF(Y124&lt;&gt;"",IF(INDEX(techniques[detection rules for techique],MATCH(Y124,techniques[name],0))&gt;=1,INDEX(techniques[detection rules for techique],MATCH(Y124,techniques[name],0)),""),"")</f>
        <v/>
      </c>
      <c r="AA124" s="45" t="n"/>
      <c r="AB124" s="54">
        <f t="array" ref="AB124">IF(AA124&lt;&gt;"",IF(INDEX(techniques[detection rules for techique],MATCH(AA124,techniques[name],0))&gt;=1,INDEX(techniques[detection rules for techique],MATCH(AA124,techniques[name],0)),""),"")</f>
        <v/>
      </c>
      <c r="AC124" s="45" t="n"/>
      <c r="AD124" s="54">
        <f t="array" ref="AD124">IF(AC124&lt;&gt;"",IF(INDEX(techniques[detection rules for techique],MATCH(AC124,techniques[name],0))&gt;=1,INDEX(techniques[detection rules for techique],MATCH(AC124,techniques[name],0)),""),"")</f>
        <v/>
      </c>
    </row>
    <row r="125" ht="22.5" customHeight="1">
      <c r="A125" s="45" t="n"/>
      <c r="B125" s="54">
        <f t="array" ref="B125">IF(A125&lt;&gt;"",IF(INDEX(techniques[detection rules for techique],MATCH(A125,techniques[name],0))&gt;=1,INDEX(techniques[detection rules for techique],MATCH(A125,techniques[name],0)),""),"")</f>
        <v/>
      </c>
      <c r="C125" s="45" t="n"/>
      <c r="D125" s="54">
        <f t="array" ref="D125">IF(C125&lt;&gt;"",IF(INDEX(techniques[detection rules for techique],MATCH(C125,techniques[name],0))&gt;=1,INDEX(techniques[detection rules for techique],MATCH(C125,techniques[name],0)),""),"")</f>
        <v/>
      </c>
      <c r="E125" s="45" t="n"/>
      <c r="F125" s="54">
        <f t="array" ref="F125">IF(E125&lt;&gt;"",IF(INDEX(techniques[detection rules for techique],MATCH(E125,techniques[name],0))&gt;=1,INDEX(techniques[detection rules for techique],MATCH(E125,techniques[name],0)),""),"")</f>
        <v/>
      </c>
      <c r="G125" s="45" t="n"/>
      <c r="H125" s="54">
        <f t="array" ref="H125">IF(G125&lt;&gt;"",IF(INDEX(techniques[detection rules for techique],MATCH(G125,techniques[name],0))&gt;=1,INDEX(techniques[detection rules for techique],MATCH(G125,techniques[name],0)),""),"")</f>
        <v/>
      </c>
      <c r="I125" s="45" t="n"/>
      <c r="J125" s="54">
        <f t="array" ref="J125">IF(I125&lt;&gt;"",IF(INDEX(techniques[detection rules for techique],MATCH(I125,techniques[name],0))&gt;=1,INDEX(techniques[detection rules for techique],MATCH(I125,techniques[name],0)),""),"")</f>
        <v/>
      </c>
      <c r="K125" s="45" t="n"/>
      <c r="L125" s="54">
        <f t="array" ref="L125">IF(K125&lt;&gt;"",IF(INDEX(techniques[detection rules for techique],MATCH(K125,techniques[name],0))&gt;=1,INDEX(techniques[detection rules for techique],MATCH(K125,techniques[name],0)),""),"")</f>
        <v/>
      </c>
      <c r="M125" s="45" t="inlineStr">
        <is>
          <t>Ignore Process Interrupts (T1564.011)</t>
        </is>
      </c>
      <c r="N125" s="54">
        <f t="array" ref="N125">IF(M125&lt;&gt;"",IF(INDEX(techniques[detection rules for techique],MATCH(M125,techniques[name],0))&gt;=1,INDEX(techniques[detection rules for techique],MATCH(M125,techniques[name],0)),""),"")</f>
        <v/>
      </c>
      <c r="O125" s="45" t="n"/>
      <c r="P125" s="54">
        <f t="array" ref="P125">IF(O125&lt;&gt;"",IF(INDEX(techniques[detection rules for techique],MATCH(O125,techniques[name],0))&gt;=1,INDEX(techniques[detection rules for techique],MATCH(O125,techniques[name],0)),""),"")</f>
        <v/>
      </c>
      <c r="Q125" s="45" t="n"/>
      <c r="R125" s="54">
        <f t="array" ref="R125">IF(Q125&lt;&gt;"",IF(INDEX(techniques[detection rules for techique],MATCH(Q125,techniques[name],0))&gt;=1,INDEX(techniques[detection rules for techique],MATCH(Q125,techniques[name],0)),""),"")</f>
        <v/>
      </c>
      <c r="S125" s="45" t="n"/>
      <c r="T125" s="54">
        <f t="array" ref="T125">IF(S125&lt;&gt;"",IF(INDEX(techniques[detection rules for techique],MATCH(S125,techniques[name],0))&gt;=1,INDEX(techniques[detection rules for techique],MATCH(S125,techniques[name],0)),""),"")</f>
        <v/>
      </c>
      <c r="U125" s="45" t="n"/>
      <c r="V125" s="54">
        <f t="array" ref="V125">IF(U125&lt;&gt;"",IF(INDEX(techniques[detection rules for techique],MATCH(U125,techniques[name],0))&gt;=1,INDEX(techniques[detection rules for techique],MATCH(U125,techniques[name],0)),""),"")</f>
        <v/>
      </c>
      <c r="W125" s="45" t="n"/>
      <c r="X125" s="54">
        <f t="array" ref="X125">IF(W125&lt;&gt;"",IF(INDEX(techniques[detection rules for techique],MATCH(W125,techniques[name],0))&gt;=1,INDEX(techniques[detection rules for techique],MATCH(W125,techniques[name],0)),""),"")</f>
        <v/>
      </c>
      <c r="Y125" s="45" t="n"/>
      <c r="Z125" s="54">
        <f t="array" ref="Z125">IF(Y125&lt;&gt;"",IF(INDEX(techniques[detection rules for techique],MATCH(Y125,techniques[name],0))&gt;=1,INDEX(techniques[detection rules for techique],MATCH(Y125,techniques[name],0)),""),"")</f>
        <v/>
      </c>
      <c r="AA125" s="45" t="n"/>
      <c r="AB125" s="54">
        <f t="array" ref="AB125">IF(AA125&lt;&gt;"",IF(INDEX(techniques[detection rules for techique],MATCH(AA125,techniques[name],0))&gt;=1,INDEX(techniques[detection rules for techique],MATCH(AA125,techniques[name],0)),""),"")</f>
        <v/>
      </c>
      <c r="AC125" s="45" t="n"/>
      <c r="AD125" s="54">
        <f t="array" ref="AD125">IF(AC125&lt;&gt;"",IF(INDEX(techniques[detection rules for techique],MATCH(AC125,techniques[name],0))&gt;=1,INDEX(techniques[detection rules for techique],MATCH(AC125,techniques[name],0)),""),"")</f>
        <v/>
      </c>
    </row>
    <row r="126" ht="22.5" customHeight="1">
      <c r="A126" s="45" t="n"/>
      <c r="B126" s="54">
        <f t="array" ref="B126">IF(A126&lt;&gt;"",IF(INDEX(techniques[detection rules for techique],MATCH(A126,techniques[name],0))&gt;=1,INDEX(techniques[detection rules for techique],MATCH(A126,techniques[name],0)),""),"")</f>
        <v/>
      </c>
      <c r="C126" s="45" t="n"/>
      <c r="D126" s="54">
        <f t="array" ref="D126">IF(C126&lt;&gt;"",IF(INDEX(techniques[detection rules for techique],MATCH(C126,techniques[name],0))&gt;=1,INDEX(techniques[detection rules for techique],MATCH(C126,techniques[name],0)),""),"")</f>
        <v/>
      </c>
      <c r="E126" s="45" t="n"/>
      <c r="F126" s="54">
        <f t="array" ref="F126">IF(E126&lt;&gt;"",IF(INDEX(techniques[detection rules for techique],MATCH(E126,techniques[name],0))&gt;=1,INDEX(techniques[detection rules for techique],MATCH(E126,techniques[name],0)),""),"")</f>
        <v/>
      </c>
      <c r="G126" s="45" t="n"/>
      <c r="H126" s="54">
        <f t="array" ref="H126">IF(G126&lt;&gt;"",IF(INDEX(techniques[detection rules for techique],MATCH(G126,techniques[name],0))&gt;=1,INDEX(techniques[detection rules for techique],MATCH(G126,techniques[name],0)),""),"")</f>
        <v/>
      </c>
      <c r="I126" s="45" t="n"/>
      <c r="J126" s="54">
        <f t="array" ref="J126">IF(I126&lt;&gt;"",IF(INDEX(techniques[detection rules for techique],MATCH(I126,techniques[name],0))&gt;=1,INDEX(techniques[detection rules for techique],MATCH(I126,techniques[name],0)),""),"")</f>
        <v/>
      </c>
      <c r="K126" s="45" t="n"/>
      <c r="L126" s="54">
        <f t="array" ref="L126">IF(K126&lt;&gt;"",IF(INDEX(techniques[detection rules for techique],MATCH(K126,techniques[name],0))&gt;=1,INDEX(techniques[detection rules for techique],MATCH(K126,techniques[name],0)),""),"")</f>
        <v/>
      </c>
      <c r="M126" s="45" t="inlineStr">
        <is>
          <t>File/Path Exclusions (T1564.012)</t>
        </is>
      </c>
      <c r="N126" s="54">
        <f t="array" ref="N126">IF(M126&lt;&gt;"",IF(INDEX(techniques[detection rules for techique],MATCH(M126,techniques[name],0))&gt;=1,INDEX(techniques[detection rules for techique],MATCH(M126,techniques[name],0)),""),"")</f>
        <v/>
      </c>
      <c r="O126" s="45" t="n"/>
      <c r="P126" s="54">
        <f t="array" ref="P126">IF(O126&lt;&gt;"",IF(INDEX(techniques[detection rules for techique],MATCH(O126,techniques[name],0))&gt;=1,INDEX(techniques[detection rules for techique],MATCH(O126,techniques[name],0)),""),"")</f>
        <v/>
      </c>
      <c r="Q126" s="45" t="n"/>
      <c r="R126" s="54">
        <f t="array" ref="R126">IF(Q126&lt;&gt;"",IF(INDEX(techniques[detection rules for techique],MATCH(Q126,techniques[name],0))&gt;=1,INDEX(techniques[detection rules for techique],MATCH(Q126,techniques[name],0)),""),"")</f>
        <v/>
      </c>
      <c r="S126" s="45" t="n"/>
      <c r="T126" s="54">
        <f t="array" ref="T126">IF(S126&lt;&gt;"",IF(INDEX(techniques[detection rules for techique],MATCH(S126,techniques[name],0))&gt;=1,INDEX(techniques[detection rules for techique],MATCH(S126,techniques[name],0)),""),"")</f>
        <v/>
      </c>
      <c r="U126" s="45" t="n"/>
      <c r="V126" s="54">
        <f t="array" ref="V126">IF(U126&lt;&gt;"",IF(INDEX(techniques[detection rules for techique],MATCH(U126,techniques[name],0))&gt;=1,INDEX(techniques[detection rules for techique],MATCH(U126,techniques[name],0)),""),"")</f>
        <v/>
      </c>
      <c r="W126" s="45" t="n"/>
      <c r="X126" s="54">
        <f t="array" ref="X126">IF(W126&lt;&gt;"",IF(INDEX(techniques[detection rules for techique],MATCH(W126,techniques[name],0))&gt;=1,INDEX(techniques[detection rules for techique],MATCH(W126,techniques[name],0)),""),"")</f>
        <v/>
      </c>
      <c r="Y126" s="45" t="n"/>
      <c r="Z126" s="54">
        <f t="array" ref="Z126">IF(Y126&lt;&gt;"",IF(INDEX(techniques[detection rules for techique],MATCH(Y126,techniques[name],0))&gt;=1,INDEX(techniques[detection rules for techique],MATCH(Y126,techniques[name],0)),""),"")</f>
        <v/>
      </c>
      <c r="AA126" s="45" t="n"/>
      <c r="AB126" s="54">
        <f t="array" ref="AB126">IF(AA126&lt;&gt;"",IF(INDEX(techniques[detection rules for techique],MATCH(AA126,techniques[name],0))&gt;=1,INDEX(techniques[detection rules for techique],MATCH(AA126,techniques[name],0)),""),"")</f>
        <v/>
      </c>
      <c r="AC126" s="45" t="n"/>
      <c r="AD126" s="54">
        <f t="array" ref="AD126">IF(AC126&lt;&gt;"",IF(INDEX(techniques[detection rules for techique],MATCH(AC126,techniques[name],0))&gt;=1,INDEX(techniques[detection rules for techique],MATCH(AC126,techniques[name],0)),""),"")</f>
        <v/>
      </c>
    </row>
    <row r="127" ht="22.5" customHeight="1">
      <c r="A127" s="45" t="n"/>
      <c r="B127" s="54">
        <f t="array" ref="B127">IF(A127&lt;&gt;"",IF(INDEX(techniques[detection rules for techique],MATCH(A127,techniques[name],0))&gt;=1,INDEX(techniques[detection rules for techique],MATCH(A127,techniques[name],0)),""),"")</f>
        <v/>
      </c>
      <c r="C127" s="45" t="n"/>
      <c r="D127" s="54">
        <f t="array" ref="D127">IF(C127&lt;&gt;"",IF(INDEX(techniques[detection rules for techique],MATCH(C127,techniques[name],0))&gt;=1,INDEX(techniques[detection rules for techique],MATCH(C127,techniques[name],0)),""),"")</f>
        <v/>
      </c>
      <c r="E127" s="45" t="n"/>
      <c r="F127" s="54">
        <f t="array" ref="F127">IF(E127&lt;&gt;"",IF(INDEX(techniques[detection rules for techique],MATCH(E127,techniques[name],0))&gt;=1,INDEX(techniques[detection rules for techique],MATCH(E127,techniques[name],0)),""),"")</f>
        <v/>
      </c>
      <c r="G127" s="45" t="n"/>
      <c r="H127" s="54">
        <f t="array" ref="H127">IF(G127&lt;&gt;"",IF(INDEX(techniques[detection rules for techique],MATCH(G127,techniques[name],0))&gt;=1,INDEX(techniques[detection rules for techique],MATCH(G127,techniques[name],0)),""),"")</f>
        <v/>
      </c>
      <c r="I127" s="45" t="n"/>
      <c r="J127" s="54">
        <f t="array" ref="J127">IF(I127&lt;&gt;"",IF(INDEX(techniques[detection rules for techique],MATCH(I127,techniques[name],0))&gt;=1,INDEX(techniques[detection rules for techique],MATCH(I127,techniques[name],0)),""),"")</f>
        <v/>
      </c>
      <c r="K127" s="45" t="n"/>
      <c r="L127" s="54">
        <f t="array" ref="L127">IF(K127&lt;&gt;"",IF(INDEX(techniques[detection rules for techique],MATCH(K127,techniques[name],0))&gt;=1,INDEX(techniques[detection rules for techique],MATCH(K127,techniques[name],0)),""),"")</f>
        <v/>
      </c>
      <c r="M127" s="45" t="inlineStr">
        <is>
          <t>Bind Mounts (T1564.013)</t>
        </is>
      </c>
      <c r="N127" s="54">
        <f t="array" ref="N127">IF(M127&lt;&gt;"",IF(INDEX(techniques[detection rules for techique],MATCH(M127,techniques[name],0))&gt;=1,INDEX(techniques[detection rules for techique],MATCH(M127,techniques[name],0)),""),"")</f>
        <v/>
      </c>
      <c r="O127" s="45" t="n"/>
      <c r="P127" s="54">
        <f t="array" ref="P127">IF(O127&lt;&gt;"",IF(INDEX(techniques[detection rules for techique],MATCH(O127,techniques[name],0))&gt;=1,INDEX(techniques[detection rules for techique],MATCH(O127,techniques[name],0)),""),"")</f>
        <v/>
      </c>
      <c r="Q127" s="45" t="n"/>
      <c r="R127" s="54">
        <f t="array" ref="R127">IF(Q127&lt;&gt;"",IF(INDEX(techniques[detection rules for techique],MATCH(Q127,techniques[name],0))&gt;=1,INDEX(techniques[detection rules for techique],MATCH(Q127,techniques[name],0)),""),"")</f>
        <v/>
      </c>
      <c r="S127" s="45" t="n"/>
      <c r="T127" s="54">
        <f t="array" ref="T127">IF(S127&lt;&gt;"",IF(INDEX(techniques[detection rules for techique],MATCH(S127,techniques[name],0))&gt;=1,INDEX(techniques[detection rules for techique],MATCH(S127,techniques[name],0)),""),"")</f>
        <v/>
      </c>
      <c r="U127" s="45" t="n"/>
      <c r="V127" s="54">
        <f t="array" ref="V127">IF(U127&lt;&gt;"",IF(INDEX(techniques[detection rules for techique],MATCH(U127,techniques[name],0))&gt;=1,INDEX(techniques[detection rules for techique],MATCH(U127,techniques[name],0)),""),"")</f>
        <v/>
      </c>
      <c r="W127" s="45" t="n"/>
      <c r="X127" s="54">
        <f t="array" ref="X127">IF(W127&lt;&gt;"",IF(INDEX(techniques[detection rules for techique],MATCH(W127,techniques[name],0))&gt;=1,INDEX(techniques[detection rules for techique],MATCH(W127,techniques[name],0)),""),"")</f>
        <v/>
      </c>
      <c r="Y127" s="45" t="n"/>
      <c r="Z127" s="54">
        <f t="array" ref="Z127">IF(Y127&lt;&gt;"",IF(INDEX(techniques[detection rules for techique],MATCH(Y127,techniques[name],0))&gt;=1,INDEX(techniques[detection rules for techique],MATCH(Y127,techniques[name],0)),""),"")</f>
        <v/>
      </c>
      <c r="AA127" s="45" t="n"/>
      <c r="AB127" s="54">
        <f t="array" ref="AB127">IF(AA127&lt;&gt;"",IF(INDEX(techniques[detection rules for techique],MATCH(AA127,techniques[name],0))&gt;=1,INDEX(techniques[detection rules for techique],MATCH(AA127,techniques[name],0)),""),"")</f>
        <v/>
      </c>
      <c r="AC127" s="45" t="n"/>
      <c r="AD127" s="54">
        <f t="array" ref="AD127">IF(AC127&lt;&gt;"",IF(INDEX(techniques[detection rules for techique],MATCH(AC127,techniques[name],0))&gt;=1,INDEX(techniques[detection rules for techique],MATCH(AC127,techniques[name],0)),""),"")</f>
        <v/>
      </c>
    </row>
    <row r="128">
      <c r="A128" s="45" t="n"/>
      <c r="B128" s="54">
        <f t="array" ref="B128">IF(A128&lt;&gt;"",IF(INDEX(techniques[detection rules for techique],MATCH(A128,techniques[name],0))&gt;=1,INDEX(techniques[detection rules for techique],MATCH(A128,techniques[name],0)),""),"")</f>
        <v/>
      </c>
      <c r="C128" s="45" t="n"/>
      <c r="D128" s="54">
        <f t="array" ref="D128">IF(C128&lt;&gt;"",IF(INDEX(techniques[detection rules for techique],MATCH(C128,techniques[name],0))&gt;=1,INDEX(techniques[detection rules for techique],MATCH(C128,techniques[name],0)),""),"")</f>
        <v/>
      </c>
      <c r="E128" s="45" t="n"/>
      <c r="F128" s="54">
        <f t="array" ref="F128">IF(E128&lt;&gt;"",IF(INDEX(techniques[detection rules for techique],MATCH(E128,techniques[name],0))&gt;=1,INDEX(techniques[detection rules for techique],MATCH(E128,techniques[name],0)),""),"")</f>
        <v/>
      </c>
      <c r="G128" s="45" t="n"/>
      <c r="H128" s="54">
        <f t="array" ref="H128">IF(G128&lt;&gt;"",IF(INDEX(techniques[detection rules for techique],MATCH(G128,techniques[name],0))&gt;=1,INDEX(techniques[detection rules for techique],MATCH(G128,techniques[name],0)),""),"")</f>
        <v/>
      </c>
      <c r="I128" s="45" t="n"/>
      <c r="J128" s="54">
        <f t="array" ref="J128">IF(I128&lt;&gt;"",IF(INDEX(techniques[detection rules for techique],MATCH(I128,techniques[name],0))&gt;=1,INDEX(techniques[detection rules for techique],MATCH(I128,techniques[name],0)),""),"")</f>
        <v/>
      </c>
      <c r="K128" s="45" t="n"/>
      <c r="L128" s="54">
        <f t="array" ref="L128">IF(K128&lt;&gt;"",IF(INDEX(techniques[detection rules for techique],MATCH(K128,techniques[name],0))&gt;=1,INDEX(techniques[detection rules for techique],MATCH(K128,techniques[name],0)),""),"")</f>
        <v/>
      </c>
      <c r="M128" s="45" t="inlineStr">
        <is>
          <t>Extended Attributes (T1564.014)</t>
        </is>
      </c>
      <c r="N128" s="54">
        <f t="array" ref="N128">IF(M128&lt;&gt;"",IF(INDEX(techniques[detection rules for techique],MATCH(M128,techniques[name],0))&gt;=1,INDEX(techniques[detection rules for techique],MATCH(M128,techniques[name],0)),""),"")</f>
        <v/>
      </c>
      <c r="O128" s="45" t="n"/>
      <c r="P128" s="54">
        <f t="array" ref="P128">IF(O128&lt;&gt;"",IF(INDEX(techniques[detection rules for techique],MATCH(O128,techniques[name],0))&gt;=1,INDEX(techniques[detection rules for techique],MATCH(O128,techniques[name],0)),""),"")</f>
        <v/>
      </c>
      <c r="Q128" s="45" t="n"/>
      <c r="R128" s="54">
        <f t="array" ref="R128">IF(Q128&lt;&gt;"",IF(INDEX(techniques[detection rules for techique],MATCH(Q128,techniques[name],0))&gt;=1,INDEX(techniques[detection rules for techique],MATCH(Q128,techniques[name],0)),""),"")</f>
        <v/>
      </c>
      <c r="S128" s="45" t="n"/>
      <c r="T128" s="54">
        <f t="array" ref="T128">IF(S128&lt;&gt;"",IF(INDEX(techniques[detection rules for techique],MATCH(S128,techniques[name],0))&gt;=1,INDEX(techniques[detection rules for techique],MATCH(S128,techniques[name],0)),""),"")</f>
        <v/>
      </c>
      <c r="U128" s="45" t="n"/>
      <c r="V128" s="54">
        <f t="array" ref="V128">IF(U128&lt;&gt;"",IF(INDEX(techniques[detection rules for techique],MATCH(U128,techniques[name],0))&gt;=1,INDEX(techniques[detection rules for techique],MATCH(U128,techniques[name],0)),""),"")</f>
        <v/>
      </c>
      <c r="W128" s="45" t="n"/>
      <c r="X128" s="54">
        <f t="array" ref="X128">IF(W128&lt;&gt;"",IF(INDEX(techniques[detection rules for techique],MATCH(W128,techniques[name],0))&gt;=1,INDEX(techniques[detection rules for techique],MATCH(W128,techniques[name],0)),""),"")</f>
        <v/>
      </c>
      <c r="Y128" s="45" t="n"/>
      <c r="Z128" s="54">
        <f t="array" ref="Z128">IF(Y128&lt;&gt;"",IF(INDEX(techniques[detection rules for techique],MATCH(Y128,techniques[name],0))&gt;=1,INDEX(techniques[detection rules for techique],MATCH(Y128,techniques[name],0)),""),"")</f>
        <v/>
      </c>
      <c r="AA128" s="45" t="n"/>
      <c r="AB128" s="54">
        <f t="array" ref="AB128">IF(AA128&lt;&gt;"",IF(INDEX(techniques[detection rules for techique],MATCH(AA128,techniques[name],0))&gt;=1,INDEX(techniques[detection rules for techique],MATCH(AA128,techniques[name],0)),""),"")</f>
        <v/>
      </c>
      <c r="AC128" s="45" t="n"/>
      <c r="AD128" s="54">
        <f t="array" ref="AD128">IF(AC128&lt;&gt;"",IF(INDEX(techniques[detection rules for techique],MATCH(AC128,techniques[name],0))&gt;=1,INDEX(techniques[detection rules for techique],MATCH(AC128,techniques[name],0)),""),"")</f>
        <v/>
      </c>
    </row>
    <row r="129" ht="22.5" customHeight="1">
      <c r="A129" s="45" t="n"/>
      <c r="B129" s="54">
        <f t="array" ref="B129">IF(A129&lt;&gt;"",IF(INDEX(techniques[detection rules for techique],MATCH(A129,techniques[name],0))&gt;=1,INDEX(techniques[detection rules for techique],MATCH(A129,techniques[name],0)),""),"")</f>
        <v/>
      </c>
      <c r="C129" s="45" t="n"/>
      <c r="D129" s="54">
        <f t="array" ref="D129">IF(C129&lt;&gt;"",IF(INDEX(techniques[detection rules for techique],MATCH(C129,techniques[name],0))&gt;=1,INDEX(techniques[detection rules for techique],MATCH(C129,techniques[name],0)),""),"")</f>
        <v/>
      </c>
      <c r="E129" s="45" t="n"/>
      <c r="F129" s="54">
        <f t="array" ref="F129">IF(E129&lt;&gt;"",IF(INDEX(techniques[detection rules for techique],MATCH(E129,techniques[name],0))&gt;=1,INDEX(techniques[detection rules for techique],MATCH(E129,techniques[name],0)),""),"")</f>
        <v/>
      </c>
      <c r="G129" s="45" t="n"/>
      <c r="H129" s="54">
        <f t="array" ref="H129">IF(G129&lt;&gt;"",IF(INDEX(techniques[detection rules for techique],MATCH(G129,techniques[name],0))&gt;=1,INDEX(techniques[detection rules for techique],MATCH(G129,techniques[name],0)),""),"")</f>
        <v/>
      </c>
      <c r="I129" s="45" t="n"/>
      <c r="J129" s="54">
        <f t="array" ref="J129">IF(I129&lt;&gt;"",IF(INDEX(techniques[detection rules for techique],MATCH(I129,techniques[name],0))&gt;=1,INDEX(techniques[detection rules for techique],MATCH(I129,techniques[name],0)),""),"")</f>
        <v/>
      </c>
      <c r="K129" s="45" t="n"/>
      <c r="L129" s="54">
        <f t="array" ref="L129">IF(K129&lt;&gt;"",IF(INDEX(techniques[detection rules for techique],MATCH(K129,techniques[name],0))&gt;=1,INDEX(techniques[detection rules for techique],MATCH(K129,techniques[name],0)),""),"")</f>
        <v/>
      </c>
      <c r="M129" s="45" t="inlineStr">
        <is>
          <t>Hijack Execution Flow (T1574)</t>
        </is>
      </c>
      <c r="N129" s="54">
        <f t="array" ref="N129">IF(M129&lt;&gt;"",IF(INDEX(techniques[detection rules for techique],MATCH(M129,techniques[name],0))&gt;=1,INDEX(techniques[detection rules for techique],MATCH(M129,techniques[name],0)),""),"")</f>
        <v/>
      </c>
      <c r="O129" s="45" t="n"/>
      <c r="P129" s="54">
        <f t="array" ref="P129">IF(O129&lt;&gt;"",IF(INDEX(techniques[detection rules for techique],MATCH(O129,techniques[name],0))&gt;=1,INDEX(techniques[detection rules for techique],MATCH(O129,techniques[name],0)),""),"")</f>
        <v/>
      </c>
      <c r="Q129" s="45" t="n"/>
      <c r="R129" s="54">
        <f t="array" ref="R129">IF(Q129&lt;&gt;"",IF(INDEX(techniques[detection rules for techique],MATCH(Q129,techniques[name],0))&gt;=1,INDEX(techniques[detection rules for techique],MATCH(Q129,techniques[name],0)),""),"")</f>
        <v/>
      </c>
      <c r="S129" s="45" t="n"/>
      <c r="T129" s="54">
        <f t="array" ref="T129">IF(S129&lt;&gt;"",IF(INDEX(techniques[detection rules for techique],MATCH(S129,techniques[name],0))&gt;=1,INDEX(techniques[detection rules for techique],MATCH(S129,techniques[name],0)),""),"")</f>
        <v/>
      </c>
      <c r="U129" s="45" t="n"/>
      <c r="V129" s="54">
        <f t="array" ref="V129">IF(U129&lt;&gt;"",IF(INDEX(techniques[detection rules for techique],MATCH(U129,techniques[name],0))&gt;=1,INDEX(techniques[detection rules for techique],MATCH(U129,techniques[name],0)),""),"")</f>
        <v/>
      </c>
      <c r="W129" s="45" t="n"/>
      <c r="X129" s="54">
        <f t="array" ref="X129">IF(W129&lt;&gt;"",IF(INDEX(techniques[detection rules for techique],MATCH(W129,techniques[name],0))&gt;=1,INDEX(techniques[detection rules for techique],MATCH(W129,techniques[name],0)),""),"")</f>
        <v/>
      </c>
      <c r="Y129" s="45" t="n"/>
      <c r="Z129" s="54">
        <f t="array" ref="Z129">IF(Y129&lt;&gt;"",IF(INDEX(techniques[detection rules for techique],MATCH(Y129,techniques[name],0))&gt;=1,INDEX(techniques[detection rules for techique],MATCH(Y129,techniques[name],0)),""),"")</f>
        <v/>
      </c>
      <c r="AA129" s="45" t="n"/>
      <c r="AB129" s="54">
        <f t="array" ref="AB129">IF(AA129&lt;&gt;"",IF(INDEX(techniques[detection rules for techique],MATCH(AA129,techniques[name],0))&gt;=1,INDEX(techniques[detection rules for techique],MATCH(AA129,techniques[name],0)),""),"")</f>
        <v/>
      </c>
      <c r="AC129" s="45" t="n"/>
      <c r="AD129" s="54">
        <f t="array" ref="AD129">IF(AC129&lt;&gt;"",IF(INDEX(techniques[detection rules for techique],MATCH(AC129,techniques[name],0))&gt;=1,INDEX(techniques[detection rules for techique],MATCH(AC129,techniques[name],0)),""),"")</f>
        <v/>
      </c>
    </row>
    <row r="130">
      <c r="A130" s="45" t="n"/>
      <c r="B130" s="54">
        <f t="array" ref="B130">IF(A130&lt;&gt;"",IF(INDEX(techniques[detection rules for techique],MATCH(A130,techniques[name],0))&gt;=1,INDEX(techniques[detection rules for techique],MATCH(A130,techniques[name],0)),""),"")</f>
        <v/>
      </c>
      <c r="C130" s="45" t="n"/>
      <c r="D130" s="54">
        <f t="array" ref="D130">IF(C130&lt;&gt;"",IF(INDEX(techniques[detection rules for techique],MATCH(C130,techniques[name],0))&gt;=1,INDEX(techniques[detection rules for techique],MATCH(C130,techniques[name],0)),""),"")</f>
        <v/>
      </c>
      <c r="E130" s="45" t="n"/>
      <c r="F130" s="54">
        <f t="array" ref="F130">IF(E130&lt;&gt;"",IF(INDEX(techniques[detection rules for techique],MATCH(E130,techniques[name],0))&gt;=1,INDEX(techniques[detection rules for techique],MATCH(E130,techniques[name],0)),""),"")</f>
        <v/>
      </c>
      <c r="G130" s="45" t="n"/>
      <c r="H130" s="54">
        <f t="array" ref="H130">IF(G130&lt;&gt;"",IF(INDEX(techniques[detection rules for techique],MATCH(G130,techniques[name],0))&gt;=1,INDEX(techniques[detection rules for techique],MATCH(G130,techniques[name],0)),""),"")</f>
        <v/>
      </c>
      <c r="I130" s="45" t="n"/>
      <c r="J130" s="54">
        <f t="array" ref="J130">IF(I130&lt;&gt;"",IF(INDEX(techniques[detection rules for techique],MATCH(I130,techniques[name],0))&gt;=1,INDEX(techniques[detection rules for techique],MATCH(I130,techniques[name],0)),""),"")</f>
        <v/>
      </c>
      <c r="K130" s="45" t="n"/>
      <c r="L130" s="54">
        <f t="array" ref="L130">IF(K130&lt;&gt;"",IF(INDEX(techniques[detection rules for techique],MATCH(K130,techniques[name],0))&gt;=1,INDEX(techniques[detection rules for techique],MATCH(K130,techniques[name],0)),""),"")</f>
        <v/>
      </c>
      <c r="M130" s="45" t="inlineStr">
        <is>
          <t>DLL (T1574.001)</t>
        </is>
      </c>
      <c r="N130" s="54">
        <f t="array" ref="N130">IF(M130&lt;&gt;"",IF(INDEX(techniques[detection rules for techique],MATCH(M130,techniques[name],0))&gt;=1,INDEX(techniques[detection rules for techique],MATCH(M130,techniques[name],0)),""),"")</f>
        <v/>
      </c>
      <c r="O130" s="45" t="n"/>
      <c r="P130" s="54">
        <f t="array" ref="P130">IF(O130&lt;&gt;"",IF(INDEX(techniques[detection rules for techique],MATCH(O130,techniques[name],0))&gt;=1,INDEX(techniques[detection rules for techique],MATCH(O130,techniques[name],0)),""),"")</f>
        <v/>
      </c>
      <c r="Q130" s="45" t="n"/>
      <c r="R130" s="54">
        <f t="array" ref="R130">IF(Q130&lt;&gt;"",IF(INDEX(techniques[detection rules for techique],MATCH(Q130,techniques[name],0))&gt;=1,INDEX(techniques[detection rules for techique],MATCH(Q130,techniques[name],0)),""),"")</f>
        <v/>
      </c>
      <c r="S130" s="45" t="n"/>
      <c r="T130" s="54">
        <f t="array" ref="T130">IF(S130&lt;&gt;"",IF(INDEX(techniques[detection rules for techique],MATCH(S130,techniques[name],0))&gt;=1,INDEX(techniques[detection rules for techique],MATCH(S130,techniques[name],0)),""),"")</f>
        <v/>
      </c>
      <c r="U130" s="45" t="n"/>
      <c r="V130" s="54">
        <f t="array" ref="V130">IF(U130&lt;&gt;"",IF(INDEX(techniques[detection rules for techique],MATCH(U130,techniques[name],0))&gt;=1,INDEX(techniques[detection rules for techique],MATCH(U130,techniques[name],0)),""),"")</f>
        <v/>
      </c>
      <c r="W130" s="45" t="n"/>
      <c r="X130" s="54">
        <f t="array" ref="X130">IF(W130&lt;&gt;"",IF(INDEX(techniques[detection rules for techique],MATCH(W130,techniques[name],0))&gt;=1,INDEX(techniques[detection rules for techique],MATCH(W130,techniques[name],0)),""),"")</f>
        <v/>
      </c>
      <c r="Y130" s="45" t="n"/>
      <c r="Z130" s="54">
        <f t="array" ref="Z130">IF(Y130&lt;&gt;"",IF(INDEX(techniques[detection rules for techique],MATCH(Y130,techniques[name],0))&gt;=1,INDEX(techniques[detection rules for techique],MATCH(Y130,techniques[name],0)),""),"")</f>
        <v/>
      </c>
      <c r="AA130" s="45" t="n"/>
      <c r="AB130" s="54">
        <f t="array" ref="AB130">IF(AA130&lt;&gt;"",IF(INDEX(techniques[detection rules for techique],MATCH(AA130,techniques[name],0))&gt;=1,INDEX(techniques[detection rules for techique],MATCH(AA130,techniques[name],0)),""),"")</f>
        <v/>
      </c>
      <c r="AC130" s="45" t="n"/>
      <c r="AD130" s="54">
        <f t="array" ref="AD130">IF(AC130&lt;&gt;"",IF(INDEX(techniques[detection rules for techique],MATCH(AC130,techniques[name],0))&gt;=1,INDEX(techniques[detection rules for techique],MATCH(AC130,techniques[name],0)),""),"")</f>
        <v/>
      </c>
    </row>
    <row r="131" ht="22.5" customHeight="1">
      <c r="A131" s="45" t="n"/>
      <c r="B131" s="54">
        <f t="array" ref="B131">IF(A131&lt;&gt;"",IF(INDEX(techniques[detection rules for techique],MATCH(A131,techniques[name],0))&gt;=1,INDEX(techniques[detection rules for techique],MATCH(A131,techniques[name],0)),""),"")</f>
        <v/>
      </c>
      <c r="C131" s="45" t="n"/>
      <c r="D131" s="54">
        <f t="array" ref="D131">IF(C131&lt;&gt;"",IF(INDEX(techniques[detection rules for techique],MATCH(C131,techniques[name],0))&gt;=1,INDEX(techniques[detection rules for techique],MATCH(C131,techniques[name],0)),""),"")</f>
        <v/>
      </c>
      <c r="E131" s="45" t="n"/>
      <c r="F131" s="54">
        <f t="array" ref="F131">IF(E131&lt;&gt;"",IF(INDEX(techniques[detection rules for techique],MATCH(E131,techniques[name],0))&gt;=1,INDEX(techniques[detection rules for techique],MATCH(E131,techniques[name],0)),""),"")</f>
        <v/>
      </c>
      <c r="G131" s="45" t="n"/>
      <c r="H131" s="54">
        <f t="array" ref="H131">IF(G131&lt;&gt;"",IF(INDEX(techniques[detection rules for techique],MATCH(G131,techniques[name],0))&gt;=1,INDEX(techniques[detection rules for techique],MATCH(G131,techniques[name],0)),""),"")</f>
        <v/>
      </c>
      <c r="I131" s="45" t="n"/>
      <c r="J131" s="54">
        <f t="array" ref="J131">IF(I131&lt;&gt;"",IF(INDEX(techniques[detection rules for techique],MATCH(I131,techniques[name],0))&gt;=1,INDEX(techniques[detection rules for techique],MATCH(I131,techniques[name],0)),""),"")</f>
        <v/>
      </c>
      <c r="K131" s="45" t="n"/>
      <c r="L131" s="54">
        <f t="array" ref="L131">IF(K131&lt;&gt;"",IF(INDEX(techniques[detection rules for techique],MATCH(K131,techniques[name],0))&gt;=1,INDEX(techniques[detection rules for techique],MATCH(K131,techniques[name],0)),""),"")</f>
        <v/>
      </c>
      <c r="M131" s="45" t="inlineStr">
        <is>
          <t>Dylib Hijacking (T1574.004)</t>
        </is>
      </c>
      <c r="N131" s="54">
        <f t="array" ref="N131">IF(M131&lt;&gt;"",IF(INDEX(techniques[detection rules for techique],MATCH(M131,techniques[name],0))&gt;=1,INDEX(techniques[detection rules for techique],MATCH(M131,techniques[name],0)),""),"")</f>
        <v/>
      </c>
      <c r="O131" s="45" t="n"/>
      <c r="P131" s="54">
        <f t="array" ref="P131">IF(O131&lt;&gt;"",IF(INDEX(techniques[detection rules for techique],MATCH(O131,techniques[name],0))&gt;=1,INDEX(techniques[detection rules for techique],MATCH(O131,techniques[name],0)),""),"")</f>
        <v/>
      </c>
      <c r="Q131" s="45" t="n"/>
      <c r="R131" s="54">
        <f t="array" ref="R131">IF(Q131&lt;&gt;"",IF(INDEX(techniques[detection rules for techique],MATCH(Q131,techniques[name],0))&gt;=1,INDEX(techniques[detection rules for techique],MATCH(Q131,techniques[name],0)),""),"")</f>
        <v/>
      </c>
      <c r="S131" s="45" t="n"/>
      <c r="T131" s="54">
        <f t="array" ref="T131">IF(S131&lt;&gt;"",IF(INDEX(techniques[detection rules for techique],MATCH(S131,techniques[name],0))&gt;=1,INDEX(techniques[detection rules for techique],MATCH(S131,techniques[name],0)),""),"")</f>
        <v/>
      </c>
      <c r="U131" s="45" t="n"/>
      <c r="V131" s="54">
        <f t="array" ref="V131">IF(U131&lt;&gt;"",IF(INDEX(techniques[detection rules for techique],MATCH(U131,techniques[name],0))&gt;=1,INDEX(techniques[detection rules for techique],MATCH(U131,techniques[name],0)),""),"")</f>
        <v/>
      </c>
      <c r="W131" s="45" t="n"/>
      <c r="X131" s="54">
        <f t="array" ref="X131">IF(W131&lt;&gt;"",IF(INDEX(techniques[detection rules for techique],MATCH(W131,techniques[name],0))&gt;=1,INDEX(techniques[detection rules for techique],MATCH(W131,techniques[name],0)),""),"")</f>
        <v/>
      </c>
      <c r="Y131" s="45" t="n"/>
      <c r="Z131" s="54">
        <f t="array" ref="Z131">IF(Y131&lt;&gt;"",IF(INDEX(techniques[detection rules for techique],MATCH(Y131,techniques[name],0))&gt;=1,INDEX(techniques[detection rules for techique],MATCH(Y131,techniques[name],0)),""),"")</f>
        <v/>
      </c>
      <c r="AA131" s="45" t="n"/>
      <c r="AB131" s="54">
        <f t="array" ref="AB131">IF(AA131&lt;&gt;"",IF(INDEX(techniques[detection rules for techique],MATCH(AA131,techniques[name],0))&gt;=1,INDEX(techniques[detection rules for techique],MATCH(AA131,techniques[name],0)),""),"")</f>
        <v/>
      </c>
      <c r="AC131" s="45" t="n"/>
      <c r="AD131" s="54">
        <f t="array" ref="AD131">IF(AC131&lt;&gt;"",IF(INDEX(techniques[detection rules for techique],MATCH(AC131,techniques[name],0))&gt;=1,INDEX(techniques[detection rules for techique],MATCH(AC131,techniques[name],0)),""),"")</f>
        <v/>
      </c>
    </row>
    <row r="132">
      <c r="A132" s="45" t="n"/>
      <c r="B132" s="54">
        <f t="array" ref="B132">IF(A132&lt;&gt;"",IF(INDEX(techniques[detection rules for techique],MATCH(A132,techniques[name],0))&gt;=1,INDEX(techniques[detection rules for techique],MATCH(A132,techniques[name],0)),""),"")</f>
        <v/>
      </c>
      <c r="C132" s="45" t="n"/>
      <c r="D132" s="54">
        <f t="array" ref="D132">IF(C132&lt;&gt;"",IF(INDEX(techniques[detection rules for techique],MATCH(C132,techniques[name],0))&gt;=1,INDEX(techniques[detection rules for techique],MATCH(C132,techniques[name],0)),""),"")</f>
        <v/>
      </c>
      <c r="E132" s="45" t="n"/>
      <c r="F132" s="54">
        <f t="array" ref="F132">IF(E132&lt;&gt;"",IF(INDEX(techniques[detection rules for techique],MATCH(E132,techniques[name],0))&gt;=1,INDEX(techniques[detection rules for techique],MATCH(E132,techniques[name],0)),""),"")</f>
        <v/>
      </c>
      <c r="G132" s="45" t="n"/>
      <c r="H132" s="54">
        <f t="array" ref="H132">IF(G132&lt;&gt;"",IF(INDEX(techniques[detection rules for techique],MATCH(G132,techniques[name],0))&gt;=1,INDEX(techniques[detection rules for techique],MATCH(G132,techniques[name],0)),""),"")</f>
        <v/>
      </c>
      <c r="I132" s="45" t="n"/>
      <c r="J132" s="54">
        <f t="array" ref="J132">IF(I132&lt;&gt;"",IF(INDEX(techniques[detection rules for techique],MATCH(I132,techniques[name],0))&gt;=1,INDEX(techniques[detection rules for techique],MATCH(I132,techniques[name],0)),""),"")</f>
        <v/>
      </c>
      <c r="K132" s="45" t="n"/>
      <c r="L132" s="54">
        <f t="array" ref="L132">IF(K132&lt;&gt;"",IF(INDEX(techniques[detection rules for techique],MATCH(K132,techniques[name],0))&gt;=1,INDEX(techniques[detection rules for techique],MATCH(K132,techniques[name],0)),""),"")</f>
        <v/>
      </c>
      <c r="M132" s="45" t="inlineStr">
        <is>
          <t>Executable Installer File Permissions Weakness (T1574.005)</t>
        </is>
      </c>
      <c r="N132" s="54">
        <f t="array" ref="N132">IF(M132&lt;&gt;"",IF(INDEX(techniques[detection rules for techique],MATCH(M132,techniques[name],0))&gt;=1,INDEX(techniques[detection rules for techique],MATCH(M132,techniques[name],0)),""),"")</f>
        <v/>
      </c>
      <c r="O132" s="45" t="n"/>
      <c r="P132" s="54">
        <f t="array" ref="P132">IF(O132&lt;&gt;"",IF(INDEX(techniques[detection rules for techique],MATCH(O132,techniques[name],0))&gt;=1,INDEX(techniques[detection rules for techique],MATCH(O132,techniques[name],0)),""),"")</f>
        <v/>
      </c>
      <c r="Q132" s="45" t="n"/>
      <c r="R132" s="54">
        <f t="array" ref="R132">IF(Q132&lt;&gt;"",IF(INDEX(techniques[detection rules for techique],MATCH(Q132,techniques[name],0))&gt;=1,INDEX(techniques[detection rules for techique],MATCH(Q132,techniques[name],0)),""),"")</f>
        <v/>
      </c>
      <c r="S132" s="45" t="n"/>
      <c r="T132" s="54">
        <f t="array" ref="T132">IF(S132&lt;&gt;"",IF(INDEX(techniques[detection rules for techique],MATCH(S132,techniques[name],0))&gt;=1,INDEX(techniques[detection rules for techique],MATCH(S132,techniques[name],0)),""),"")</f>
        <v/>
      </c>
      <c r="U132" s="45" t="n"/>
      <c r="V132" s="54">
        <f t="array" ref="V132">IF(U132&lt;&gt;"",IF(INDEX(techniques[detection rules for techique],MATCH(U132,techniques[name],0))&gt;=1,INDEX(techniques[detection rules for techique],MATCH(U132,techniques[name],0)),""),"")</f>
        <v/>
      </c>
      <c r="W132" s="45" t="n"/>
      <c r="X132" s="54">
        <f t="array" ref="X132">IF(W132&lt;&gt;"",IF(INDEX(techniques[detection rules for techique],MATCH(W132,techniques[name],0))&gt;=1,INDEX(techniques[detection rules for techique],MATCH(W132,techniques[name],0)),""),"")</f>
        <v/>
      </c>
      <c r="Y132" s="45" t="n"/>
      <c r="Z132" s="54">
        <f t="array" ref="Z132">IF(Y132&lt;&gt;"",IF(INDEX(techniques[detection rules for techique],MATCH(Y132,techniques[name],0))&gt;=1,INDEX(techniques[detection rules for techique],MATCH(Y132,techniques[name],0)),""),"")</f>
        <v/>
      </c>
      <c r="AA132" s="45" t="n"/>
      <c r="AB132" s="54">
        <f t="array" ref="AB132">IF(AA132&lt;&gt;"",IF(INDEX(techniques[detection rules for techique],MATCH(AA132,techniques[name],0))&gt;=1,INDEX(techniques[detection rules for techique],MATCH(AA132,techniques[name],0)),""),"")</f>
        <v/>
      </c>
      <c r="AC132" s="45" t="n"/>
      <c r="AD132" s="54">
        <f t="array" ref="AD132">IF(AC132&lt;&gt;"",IF(INDEX(techniques[detection rules for techique],MATCH(AC132,techniques[name],0))&gt;=1,INDEX(techniques[detection rules for techique],MATCH(AC132,techniques[name],0)),""),"")</f>
        <v/>
      </c>
    </row>
    <row r="133" ht="22.5" customHeight="1">
      <c r="A133" s="45" t="n"/>
      <c r="B133" s="54">
        <f t="array" ref="B133">IF(A133&lt;&gt;"",IF(INDEX(techniques[detection rules for techique],MATCH(A133,techniques[name],0))&gt;=1,INDEX(techniques[detection rules for techique],MATCH(A133,techniques[name],0)),""),"")</f>
        <v/>
      </c>
      <c r="C133" s="45" t="n"/>
      <c r="D133" s="54">
        <f t="array" ref="D133">IF(C133&lt;&gt;"",IF(INDEX(techniques[detection rules for techique],MATCH(C133,techniques[name],0))&gt;=1,INDEX(techniques[detection rules for techique],MATCH(C133,techniques[name],0)),""),"")</f>
        <v/>
      </c>
      <c r="E133" s="45" t="n"/>
      <c r="F133" s="54">
        <f t="array" ref="F133">IF(E133&lt;&gt;"",IF(INDEX(techniques[detection rules for techique],MATCH(E133,techniques[name],0))&gt;=1,INDEX(techniques[detection rules for techique],MATCH(E133,techniques[name],0)),""),"")</f>
        <v/>
      </c>
      <c r="G133" s="45" t="n"/>
      <c r="H133" s="54">
        <f t="array" ref="H133">IF(G133&lt;&gt;"",IF(INDEX(techniques[detection rules for techique],MATCH(G133,techniques[name],0))&gt;=1,INDEX(techniques[detection rules for techique],MATCH(G133,techniques[name],0)),""),"")</f>
        <v/>
      </c>
      <c r="I133" s="45" t="n"/>
      <c r="J133" s="54">
        <f t="array" ref="J133">IF(I133&lt;&gt;"",IF(INDEX(techniques[detection rules for techique],MATCH(I133,techniques[name],0))&gt;=1,INDEX(techniques[detection rules for techique],MATCH(I133,techniques[name],0)),""),"")</f>
        <v/>
      </c>
      <c r="K133" s="45" t="n"/>
      <c r="L133" s="54">
        <f t="array" ref="L133">IF(K133&lt;&gt;"",IF(INDEX(techniques[detection rules for techique],MATCH(K133,techniques[name],0))&gt;=1,INDEX(techniques[detection rules for techique],MATCH(K133,techniques[name],0)),""),"")</f>
        <v/>
      </c>
      <c r="M133" s="45" t="inlineStr">
        <is>
          <t>Dynamic Linker Hijacking (T1574.006)</t>
        </is>
      </c>
      <c r="N133" s="54">
        <f t="array" ref="N133">IF(M133&lt;&gt;"",IF(INDEX(techniques[detection rules for techique],MATCH(M133,techniques[name],0))&gt;=1,INDEX(techniques[detection rules for techique],MATCH(M133,techniques[name],0)),""),"")</f>
        <v/>
      </c>
      <c r="O133" s="45" t="n"/>
      <c r="P133" s="54">
        <f t="array" ref="P133">IF(O133&lt;&gt;"",IF(INDEX(techniques[detection rules for techique],MATCH(O133,techniques[name],0))&gt;=1,INDEX(techniques[detection rules for techique],MATCH(O133,techniques[name],0)),""),"")</f>
        <v/>
      </c>
      <c r="Q133" s="45" t="n"/>
      <c r="R133" s="54">
        <f t="array" ref="R133">IF(Q133&lt;&gt;"",IF(INDEX(techniques[detection rules for techique],MATCH(Q133,techniques[name],0))&gt;=1,INDEX(techniques[detection rules for techique],MATCH(Q133,techniques[name],0)),""),"")</f>
        <v/>
      </c>
      <c r="S133" s="45" t="n"/>
      <c r="T133" s="54">
        <f t="array" ref="T133">IF(S133&lt;&gt;"",IF(INDEX(techniques[detection rules for techique],MATCH(S133,techniques[name],0))&gt;=1,INDEX(techniques[detection rules for techique],MATCH(S133,techniques[name],0)),""),"")</f>
        <v/>
      </c>
      <c r="U133" s="45" t="n"/>
      <c r="V133" s="54">
        <f t="array" ref="V133">IF(U133&lt;&gt;"",IF(INDEX(techniques[detection rules for techique],MATCH(U133,techniques[name],0))&gt;=1,INDEX(techniques[detection rules for techique],MATCH(U133,techniques[name],0)),""),"")</f>
        <v/>
      </c>
      <c r="W133" s="45" t="n"/>
      <c r="X133" s="54">
        <f t="array" ref="X133">IF(W133&lt;&gt;"",IF(INDEX(techniques[detection rules for techique],MATCH(W133,techniques[name],0))&gt;=1,INDEX(techniques[detection rules for techique],MATCH(W133,techniques[name],0)),""),"")</f>
        <v/>
      </c>
      <c r="Y133" s="45" t="n"/>
      <c r="Z133" s="54">
        <f t="array" ref="Z133">IF(Y133&lt;&gt;"",IF(INDEX(techniques[detection rules for techique],MATCH(Y133,techniques[name],0))&gt;=1,INDEX(techniques[detection rules for techique],MATCH(Y133,techniques[name],0)),""),"")</f>
        <v/>
      </c>
      <c r="AA133" s="45" t="n"/>
      <c r="AB133" s="54">
        <f t="array" ref="AB133">IF(AA133&lt;&gt;"",IF(INDEX(techniques[detection rules for techique],MATCH(AA133,techniques[name],0))&gt;=1,INDEX(techniques[detection rules for techique],MATCH(AA133,techniques[name],0)),""),"")</f>
        <v/>
      </c>
      <c r="AC133" s="45" t="n"/>
      <c r="AD133" s="54">
        <f t="array" ref="AD133">IF(AC133&lt;&gt;"",IF(INDEX(techniques[detection rules for techique],MATCH(AC133,techniques[name],0))&gt;=1,INDEX(techniques[detection rules for techique],MATCH(AC133,techniques[name],0)),""),"")</f>
        <v/>
      </c>
    </row>
    <row r="134" ht="22.5" customHeight="1">
      <c r="A134" s="45" t="n"/>
      <c r="B134" s="54">
        <f t="array" ref="B134">IF(A134&lt;&gt;"",IF(INDEX(techniques[detection rules for techique],MATCH(A134,techniques[name],0))&gt;=1,INDEX(techniques[detection rules for techique],MATCH(A134,techniques[name],0)),""),"")</f>
        <v/>
      </c>
      <c r="C134" s="45" t="n"/>
      <c r="D134" s="54">
        <f t="array" ref="D134">IF(C134&lt;&gt;"",IF(INDEX(techniques[detection rules for techique],MATCH(C134,techniques[name],0))&gt;=1,INDEX(techniques[detection rules for techique],MATCH(C134,techniques[name],0)),""),"")</f>
        <v/>
      </c>
      <c r="E134" s="45" t="n"/>
      <c r="F134" s="54">
        <f t="array" ref="F134">IF(E134&lt;&gt;"",IF(INDEX(techniques[detection rules for techique],MATCH(E134,techniques[name],0))&gt;=1,INDEX(techniques[detection rules for techique],MATCH(E134,techniques[name],0)),""),"")</f>
        <v/>
      </c>
      <c r="G134" s="45" t="n"/>
      <c r="H134" s="54">
        <f t="array" ref="H134">IF(G134&lt;&gt;"",IF(INDEX(techniques[detection rules for techique],MATCH(G134,techniques[name],0))&gt;=1,INDEX(techniques[detection rules for techique],MATCH(G134,techniques[name],0)),""),"")</f>
        <v/>
      </c>
      <c r="I134" s="45" t="n"/>
      <c r="J134" s="54">
        <f t="array" ref="J134">IF(I134&lt;&gt;"",IF(INDEX(techniques[detection rules for techique],MATCH(I134,techniques[name],0))&gt;=1,INDEX(techniques[detection rules for techique],MATCH(I134,techniques[name],0)),""),"")</f>
        <v/>
      </c>
      <c r="K134" s="45" t="n"/>
      <c r="L134" s="54">
        <f t="array" ref="L134">IF(K134&lt;&gt;"",IF(INDEX(techniques[detection rules for techique],MATCH(K134,techniques[name],0))&gt;=1,INDEX(techniques[detection rules for techique],MATCH(K134,techniques[name],0)),""),"")</f>
        <v/>
      </c>
      <c r="M134" s="45" t="inlineStr">
        <is>
          <t>Path Interception by PATH Environment Variable (T1574.007)</t>
        </is>
      </c>
      <c r="N134" s="54">
        <f t="array" ref="N134">IF(M134&lt;&gt;"",IF(INDEX(techniques[detection rules for techique],MATCH(M134,techniques[name],0))&gt;=1,INDEX(techniques[detection rules for techique],MATCH(M134,techniques[name],0)),""),"")</f>
        <v/>
      </c>
      <c r="O134" s="45" t="n"/>
      <c r="P134" s="54">
        <f t="array" ref="P134">IF(O134&lt;&gt;"",IF(INDEX(techniques[detection rules for techique],MATCH(O134,techniques[name],0))&gt;=1,INDEX(techniques[detection rules for techique],MATCH(O134,techniques[name],0)),""),"")</f>
        <v/>
      </c>
      <c r="Q134" s="45" t="n"/>
      <c r="R134" s="54">
        <f t="array" ref="R134">IF(Q134&lt;&gt;"",IF(INDEX(techniques[detection rules for techique],MATCH(Q134,techniques[name],0))&gt;=1,INDEX(techniques[detection rules for techique],MATCH(Q134,techniques[name],0)),""),"")</f>
        <v/>
      </c>
      <c r="S134" s="45" t="n"/>
      <c r="T134" s="54">
        <f t="array" ref="T134">IF(S134&lt;&gt;"",IF(INDEX(techniques[detection rules for techique],MATCH(S134,techniques[name],0))&gt;=1,INDEX(techniques[detection rules for techique],MATCH(S134,techniques[name],0)),""),"")</f>
        <v/>
      </c>
      <c r="U134" s="45" t="n"/>
      <c r="V134" s="54">
        <f t="array" ref="V134">IF(U134&lt;&gt;"",IF(INDEX(techniques[detection rules for techique],MATCH(U134,techniques[name],0))&gt;=1,INDEX(techniques[detection rules for techique],MATCH(U134,techniques[name],0)),""),"")</f>
        <v/>
      </c>
      <c r="W134" s="45" t="n"/>
      <c r="X134" s="54">
        <f t="array" ref="X134">IF(W134&lt;&gt;"",IF(INDEX(techniques[detection rules for techique],MATCH(W134,techniques[name],0))&gt;=1,INDEX(techniques[detection rules for techique],MATCH(W134,techniques[name],0)),""),"")</f>
        <v/>
      </c>
      <c r="Y134" s="45" t="n"/>
      <c r="Z134" s="54">
        <f t="array" ref="Z134">IF(Y134&lt;&gt;"",IF(INDEX(techniques[detection rules for techique],MATCH(Y134,techniques[name],0))&gt;=1,INDEX(techniques[detection rules for techique],MATCH(Y134,techniques[name],0)),""),"")</f>
        <v/>
      </c>
      <c r="AA134" s="45" t="n"/>
      <c r="AB134" s="54">
        <f t="array" ref="AB134">IF(AA134&lt;&gt;"",IF(INDEX(techniques[detection rules for techique],MATCH(AA134,techniques[name],0))&gt;=1,INDEX(techniques[detection rules for techique],MATCH(AA134,techniques[name],0)),""),"")</f>
        <v/>
      </c>
      <c r="AC134" s="45" t="n"/>
      <c r="AD134" s="54">
        <f t="array" ref="AD134">IF(AC134&lt;&gt;"",IF(INDEX(techniques[detection rules for techique],MATCH(AC134,techniques[name],0))&gt;=1,INDEX(techniques[detection rules for techique],MATCH(AC134,techniques[name],0)),""),"")</f>
        <v/>
      </c>
    </row>
    <row r="135" ht="22.5" customHeight="1">
      <c r="A135" s="45" t="n"/>
      <c r="B135" s="54">
        <f t="array" ref="B135">IF(A135&lt;&gt;"",IF(INDEX(techniques[detection rules for techique],MATCH(A135,techniques[name],0))&gt;=1,INDEX(techniques[detection rules for techique],MATCH(A135,techniques[name],0)),""),"")</f>
        <v/>
      </c>
      <c r="C135" s="45" t="n"/>
      <c r="D135" s="54">
        <f t="array" ref="D135">IF(C135&lt;&gt;"",IF(INDEX(techniques[detection rules for techique],MATCH(C135,techniques[name],0))&gt;=1,INDEX(techniques[detection rules for techique],MATCH(C135,techniques[name],0)),""),"")</f>
        <v/>
      </c>
      <c r="E135" s="45" t="n"/>
      <c r="F135" s="54">
        <f t="array" ref="F135">IF(E135&lt;&gt;"",IF(INDEX(techniques[detection rules for techique],MATCH(E135,techniques[name],0))&gt;=1,INDEX(techniques[detection rules for techique],MATCH(E135,techniques[name],0)),""),"")</f>
        <v/>
      </c>
      <c r="G135" s="45" t="n"/>
      <c r="H135" s="54">
        <f t="array" ref="H135">IF(G135&lt;&gt;"",IF(INDEX(techniques[detection rules for techique],MATCH(G135,techniques[name],0))&gt;=1,INDEX(techniques[detection rules for techique],MATCH(G135,techniques[name],0)),""),"")</f>
        <v/>
      </c>
      <c r="I135" s="45" t="n"/>
      <c r="J135" s="54">
        <f t="array" ref="J135">IF(I135&lt;&gt;"",IF(INDEX(techniques[detection rules for techique],MATCH(I135,techniques[name],0))&gt;=1,INDEX(techniques[detection rules for techique],MATCH(I135,techniques[name],0)),""),"")</f>
        <v/>
      </c>
      <c r="K135" s="45" t="n"/>
      <c r="L135" s="54">
        <f t="array" ref="L135">IF(K135&lt;&gt;"",IF(INDEX(techniques[detection rules for techique],MATCH(K135,techniques[name],0))&gt;=1,INDEX(techniques[detection rules for techique],MATCH(K135,techniques[name],0)),""),"")</f>
        <v/>
      </c>
      <c r="M135" s="45" t="inlineStr">
        <is>
          <t>Path Interception by Search Order Hijacking (T1574.008)</t>
        </is>
      </c>
      <c r="N135" s="54">
        <f t="array" ref="N135">IF(M135&lt;&gt;"",IF(INDEX(techniques[detection rules for techique],MATCH(M135,techniques[name],0))&gt;=1,INDEX(techniques[detection rules for techique],MATCH(M135,techniques[name],0)),""),"")</f>
        <v/>
      </c>
      <c r="O135" s="45" t="n"/>
      <c r="P135" s="54">
        <f t="array" ref="P135">IF(O135&lt;&gt;"",IF(INDEX(techniques[detection rules for techique],MATCH(O135,techniques[name],0))&gt;=1,INDEX(techniques[detection rules for techique],MATCH(O135,techniques[name],0)),""),"")</f>
        <v/>
      </c>
      <c r="Q135" s="45" t="n"/>
      <c r="R135" s="54">
        <f t="array" ref="R135">IF(Q135&lt;&gt;"",IF(INDEX(techniques[detection rules for techique],MATCH(Q135,techniques[name],0))&gt;=1,INDEX(techniques[detection rules for techique],MATCH(Q135,techniques[name],0)),""),"")</f>
        <v/>
      </c>
      <c r="S135" s="45" t="n"/>
      <c r="T135" s="54">
        <f t="array" ref="T135">IF(S135&lt;&gt;"",IF(INDEX(techniques[detection rules for techique],MATCH(S135,techniques[name],0))&gt;=1,INDEX(techniques[detection rules for techique],MATCH(S135,techniques[name],0)),""),"")</f>
        <v/>
      </c>
      <c r="U135" s="45" t="n"/>
      <c r="V135" s="54">
        <f t="array" ref="V135">IF(U135&lt;&gt;"",IF(INDEX(techniques[detection rules for techique],MATCH(U135,techniques[name],0))&gt;=1,INDEX(techniques[detection rules for techique],MATCH(U135,techniques[name],0)),""),"")</f>
        <v/>
      </c>
      <c r="W135" s="45" t="n"/>
      <c r="X135" s="54">
        <f t="array" ref="X135">IF(W135&lt;&gt;"",IF(INDEX(techniques[detection rules for techique],MATCH(W135,techniques[name],0))&gt;=1,INDEX(techniques[detection rules for techique],MATCH(W135,techniques[name],0)),""),"")</f>
        <v/>
      </c>
      <c r="Y135" s="45" t="n"/>
      <c r="Z135" s="54">
        <f t="array" ref="Z135">IF(Y135&lt;&gt;"",IF(INDEX(techniques[detection rules for techique],MATCH(Y135,techniques[name],0))&gt;=1,INDEX(techniques[detection rules for techique],MATCH(Y135,techniques[name],0)),""),"")</f>
        <v/>
      </c>
      <c r="AA135" s="45" t="n"/>
      <c r="AB135" s="54">
        <f t="array" ref="AB135">IF(AA135&lt;&gt;"",IF(INDEX(techniques[detection rules for techique],MATCH(AA135,techniques[name],0))&gt;=1,INDEX(techniques[detection rules for techique],MATCH(AA135,techniques[name],0)),""),"")</f>
        <v/>
      </c>
      <c r="AC135" s="45" t="n"/>
      <c r="AD135" s="54">
        <f t="array" ref="AD135">IF(AC135&lt;&gt;"",IF(INDEX(techniques[detection rules for techique],MATCH(AC135,techniques[name],0))&gt;=1,INDEX(techniques[detection rules for techique],MATCH(AC135,techniques[name],0)),""),"")</f>
        <v/>
      </c>
    </row>
    <row r="136" ht="22.5" customHeight="1">
      <c r="A136" s="45" t="n"/>
      <c r="B136" s="54">
        <f t="array" ref="B136">IF(A136&lt;&gt;"",IF(INDEX(techniques[detection rules for techique],MATCH(A136,techniques[name],0))&gt;=1,INDEX(techniques[detection rules for techique],MATCH(A136,techniques[name],0)),""),"")</f>
        <v/>
      </c>
      <c r="C136" s="45" t="n"/>
      <c r="D136" s="54">
        <f t="array" ref="D136">IF(C136&lt;&gt;"",IF(INDEX(techniques[detection rules for techique],MATCH(C136,techniques[name],0))&gt;=1,INDEX(techniques[detection rules for techique],MATCH(C136,techniques[name],0)),""),"")</f>
        <v/>
      </c>
      <c r="E136" s="45" t="n"/>
      <c r="F136" s="54">
        <f t="array" ref="F136">IF(E136&lt;&gt;"",IF(INDEX(techniques[detection rules for techique],MATCH(E136,techniques[name],0))&gt;=1,INDEX(techniques[detection rules for techique],MATCH(E136,techniques[name],0)),""),"")</f>
        <v/>
      </c>
      <c r="G136" s="45" t="n"/>
      <c r="H136" s="54">
        <f t="array" ref="H136">IF(G136&lt;&gt;"",IF(INDEX(techniques[detection rules for techique],MATCH(G136,techniques[name],0))&gt;=1,INDEX(techniques[detection rules for techique],MATCH(G136,techniques[name],0)),""),"")</f>
        <v/>
      </c>
      <c r="I136" s="45" t="n"/>
      <c r="J136" s="54">
        <f t="array" ref="J136">IF(I136&lt;&gt;"",IF(INDEX(techniques[detection rules for techique],MATCH(I136,techniques[name],0))&gt;=1,INDEX(techniques[detection rules for techique],MATCH(I136,techniques[name],0)),""),"")</f>
        <v/>
      </c>
      <c r="K136" s="45" t="n"/>
      <c r="L136" s="54">
        <f t="array" ref="L136">IF(K136&lt;&gt;"",IF(INDEX(techniques[detection rules for techique],MATCH(K136,techniques[name],0))&gt;=1,INDEX(techniques[detection rules for techique],MATCH(K136,techniques[name],0)),""),"")</f>
        <v/>
      </c>
      <c r="M136" s="45" t="inlineStr">
        <is>
          <t>Path Interception by Unquoted Path (T1574.009)</t>
        </is>
      </c>
      <c r="N136" s="54">
        <f t="array" ref="N136">IF(M136&lt;&gt;"",IF(INDEX(techniques[detection rules for techique],MATCH(M136,techniques[name],0))&gt;=1,INDEX(techniques[detection rules for techique],MATCH(M136,techniques[name],0)),""),"")</f>
        <v/>
      </c>
      <c r="O136" s="45" t="n"/>
      <c r="P136" s="54">
        <f t="array" ref="P136">IF(O136&lt;&gt;"",IF(INDEX(techniques[detection rules for techique],MATCH(O136,techniques[name],0))&gt;=1,INDEX(techniques[detection rules for techique],MATCH(O136,techniques[name],0)),""),"")</f>
        <v/>
      </c>
      <c r="Q136" s="45" t="n"/>
      <c r="R136" s="54">
        <f t="array" ref="R136">IF(Q136&lt;&gt;"",IF(INDEX(techniques[detection rules for techique],MATCH(Q136,techniques[name],0))&gt;=1,INDEX(techniques[detection rules for techique],MATCH(Q136,techniques[name],0)),""),"")</f>
        <v/>
      </c>
      <c r="S136" s="45" t="n"/>
      <c r="T136" s="54">
        <f t="array" ref="T136">IF(S136&lt;&gt;"",IF(INDEX(techniques[detection rules for techique],MATCH(S136,techniques[name],0))&gt;=1,INDEX(techniques[detection rules for techique],MATCH(S136,techniques[name],0)),""),"")</f>
        <v/>
      </c>
      <c r="U136" s="45" t="n"/>
      <c r="V136" s="54">
        <f t="array" ref="V136">IF(U136&lt;&gt;"",IF(INDEX(techniques[detection rules for techique],MATCH(U136,techniques[name],0))&gt;=1,INDEX(techniques[detection rules for techique],MATCH(U136,techniques[name],0)),""),"")</f>
        <v/>
      </c>
      <c r="W136" s="45" t="n"/>
      <c r="X136" s="54">
        <f t="array" ref="X136">IF(W136&lt;&gt;"",IF(INDEX(techniques[detection rules for techique],MATCH(W136,techniques[name],0))&gt;=1,INDEX(techniques[detection rules for techique],MATCH(W136,techniques[name],0)),""),"")</f>
        <v/>
      </c>
      <c r="Y136" s="45" t="n"/>
      <c r="Z136" s="54">
        <f t="array" ref="Z136">IF(Y136&lt;&gt;"",IF(INDEX(techniques[detection rules for techique],MATCH(Y136,techniques[name],0))&gt;=1,INDEX(techniques[detection rules for techique],MATCH(Y136,techniques[name],0)),""),"")</f>
        <v/>
      </c>
      <c r="AA136" s="45" t="n"/>
      <c r="AB136" s="54">
        <f t="array" ref="AB136">IF(AA136&lt;&gt;"",IF(INDEX(techniques[detection rules for techique],MATCH(AA136,techniques[name],0))&gt;=1,INDEX(techniques[detection rules for techique],MATCH(AA136,techniques[name],0)),""),"")</f>
        <v/>
      </c>
      <c r="AC136" s="45" t="n"/>
      <c r="AD136" s="54">
        <f t="array" ref="AD136">IF(AC136&lt;&gt;"",IF(INDEX(techniques[detection rules for techique],MATCH(AC136,techniques[name],0))&gt;=1,INDEX(techniques[detection rules for techique],MATCH(AC136,techniques[name],0)),""),"")</f>
        <v/>
      </c>
    </row>
    <row r="137">
      <c r="A137" s="45" t="n"/>
      <c r="B137" s="54">
        <f t="array" ref="B137">IF(A137&lt;&gt;"",IF(INDEX(techniques[detection rules for techique],MATCH(A137,techniques[name],0))&gt;=1,INDEX(techniques[detection rules for techique],MATCH(A137,techniques[name],0)),""),"")</f>
        <v/>
      </c>
      <c r="C137" s="45" t="n"/>
      <c r="D137" s="54">
        <f t="array" ref="D137">IF(C137&lt;&gt;"",IF(INDEX(techniques[detection rules for techique],MATCH(C137,techniques[name],0))&gt;=1,INDEX(techniques[detection rules for techique],MATCH(C137,techniques[name],0)),""),"")</f>
        <v/>
      </c>
      <c r="E137" s="45" t="n"/>
      <c r="F137" s="54">
        <f t="array" ref="F137">IF(E137&lt;&gt;"",IF(INDEX(techniques[detection rules for techique],MATCH(E137,techniques[name],0))&gt;=1,INDEX(techniques[detection rules for techique],MATCH(E137,techniques[name],0)),""),"")</f>
        <v/>
      </c>
      <c r="G137" s="45" t="n"/>
      <c r="H137" s="54">
        <f t="array" ref="H137">IF(G137&lt;&gt;"",IF(INDEX(techniques[detection rules for techique],MATCH(G137,techniques[name],0))&gt;=1,INDEX(techniques[detection rules for techique],MATCH(G137,techniques[name],0)),""),"")</f>
        <v/>
      </c>
      <c r="I137" s="45" t="n"/>
      <c r="J137" s="54">
        <f t="array" ref="J137">IF(I137&lt;&gt;"",IF(INDEX(techniques[detection rules for techique],MATCH(I137,techniques[name],0))&gt;=1,INDEX(techniques[detection rules for techique],MATCH(I137,techniques[name],0)),""),"")</f>
        <v/>
      </c>
      <c r="K137" s="45" t="n"/>
      <c r="L137" s="54">
        <f t="array" ref="L137">IF(K137&lt;&gt;"",IF(INDEX(techniques[detection rules for techique],MATCH(K137,techniques[name],0))&gt;=1,INDEX(techniques[detection rules for techique],MATCH(K137,techniques[name],0)),""),"")</f>
        <v/>
      </c>
      <c r="M137" s="45" t="inlineStr">
        <is>
          <t>Services File Permissions Weakness (T1574.010)</t>
        </is>
      </c>
      <c r="N137" s="54">
        <f t="array" ref="N137">IF(M137&lt;&gt;"",IF(INDEX(techniques[detection rules for techique],MATCH(M137,techniques[name],0))&gt;=1,INDEX(techniques[detection rules for techique],MATCH(M137,techniques[name],0)),""),"")</f>
        <v/>
      </c>
      <c r="O137" s="45" t="n"/>
      <c r="P137" s="54">
        <f t="array" ref="P137">IF(O137&lt;&gt;"",IF(INDEX(techniques[detection rules for techique],MATCH(O137,techniques[name],0))&gt;=1,INDEX(techniques[detection rules for techique],MATCH(O137,techniques[name],0)),""),"")</f>
        <v/>
      </c>
      <c r="Q137" s="45" t="n"/>
      <c r="R137" s="54">
        <f t="array" ref="R137">IF(Q137&lt;&gt;"",IF(INDEX(techniques[detection rules for techique],MATCH(Q137,techniques[name],0))&gt;=1,INDEX(techniques[detection rules for techique],MATCH(Q137,techniques[name],0)),""),"")</f>
        <v/>
      </c>
      <c r="S137" s="45" t="n"/>
      <c r="T137" s="54">
        <f t="array" ref="T137">IF(S137&lt;&gt;"",IF(INDEX(techniques[detection rules for techique],MATCH(S137,techniques[name],0))&gt;=1,INDEX(techniques[detection rules for techique],MATCH(S137,techniques[name],0)),""),"")</f>
        <v/>
      </c>
      <c r="U137" s="45" t="n"/>
      <c r="V137" s="54">
        <f t="array" ref="V137">IF(U137&lt;&gt;"",IF(INDEX(techniques[detection rules for techique],MATCH(U137,techniques[name],0))&gt;=1,INDEX(techniques[detection rules for techique],MATCH(U137,techniques[name],0)),""),"")</f>
        <v/>
      </c>
      <c r="W137" s="45" t="n"/>
      <c r="X137" s="54">
        <f t="array" ref="X137">IF(W137&lt;&gt;"",IF(INDEX(techniques[detection rules for techique],MATCH(W137,techniques[name],0))&gt;=1,INDEX(techniques[detection rules for techique],MATCH(W137,techniques[name],0)),""),"")</f>
        <v/>
      </c>
      <c r="Y137" s="45" t="n"/>
      <c r="Z137" s="54">
        <f t="array" ref="Z137">IF(Y137&lt;&gt;"",IF(INDEX(techniques[detection rules for techique],MATCH(Y137,techniques[name],0))&gt;=1,INDEX(techniques[detection rules for techique],MATCH(Y137,techniques[name],0)),""),"")</f>
        <v/>
      </c>
      <c r="AA137" s="45" t="n"/>
      <c r="AB137" s="54">
        <f t="array" ref="AB137">IF(AA137&lt;&gt;"",IF(INDEX(techniques[detection rules for techique],MATCH(AA137,techniques[name],0))&gt;=1,INDEX(techniques[detection rules for techique],MATCH(AA137,techniques[name],0)),""),"")</f>
        <v/>
      </c>
      <c r="AC137" s="45" t="n"/>
      <c r="AD137" s="54">
        <f t="array" ref="AD137">IF(AC137&lt;&gt;"",IF(INDEX(techniques[detection rules for techique],MATCH(AC137,techniques[name],0))&gt;=1,INDEX(techniques[detection rules for techique],MATCH(AC137,techniques[name],0)),""),"")</f>
        <v/>
      </c>
    </row>
    <row r="138" ht="22.5" customHeight="1">
      <c r="A138" s="45" t="n"/>
      <c r="B138" s="54">
        <f t="array" ref="B138">IF(A138&lt;&gt;"",IF(INDEX(techniques[detection rules for techique],MATCH(A138,techniques[name],0))&gt;=1,INDEX(techniques[detection rules for techique],MATCH(A138,techniques[name],0)),""),"")</f>
        <v/>
      </c>
      <c r="C138" s="45" t="n"/>
      <c r="D138" s="54">
        <f t="array" ref="D138">IF(C138&lt;&gt;"",IF(INDEX(techniques[detection rules for techique],MATCH(C138,techniques[name],0))&gt;=1,INDEX(techniques[detection rules for techique],MATCH(C138,techniques[name],0)),""),"")</f>
        <v/>
      </c>
      <c r="E138" s="45" t="n"/>
      <c r="F138" s="54">
        <f t="array" ref="F138">IF(E138&lt;&gt;"",IF(INDEX(techniques[detection rules for techique],MATCH(E138,techniques[name],0))&gt;=1,INDEX(techniques[detection rules for techique],MATCH(E138,techniques[name],0)),""),"")</f>
        <v/>
      </c>
      <c r="G138" s="45" t="n"/>
      <c r="H138" s="54">
        <f t="array" ref="H138">IF(G138&lt;&gt;"",IF(INDEX(techniques[detection rules for techique],MATCH(G138,techniques[name],0))&gt;=1,INDEX(techniques[detection rules for techique],MATCH(G138,techniques[name],0)),""),"")</f>
        <v/>
      </c>
      <c r="I138" s="45" t="n"/>
      <c r="J138" s="54">
        <f t="array" ref="J138">IF(I138&lt;&gt;"",IF(INDEX(techniques[detection rules for techique],MATCH(I138,techniques[name],0))&gt;=1,INDEX(techniques[detection rules for techique],MATCH(I138,techniques[name],0)),""),"")</f>
        <v/>
      </c>
      <c r="K138" s="45" t="n"/>
      <c r="L138" s="54">
        <f t="array" ref="L138">IF(K138&lt;&gt;"",IF(INDEX(techniques[detection rules for techique],MATCH(K138,techniques[name],0))&gt;=1,INDEX(techniques[detection rules for techique],MATCH(K138,techniques[name],0)),""),"")</f>
        <v/>
      </c>
      <c r="M138" s="45" t="inlineStr">
        <is>
          <t>Services Registry Permissions Weakness (T1574.011)</t>
        </is>
      </c>
      <c r="N138" s="54">
        <f t="array" ref="N138">IF(M138&lt;&gt;"",IF(INDEX(techniques[detection rules for techique],MATCH(M138,techniques[name],0))&gt;=1,INDEX(techniques[detection rules for techique],MATCH(M138,techniques[name],0)),""),"")</f>
        <v/>
      </c>
      <c r="O138" s="45" t="n"/>
      <c r="P138" s="54">
        <f t="array" ref="P138">IF(O138&lt;&gt;"",IF(INDEX(techniques[detection rules for techique],MATCH(O138,techniques[name],0))&gt;=1,INDEX(techniques[detection rules for techique],MATCH(O138,techniques[name],0)),""),"")</f>
        <v/>
      </c>
      <c r="Q138" s="45" t="n"/>
      <c r="R138" s="54">
        <f t="array" ref="R138">IF(Q138&lt;&gt;"",IF(INDEX(techniques[detection rules for techique],MATCH(Q138,techniques[name],0))&gt;=1,INDEX(techniques[detection rules for techique],MATCH(Q138,techniques[name],0)),""),"")</f>
        <v/>
      </c>
      <c r="S138" s="45" t="n"/>
      <c r="T138" s="54">
        <f t="array" ref="T138">IF(S138&lt;&gt;"",IF(INDEX(techniques[detection rules for techique],MATCH(S138,techniques[name],0))&gt;=1,INDEX(techniques[detection rules for techique],MATCH(S138,techniques[name],0)),""),"")</f>
        <v/>
      </c>
      <c r="U138" s="45" t="n"/>
      <c r="V138" s="54">
        <f t="array" ref="V138">IF(U138&lt;&gt;"",IF(INDEX(techniques[detection rules for techique],MATCH(U138,techniques[name],0))&gt;=1,INDEX(techniques[detection rules for techique],MATCH(U138,techniques[name],0)),""),"")</f>
        <v/>
      </c>
      <c r="W138" s="45" t="n"/>
      <c r="X138" s="54">
        <f t="array" ref="X138">IF(W138&lt;&gt;"",IF(INDEX(techniques[detection rules for techique],MATCH(W138,techniques[name],0))&gt;=1,INDEX(techniques[detection rules for techique],MATCH(W138,techniques[name],0)),""),"")</f>
        <v/>
      </c>
      <c r="Y138" s="45" t="n"/>
      <c r="Z138" s="54">
        <f t="array" ref="Z138">IF(Y138&lt;&gt;"",IF(INDEX(techniques[detection rules for techique],MATCH(Y138,techniques[name],0))&gt;=1,INDEX(techniques[detection rules for techique],MATCH(Y138,techniques[name],0)),""),"")</f>
        <v/>
      </c>
      <c r="AA138" s="45" t="n"/>
      <c r="AB138" s="54">
        <f t="array" ref="AB138">IF(AA138&lt;&gt;"",IF(INDEX(techniques[detection rules for techique],MATCH(AA138,techniques[name],0))&gt;=1,INDEX(techniques[detection rules for techique],MATCH(AA138,techniques[name],0)),""),"")</f>
        <v/>
      </c>
      <c r="AC138" s="45" t="n"/>
      <c r="AD138" s="54">
        <f t="array" ref="AD138">IF(AC138&lt;&gt;"",IF(INDEX(techniques[detection rules for techique],MATCH(AC138,techniques[name],0))&gt;=1,INDEX(techniques[detection rules for techique],MATCH(AC138,techniques[name],0)),""),"")</f>
        <v/>
      </c>
    </row>
    <row r="139" ht="22.5" customHeight="1">
      <c r="A139" s="45" t="n"/>
      <c r="B139" s="54">
        <f t="array" ref="B139">IF(A139&lt;&gt;"",IF(INDEX(techniques[detection rules for techique],MATCH(A139,techniques[name],0))&gt;=1,INDEX(techniques[detection rules for techique],MATCH(A139,techniques[name],0)),""),"")</f>
        <v/>
      </c>
      <c r="C139" s="45" t="n"/>
      <c r="D139" s="54">
        <f t="array" ref="D139">IF(C139&lt;&gt;"",IF(INDEX(techniques[detection rules for techique],MATCH(C139,techniques[name],0))&gt;=1,INDEX(techniques[detection rules for techique],MATCH(C139,techniques[name],0)),""),"")</f>
        <v/>
      </c>
      <c r="E139" s="45" t="n"/>
      <c r="F139" s="54">
        <f t="array" ref="F139">IF(E139&lt;&gt;"",IF(INDEX(techniques[detection rules for techique],MATCH(E139,techniques[name],0))&gt;=1,INDEX(techniques[detection rules for techique],MATCH(E139,techniques[name],0)),""),"")</f>
        <v/>
      </c>
      <c r="G139" s="45" t="n"/>
      <c r="H139" s="54">
        <f t="array" ref="H139">IF(G139&lt;&gt;"",IF(INDEX(techniques[detection rules for techique],MATCH(G139,techniques[name],0))&gt;=1,INDEX(techniques[detection rules for techique],MATCH(G139,techniques[name],0)),""),"")</f>
        <v/>
      </c>
      <c r="I139" s="45" t="n"/>
      <c r="J139" s="54">
        <f t="array" ref="J139">IF(I139&lt;&gt;"",IF(INDEX(techniques[detection rules for techique],MATCH(I139,techniques[name],0))&gt;=1,INDEX(techniques[detection rules for techique],MATCH(I139,techniques[name],0)),""),"")</f>
        <v/>
      </c>
      <c r="K139" s="45" t="n"/>
      <c r="L139" s="54">
        <f t="array" ref="L139">IF(K139&lt;&gt;"",IF(INDEX(techniques[detection rules for techique],MATCH(K139,techniques[name],0))&gt;=1,INDEX(techniques[detection rules for techique],MATCH(K139,techniques[name],0)),""),"")</f>
        <v/>
      </c>
      <c r="M139" s="45" t="inlineStr">
        <is>
          <t>COR_PROFILER (T1574.012)</t>
        </is>
      </c>
      <c r="N139" s="54">
        <f t="array" ref="N139">IF(M139&lt;&gt;"",IF(INDEX(techniques[detection rules for techique],MATCH(M139,techniques[name],0))&gt;=1,INDEX(techniques[detection rules for techique],MATCH(M139,techniques[name],0)),""),"")</f>
        <v/>
      </c>
      <c r="O139" s="45" t="n"/>
      <c r="P139" s="54">
        <f t="array" ref="P139">IF(O139&lt;&gt;"",IF(INDEX(techniques[detection rules for techique],MATCH(O139,techniques[name],0))&gt;=1,INDEX(techniques[detection rules for techique],MATCH(O139,techniques[name],0)),""),"")</f>
        <v/>
      </c>
      <c r="Q139" s="45" t="n"/>
      <c r="R139" s="54">
        <f t="array" ref="R139">IF(Q139&lt;&gt;"",IF(INDEX(techniques[detection rules for techique],MATCH(Q139,techniques[name],0))&gt;=1,INDEX(techniques[detection rules for techique],MATCH(Q139,techniques[name],0)),""),"")</f>
        <v/>
      </c>
      <c r="S139" s="45" t="n"/>
      <c r="T139" s="54">
        <f t="array" ref="T139">IF(S139&lt;&gt;"",IF(INDEX(techniques[detection rules for techique],MATCH(S139,techniques[name],0))&gt;=1,INDEX(techniques[detection rules for techique],MATCH(S139,techniques[name],0)),""),"")</f>
        <v/>
      </c>
      <c r="U139" s="45" t="n"/>
      <c r="V139" s="54">
        <f t="array" ref="V139">IF(U139&lt;&gt;"",IF(INDEX(techniques[detection rules for techique],MATCH(U139,techniques[name],0))&gt;=1,INDEX(techniques[detection rules for techique],MATCH(U139,techniques[name],0)),""),"")</f>
        <v/>
      </c>
      <c r="W139" s="45" t="n"/>
      <c r="X139" s="54">
        <f t="array" ref="X139">IF(W139&lt;&gt;"",IF(INDEX(techniques[detection rules for techique],MATCH(W139,techniques[name],0))&gt;=1,INDEX(techniques[detection rules for techique],MATCH(W139,techniques[name],0)),""),"")</f>
        <v/>
      </c>
      <c r="Y139" s="45" t="n"/>
      <c r="Z139" s="54">
        <f t="array" ref="Z139">IF(Y139&lt;&gt;"",IF(INDEX(techniques[detection rules for techique],MATCH(Y139,techniques[name],0))&gt;=1,INDEX(techniques[detection rules for techique],MATCH(Y139,techniques[name],0)),""),"")</f>
        <v/>
      </c>
      <c r="AA139" s="45" t="n"/>
      <c r="AB139" s="54">
        <f t="array" ref="AB139">IF(AA139&lt;&gt;"",IF(INDEX(techniques[detection rules for techique],MATCH(AA139,techniques[name],0))&gt;=1,INDEX(techniques[detection rules for techique],MATCH(AA139,techniques[name],0)),""),"")</f>
        <v/>
      </c>
      <c r="AC139" s="45" t="n"/>
      <c r="AD139" s="54">
        <f t="array" ref="AD139">IF(AC139&lt;&gt;"",IF(INDEX(techniques[detection rules for techique],MATCH(AC139,techniques[name],0))&gt;=1,INDEX(techniques[detection rules for techique],MATCH(AC139,techniques[name],0)),""),"")</f>
        <v/>
      </c>
    </row>
    <row r="140" ht="22.5" customHeight="1">
      <c r="A140" s="45" t="n"/>
      <c r="B140" s="54">
        <f t="array" ref="B140">IF(A140&lt;&gt;"",IF(INDEX(techniques[detection rules for techique],MATCH(A140,techniques[name],0))&gt;=1,INDEX(techniques[detection rules for techique],MATCH(A140,techniques[name],0)),""),"")</f>
        <v/>
      </c>
      <c r="C140" s="45" t="n"/>
      <c r="D140" s="54">
        <f t="array" ref="D140">IF(C140&lt;&gt;"",IF(INDEX(techniques[detection rules for techique],MATCH(C140,techniques[name],0))&gt;=1,INDEX(techniques[detection rules for techique],MATCH(C140,techniques[name],0)),""),"")</f>
        <v/>
      </c>
      <c r="E140" s="45" t="n"/>
      <c r="F140" s="54">
        <f t="array" ref="F140">IF(E140&lt;&gt;"",IF(INDEX(techniques[detection rules for techique],MATCH(E140,techniques[name],0))&gt;=1,INDEX(techniques[detection rules for techique],MATCH(E140,techniques[name],0)),""),"")</f>
        <v/>
      </c>
      <c r="G140" s="45" t="n"/>
      <c r="H140" s="54">
        <f t="array" ref="H140">IF(G140&lt;&gt;"",IF(INDEX(techniques[detection rules for techique],MATCH(G140,techniques[name],0))&gt;=1,INDEX(techniques[detection rules for techique],MATCH(G140,techniques[name],0)),""),"")</f>
        <v/>
      </c>
      <c r="I140" s="45" t="n"/>
      <c r="J140" s="54">
        <f t="array" ref="J140">IF(I140&lt;&gt;"",IF(INDEX(techniques[detection rules for techique],MATCH(I140,techniques[name],0))&gt;=1,INDEX(techniques[detection rules for techique],MATCH(I140,techniques[name],0)),""),"")</f>
        <v/>
      </c>
      <c r="K140" s="45" t="n"/>
      <c r="L140" s="54">
        <f t="array" ref="L140">IF(K140&lt;&gt;"",IF(INDEX(techniques[detection rules for techique],MATCH(K140,techniques[name],0))&gt;=1,INDEX(techniques[detection rules for techique],MATCH(K140,techniques[name],0)),""),"")</f>
        <v/>
      </c>
      <c r="M140" s="45" t="inlineStr">
        <is>
          <t>KernelCallbackTable (T1574.013)</t>
        </is>
      </c>
      <c r="N140" s="54">
        <f t="array" ref="N140">IF(M140&lt;&gt;"",IF(INDEX(techniques[detection rules for techique],MATCH(M140,techniques[name],0))&gt;=1,INDEX(techniques[detection rules for techique],MATCH(M140,techniques[name],0)),""),"")</f>
        <v/>
      </c>
      <c r="O140" s="45" t="n"/>
      <c r="P140" s="54">
        <f t="array" ref="P140">IF(O140&lt;&gt;"",IF(INDEX(techniques[detection rules for techique],MATCH(O140,techniques[name],0))&gt;=1,INDEX(techniques[detection rules for techique],MATCH(O140,techniques[name],0)),""),"")</f>
        <v/>
      </c>
      <c r="Q140" s="45" t="n"/>
      <c r="R140" s="54">
        <f t="array" ref="R140">IF(Q140&lt;&gt;"",IF(INDEX(techniques[detection rules for techique],MATCH(Q140,techniques[name],0))&gt;=1,INDEX(techniques[detection rules for techique],MATCH(Q140,techniques[name],0)),""),"")</f>
        <v/>
      </c>
      <c r="S140" s="45" t="n"/>
      <c r="T140" s="54">
        <f t="array" ref="T140">IF(S140&lt;&gt;"",IF(INDEX(techniques[detection rules for techique],MATCH(S140,techniques[name],0))&gt;=1,INDEX(techniques[detection rules for techique],MATCH(S140,techniques[name],0)),""),"")</f>
        <v/>
      </c>
      <c r="U140" s="45" t="n"/>
      <c r="V140" s="54">
        <f t="array" ref="V140">IF(U140&lt;&gt;"",IF(INDEX(techniques[detection rules for techique],MATCH(U140,techniques[name],0))&gt;=1,INDEX(techniques[detection rules for techique],MATCH(U140,techniques[name],0)),""),"")</f>
        <v/>
      </c>
      <c r="W140" s="45" t="n"/>
      <c r="X140" s="54">
        <f t="array" ref="X140">IF(W140&lt;&gt;"",IF(INDEX(techniques[detection rules for techique],MATCH(W140,techniques[name],0))&gt;=1,INDEX(techniques[detection rules for techique],MATCH(W140,techniques[name],0)),""),"")</f>
        <v/>
      </c>
      <c r="Y140" s="45" t="n"/>
      <c r="Z140" s="54">
        <f t="array" ref="Z140">IF(Y140&lt;&gt;"",IF(INDEX(techniques[detection rules for techique],MATCH(Y140,techniques[name],0))&gt;=1,INDEX(techniques[detection rules for techique],MATCH(Y140,techniques[name],0)),""),"")</f>
        <v/>
      </c>
      <c r="AA140" s="45" t="n"/>
      <c r="AB140" s="54">
        <f t="array" ref="AB140">IF(AA140&lt;&gt;"",IF(INDEX(techniques[detection rules for techique],MATCH(AA140,techniques[name],0))&gt;=1,INDEX(techniques[detection rules for techique],MATCH(AA140,techniques[name],0)),""),"")</f>
        <v/>
      </c>
      <c r="AC140" s="45" t="n"/>
      <c r="AD140" s="54">
        <f t="array" ref="AD140">IF(AC140&lt;&gt;"",IF(INDEX(techniques[detection rules for techique],MATCH(AC140,techniques[name],0))&gt;=1,INDEX(techniques[detection rules for techique],MATCH(AC140,techniques[name],0)),""),"")</f>
        <v/>
      </c>
    </row>
    <row r="141" ht="22.5" customHeight="1">
      <c r="A141" s="45" t="n"/>
      <c r="B141" s="54">
        <f t="array" ref="B141">IF(A141&lt;&gt;"",IF(INDEX(techniques[detection rules for techique],MATCH(A141,techniques[name],0))&gt;=1,INDEX(techniques[detection rules for techique],MATCH(A141,techniques[name],0)),""),"")</f>
        <v/>
      </c>
      <c r="C141" s="45" t="n"/>
      <c r="D141" s="54">
        <f t="array" ref="D141">IF(C141&lt;&gt;"",IF(INDEX(techniques[detection rules for techique],MATCH(C141,techniques[name],0))&gt;=1,INDEX(techniques[detection rules for techique],MATCH(C141,techniques[name],0)),""),"")</f>
        <v/>
      </c>
      <c r="E141" s="45" t="n"/>
      <c r="F141" s="54">
        <f t="array" ref="F141">IF(E141&lt;&gt;"",IF(INDEX(techniques[detection rules for techique],MATCH(E141,techniques[name],0))&gt;=1,INDEX(techniques[detection rules for techique],MATCH(E141,techniques[name],0)),""),"")</f>
        <v/>
      </c>
      <c r="G141" s="45" t="n"/>
      <c r="H141" s="54">
        <f t="array" ref="H141">IF(G141&lt;&gt;"",IF(INDEX(techniques[detection rules for techique],MATCH(G141,techniques[name],0))&gt;=1,INDEX(techniques[detection rules for techique],MATCH(G141,techniques[name],0)),""),"")</f>
        <v/>
      </c>
      <c r="I141" s="45" t="n"/>
      <c r="J141" s="54">
        <f t="array" ref="J141">IF(I141&lt;&gt;"",IF(INDEX(techniques[detection rules for techique],MATCH(I141,techniques[name],0))&gt;=1,INDEX(techniques[detection rules for techique],MATCH(I141,techniques[name],0)),""),"")</f>
        <v/>
      </c>
      <c r="K141" s="45" t="n"/>
      <c r="L141" s="54">
        <f t="array" ref="L141">IF(K141&lt;&gt;"",IF(INDEX(techniques[detection rules for techique],MATCH(K141,techniques[name],0))&gt;=1,INDEX(techniques[detection rules for techique],MATCH(K141,techniques[name],0)),""),"")</f>
        <v/>
      </c>
      <c r="M141" s="45" t="inlineStr">
        <is>
          <t>AppDomainManager (T1574.014)</t>
        </is>
      </c>
      <c r="N141" s="54">
        <f t="array" ref="N141">IF(M141&lt;&gt;"",IF(INDEX(techniques[detection rules for techique],MATCH(M141,techniques[name],0))&gt;=1,INDEX(techniques[detection rules for techique],MATCH(M141,techniques[name],0)),""),"")</f>
        <v/>
      </c>
      <c r="O141" s="45" t="n"/>
      <c r="P141" s="54">
        <f t="array" ref="P141">IF(O141&lt;&gt;"",IF(INDEX(techniques[detection rules for techique],MATCH(O141,techniques[name],0))&gt;=1,INDEX(techniques[detection rules for techique],MATCH(O141,techniques[name],0)),""),"")</f>
        <v/>
      </c>
      <c r="Q141" s="45" t="n"/>
      <c r="R141" s="54">
        <f t="array" ref="R141">IF(Q141&lt;&gt;"",IF(INDEX(techniques[detection rules for techique],MATCH(Q141,techniques[name],0))&gt;=1,INDEX(techniques[detection rules for techique],MATCH(Q141,techniques[name],0)),""),"")</f>
        <v/>
      </c>
      <c r="S141" s="45" t="n"/>
      <c r="T141" s="54">
        <f t="array" ref="T141">IF(S141&lt;&gt;"",IF(INDEX(techniques[detection rules for techique],MATCH(S141,techniques[name],0))&gt;=1,INDEX(techniques[detection rules for techique],MATCH(S141,techniques[name],0)),""),"")</f>
        <v/>
      </c>
      <c r="U141" s="45" t="n"/>
      <c r="V141" s="54">
        <f t="array" ref="V141">IF(U141&lt;&gt;"",IF(INDEX(techniques[detection rules for techique],MATCH(U141,techniques[name],0))&gt;=1,INDEX(techniques[detection rules for techique],MATCH(U141,techniques[name],0)),""),"")</f>
        <v/>
      </c>
      <c r="W141" s="45" t="n"/>
      <c r="X141" s="54">
        <f t="array" ref="X141">IF(W141&lt;&gt;"",IF(INDEX(techniques[detection rules for techique],MATCH(W141,techniques[name],0))&gt;=1,INDEX(techniques[detection rules for techique],MATCH(W141,techniques[name],0)),""),"")</f>
        <v/>
      </c>
      <c r="Y141" s="45" t="n"/>
      <c r="Z141" s="54">
        <f t="array" ref="Z141">IF(Y141&lt;&gt;"",IF(INDEX(techniques[detection rules for techique],MATCH(Y141,techniques[name],0))&gt;=1,INDEX(techniques[detection rules for techique],MATCH(Y141,techniques[name],0)),""),"")</f>
        <v/>
      </c>
      <c r="AA141" s="45" t="n"/>
      <c r="AB141" s="54">
        <f t="array" ref="AB141">IF(AA141&lt;&gt;"",IF(INDEX(techniques[detection rules for techique],MATCH(AA141,techniques[name],0))&gt;=1,INDEX(techniques[detection rules for techique],MATCH(AA141,techniques[name],0)),""),"")</f>
        <v/>
      </c>
      <c r="AC141" s="45" t="n"/>
      <c r="AD141" s="54">
        <f t="array" ref="AD141">IF(AC141&lt;&gt;"",IF(INDEX(techniques[detection rules for techique],MATCH(AC141,techniques[name],0))&gt;=1,INDEX(techniques[detection rules for techique],MATCH(AC141,techniques[name],0)),""),"")</f>
        <v/>
      </c>
    </row>
    <row r="142" ht="22.5" customHeight="1">
      <c r="A142" s="45" t="n"/>
      <c r="B142" s="54">
        <f t="array" ref="B142">IF(A142&lt;&gt;"",IF(INDEX(techniques[detection rules for techique],MATCH(A142,techniques[name],0))&gt;=1,INDEX(techniques[detection rules for techique],MATCH(A142,techniques[name],0)),""),"")</f>
        <v/>
      </c>
      <c r="C142" s="45" t="n"/>
      <c r="D142" s="54">
        <f t="array" ref="D142">IF(C142&lt;&gt;"",IF(INDEX(techniques[detection rules for techique],MATCH(C142,techniques[name],0))&gt;=1,INDEX(techniques[detection rules for techique],MATCH(C142,techniques[name],0)),""),"")</f>
        <v/>
      </c>
      <c r="E142" s="45" t="n"/>
      <c r="F142" s="54">
        <f t="array" ref="F142">IF(E142&lt;&gt;"",IF(INDEX(techniques[detection rules for techique],MATCH(E142,techniques[name],0))&gt;=1,INDEX(techniques[detection rules for techique],MATCH(E142,techniques[name],0)),""),"")</f>
        <v/>
      </c>
      <c r="G142" s="45" t="n"/>
      <c r="H142" s="54">
        <f t="array" ref="H142">IF(G142&lt;&gt;"",IF(INDEX(techniques[detection rules for techique],MATCH(G142,techniques[name],0))&gt;=1,INDEX(techniques[detection rules for techique],MATCH(G142,techniques[name],0)),""),"")</f>
        <v/>
      </c>
      <c r="I142" s="45" t="n"/>
      <c r="J142" s="54">
        <f t="array" ref="J142">IF(I142&lt;&gt;"",IF(INDEX(techniques[detection rules for techique],MATCH(I142,techniques[name],0))&gt;=1,INDEX(techniques[detection rules for techique],MATCH(I142,techniques[name],0)),""),"")</f>
        <v/>
      </c>
      <c r="K142" s="45" t="n"/>
      <c r="L142" s="54">
        <f t="array" ref="L142">IF(K142&lt;&gt;"",IF(INDEX(techniques[detection rules for techique],MATCH(K142,techniques[name],0))&gt;=1,INDEX(techniques[detection rules for techique],MATCH(K142,techniques[name],0)),""),"")</f>
        <v/>
      </c>
      <c r="M142" s="45" t="inlineStr">
        <is>
          <t>Build Image on Host (T1612)</t>
        </is>
      </c>
      <c r="N142" s="54">
        <f t="array" ref="N142">IF(M142&lt;&gt;"",IF(INDEX(techniques[detection rules for techique],MATCH(M142,techniques[name],0))&gt;=1,INDEX(techniques[detection rules for techique],MATCH(M142,techniques[name],0)),""),"")</f>
        <v/>
      </c>
      <c r="O142" s="45" t="n"/>
      <c r="P142" s="54">
        <f t="array" ref="P142">IF(O142&lt;&gt;"",IF(INDEX(techniques[detection rules for techique],MATCH(O142,techniques[name],0))&gt;=1,INDEX(techniques[detection rules for techique],MATCH(O142,techniques[name],0)),""),"")</f>
        <v/>
      </c>
      <c r="Q142" s="45" t="n"/>
      <c r="R142" s="54">
        <f t="array" ref="R142">IF(Q142&lt;&gt;"",IF(INDEX(techniques[detection rules for techique],MATCH(Q142,techniques[name],0))&gt;=1,INDEX(techniques[detection rules for techique],MATCH(Q142,techniques[name],0)),""),"")</f>
        <v/>
      </c>
      <c r="S142" s="45" t="n"/>
      <c r="T142" s="54">
        <f t="array" ref="T142">IF(S142&lt;&gt;"",IF(INDEX(techniques[detection rules for techique],MATCH(S142,techniques[name],0))&gt;=1,INDEX(techniques[detection rules for techique],MATCH(S142,techniques[name],0)),""),"")</f>
        <v/>
      </c>
      <c r="U142" s="45" t="n"/>
      <c r="V142" s="54">
        <f t="array" ref="V142">IF(U142&lt;&gt;"",IF(INDEX(techniques[detection rules for techique],MATCH(U142,techniques[name],0))&gt;=1,INDEX(techniques[detection rules for techique],MATCH(U142,techniques[name],0)),""),"")</f>
        <v/>
      </c>
      <c r="W142" s="45" t="n"/>
      <c r="X142" s="54">
        <f t="array" ref="X142">IF(W142&lt;&gt;"",IF(INDEX(techniques[detection rules for techique],MATCH(W142,techniques[name],0))&gt;=1,INDEX(techniques[detection rules for techique],MATCH(W142,techniques[name],0)),""),"")</f>
        <v/>
      </c>
      <c r="Y142" s="45" t="n"/>
      <c r="Z142" s="54">
        <f t="array" ref="Z142">IF(Y142&lt;&gt;"",IF(INDEX(techniques[detection rules for techique],MATCH(Y142,techniques[name],0))&gt;=1,INDEX(techniques[detection rules for techique],MATCH(Y142,techniques[name],0)),""),"")</f>
        <v/>
      </c>
      <c r="AA142" s="45" t="n"/>
      <c r="AB142" s="54">
        <f t="array" ref="AB142">IF(AA142&lt;&gt;"",IF(INDEX(techniques[detection rules for techique],MATCH(AA142,techniques[name],0))&gt;=1,INDEX(techniques[detection rules for techique],MATCH(AA142,techniques[name],0)),""),"")</f>
        <v/>
      </c>
      <c r="AC142" s="45" t="n"/>
      <c r="AD142" s="54">
        <f t="array" ref="AD142">IF(AC142&lt;&gt;"",IF(INDEX(techniques[detection rules for techique],MATCH(AC142,techniques[name],0))&gt;=1,INDEX(techniques[detection rules for techique],MATCH(AC142,techniques[name],0)),""),"")</f>
        <v/>
      </c>
    </row>
    <row r="143" ht="22.5" customHeight="1">
      <c r="A143" s="45" t="n"/>
      <c r="B143" s="54">
        <f t="array" ref="B143">IF(A143&lt;&gt;"",IF(INDEX(techniques[detection rules for techique],MATCH(A143,techniques[name],0))&gt;=1,INDEX(techniques[detection rules for techique],MATCH(A143,techniques[name],0)),""),"")</f>
        <v/>
      </c>
      <c r="C143" s="45" t="n"/>
      <c r="D143" s="54">
        <f t="array" ref="D143">IF(C143&lt;&gt;"",IF(INDEX(techniques[detection rules for techique],MATCH(C143,techniques[name],0))&gt;=1,INDEX(techniques[detection rules for techique],MATCH(C143,techniques[name],0)),""),"")</f>
        <v/>
      </c>
      <c r="E143" s="45" t="n"/>
      <c r="F143" s="54">
        <f t="array" ref="F143">IF(E143&lt;&gt;"",IF(INDEX(techniques[detection rules for techique],MATCH(E143,techniques[name],0))&gt;=1,INDEX(techniques[detection rules for techique],MATCH(E143,techniques[name],0)),""),"")</f>
        <v/>
      </c>
      <c r="G143" s="45" t="n"/>
      <c r="H143" s="54">
        <f t="array" ref="H143">IF(G143&lt;&gt;"",IF(INDEX(techniques[detection rules for techique],MATCH(G143,techniques[name],0))&gt;=1,INDEX(techniques[detection rules for techique],MATCH(G143,techniques[name],0)),""),"")</f>
        <v/>
      </c>
      <c r="I143" s="45" t="n"/>
      <c r="J143" s="54">
        <f t="array" ref="J143">IF(I143&lt;&gt;"",IF(INDEX(techniques[detection rules for techique],MATCH(I143,techniques[name],0))&gt;=1,INDEX(techniques[detection rules for techique],MATCH(I143,techniques[name],0)),""),"")</f>
        <v/>
      </c>
      <c r="K143" s="45" t="n"/>
      <c r="L143" s="54">
        <f t="array" ref="L143">IF(K143&lt;&gt;"",IF(INDEX(techniques[detection rules for techique],MATCH(K143,techniques[name],0))&gt;=1,INDEX(techniques[detection rules for techique],MATCH(K143,techniques[name],0)),""),"")</f>
        <v/>
      </c>
      <c r="M143" s="45" t="inlineStr">
        <is>
          <t>Reflective Code Loading (T1620)</t>
        </is>
      </c>
      <c r="N143" s="54">
        <f t="array" ref="N143">IF(M143&lt;&gt;"",IF(INDEX(techniques[detection rules for techique],MATCH(M143,techniques[name],0))&gt;=1,INDEX(techniques[detection rules for techique],MATCH(M143,techniques[name],0)),""),"")</f>
        <v/>
      </c>
      <c r="O143" s="45" t="n"/>
      <c r="P143" s="54">
        <f t="array" ref="P143">IF(O143&lt;&gt;"",IF(INDEX(techniques[detection rules for techique],MATCH(O143,techniques[name],0))&gt;=1,INDEX(techniques[detection rules for techique],MATCH(O143,techniques[name],0)),""),"")</f>
        <v/>
      </c>
      <c r="Q143" s="45" t="n"/>
      <c r="R143" s="54">
        <f t="array" ref="R143">IF(Q143&lt;&gt;"",IF(INDEX(techniques[detection rules for techique],MATCH(Q143,techniques[name],0))&gt;=1,INDEX(techniques[detection rules for techique],MATCH(Q143,techniques[name],0)),""),"")</f>
        <v/>
      </c>
      <c r="S143" s="45" t="n"/>
      <c r="T143" s="54">
        <f t="array" ref="T143">IF(S143&lt;&gt;"",IF(INDEX(techniques[detection rules for techique],MATCH(S143,techniques[name],0))&gt;=1,INDEX(techniques[detection rules for techique],MATCH(S143,techniques[name],0)),""),"")</f>
        <v/>
      </c>
      <c r="U143" s="45" t="n"/>
      <c r="V143" s="54">
        <f t="array" ref="V143">IF(U143&lt;&gt;"",IF(INDEX(techniques[detection rules for techique],MATCH(U143,techniques[name],0))&gt;=1,INDEX(techniques[detection rules for techique],MATCH(U143,techniques[name],0)),""),"")</f>
        <v/>
      </c>
      <c r="W143" s="45" t="n"/>
      <c r="X143" s="54">
        <f t="array" ref="X143">IF(W143&lt;&gt;"",IF(INDEX(techniques[detection rules for techique],MATCH(W143,techniques[name],0))&gt;=1,INDEX(techniques[detection rules for techique],MATCH(W143,techniques[name],0)),""),"")</f>
        <v/>
      </c>
      <c r="Y143" s="45" t="n"/>
      <c r="Z143" s="54">
        <f t="array" ref="Z143">IF(Y143&lt;&gt;"",IF(INDEX(techniques[detection rules for techique],MATCH(Y143,techniques[name],0))&gt;=1,INDEX(techniques[detection rules for techique],MATCH(Y143,techniques[name],0)),""),"")</f>
        <v/>
      </c>
      <c r="AA143" s="45" t="n"/>
      <c r="AB143" s="54">
        <f t="array" ref="AB143">IF(AA143&lt;&gt;"",IF(INDEX(techniques[detection rules for techique],MATCH(AA143,techniques[name],0))&gt;=1,INDEX(techniques[detection rules for techique],MATCH(AA143,techniques[name],0)),""),"")</f>
        <v/>
      </c>
      <c r="AC143" s="45" t="n"/>
      <c r="AD143" s="54">
        <f t="array" ref="AD143">IF(AC143&lt;&gt;"",IF(INDEX(techniques[detection rules for techique],MATCH(AC143,techniques[name],0))&gt;=1,INDEX(techniques[detection rules for techique],MATCH(AC143,techniques[name],0)),""),"")</f>
        <v/>
      </c>
    </row>
    <row r="144">
      <c r="A144" s="45" t="n"/>
      <c r="B144" s="54">
        <f t="array" ref="B144">IF(A144&lt;&gt;"",IF(INDEX(techniques[detection rules for techique],MATCH(A144,techniques[name],0))&gt;=1,INDEX(techniques[detection rules for techique],MATCH(A144,techniques[name],0)),""),"")</f>
        <v/>
      </c>
      <c r="C144" s="45" t="n"/>
      <c r="D144" s="54">
        <f t="array" ref="D144">IF(C144&lt;&gt;"",IF(INDEX(techniques[detection rules for techique],MATCH(C144,techniques[name],0))&gt;=1,INDEX(techniques[detection rules for techique],MATCH(C144,techniques[name],0)),""),"")</f>
        <v/>
      </c>
      <c r="E144" s="45" t="n"/>
      <c r="F144" s="54">
        <f t="array" ref="F144">IF(E144&lt;&gt;"",IF(INDEX(techniques[detection rules for techique],MATCH(E144,techniques[name],0))&gt;=1,INDEX(techniques[detection rules for techique],MATCH(E144,techniques[name],0)),""),"")</f>
        <v/>
      </c>
      <c r="G144" s="45" t="n"/>
      <c r="H144" s="54">
        <f t="array" ref="H144">IF(G144&lt;&gt;"",IF(INDEX(techniques[detection rules for techique],MATCH(G144,techniques[name],0))&gt;=1,INDEX(techniques[detection rules for techique],MATCH(G144,techniques[name],0)),""),"")</f>
        <v/>
      </c>
      <c r="I144" s="45" t="n"/>
      <c r="J144" s="54">
        <f t="array" ref="J144">IF(I144&lt;&gt;"",IF(INDEX(techniques[detection rules for techique],MATCH(I144,techniques[name],0))&gt;=1,INDEX(techniques[detection rules for techique],MATCH(I144,techniques[name],0)),""),"")</f>
        <v/>
      </c>
      <c r="K144" s="45" t="n"/>
      <c r="L144" s="54">
        <f t="array" ref="L144">IF(K144&lt;&gt;"",IF(INDEX(techniques[detection rules for techique],MATCH(K144,techniques[name],0))&gt;=1,INDEX(techniques[detection rules for techique],MATCH(K144,techniques[name],0)),""),"")</f>
        <v/>
      </c>
      <c r="M144" s="45" t="inlineStr">
        <is>
          <t>Debugger Evasion (T1622)</t>
        </is>
      </c>
      <c r="N144" s="54">
        <f t="array" ref="N144">IF(M144&lt;&gt;"",IF(INDEX(techniques[detection rules for techique],MATCH(M144,techniques[name],0))&gt;=1,INDEX(techniques[detection rules for techique],MATCH(M144,techniques[name],0)),""),"")</f>
        <v/>
      </c>
      <c r="O144" s="45" t="n"/>
      <c r="P144" s="54">
        <f t="array" ref="P144">IF(O144&lt;&gt;"",IF(INDEX(techniques[detection rules for techique],MATCH(O144,techniques[name],0))&gt;=1,INDEX(techniques[detection rules for techique],MATCH(O144,techniques[name],0)),""),"")</f>
        <v/>
      </c>
      <c r="Q144" s="45" t="n"/>
      <c r="R144" s="54">
        <f t="array" ref="R144">IF(Q144&lt;&gt;"",IF(INDEX(techniques[detection rules for techique],MATCH(Q144,techniques[name],0))&gt;=1,INDEX(techniques[detection rules for techique],MATCH(Q144,techniques[name],0)),""),"")</f>
        <v/>
      </c>
      <c r="S144" s="45" t="n"/>
      <c r="T144" s="54">
        <f t="array" ref="T144">IF(S144&lt;&gt;"",IF(INDEX(techniques[detection rules for techique],MATCH(S144,techniques[name],0))&gt;=1,INDEX(techniques[detection rules for techique],MATCH(S144,techniques[name],0)),""),"")</f>
        <v/>
      </c>
      <c r="U144" s="45" t="n"/>
      <c r="V144" s="54">
        <f t="array" ref="V144">IF(U144&lt;&gt;"",IF(INDEX(techniques[detection rules for techique],MATCH(U144,techniques[name],0))&gt;=1,INDEX(techniques[detection rules for techique],MATCH(U144,techniques[name],0)),""),"")</f>
        <v/>
      </c>
      <c r="W144" s="45" t="n"/>
      <c r="X144" s="54">
        <f t="array" ref="X144">IF(W144&lt;&gt;"",IF(INDEX(techniques[detection rules for techique],MATCH(W144,techniques[name],0))&gt;=1,INDEX(techniques[detection rules for techique],MATCH(W144,techniques[name],0)),""),"")</f>
        <v/>
      </c>
      <c r="Y144" s="45" t="n"/>
      <c r="Z144" s="54">
        <f t="array" ref="Z144">IF(Y144&lt;&gt;"",IF(INDEX(techniques[detection rules for techique],MATCH(Y144,techniques[name],0))&gt;=1,INDEX(techniques[detection rules for techique],MATCH(Y144,techniques[name],0)),""),"")</f>
        <v/>
      </c>
      <c r="AA144" s="45" t="n"/>
      <c r="AB144" s="54">
        <f t="array" ref="AB144">IF(AA144&lt;&gt;"",IF(INDEX(techniques[detection rules for techique],MATCH(AA144,techniques[name],0))&gt;=1,INDEX(techniques[detection rules for techique],MATCH(AA144,techniques[name],0)),""),"")</f>
        <v/>
      </c>
      <c r="AC144" s="45" t="n"/>
      <c r="AD144" s="54">
        <f t="array" ref="AD144">IF(AC144&lt;&gt;"",IF(INDEX(techniques[detection rules for techique],MATCH(AC144,techniques[name],0))&gt;=1,INDEX(techniques[detection rules for techique],MATCH(AC144,techniques[name],0)),""),"")</f>
        <v/>
      </c>
    </row>
    <row r="145" ht="33.75" customHeight="1">
      <c r="A145" s="45" t="n"/>
      <c r="B145" s="54">
        <f t="array" ref="B145">IF(A145&lt;&gt;"",IF(INDEX(techniques[detection rules for techique],MATCH(A145,techniques[name],0))&gt;=1,INDEX(techniques[detection rules for techique],MATCH(A145,techniques[name],0)),""),"")</f>
        <v/>
      </c>
      <c r="C145" s="45" t="n"/>
      <c r="D145" s="54">
        <f t="array" ref="D145">IF(C145&lt;&gt;"",IF(INDEX(techniques[detection rules for techique],MATCH(C145,techniques[name],0))&gt;=1,INDEX(techniques[detection rules for techique],MATCH(C145,techniques[name],0)),""),"")</f>
        <v/>
      </c>
      <c r="E145" s="45" t="n"/>
      <c r="F145" s="54">
        <f t="array" ref="F145">IF(E145&lt;&gt;"",IF(INDEX(techniques[detection rules for techique],MATCH(E145,techniques[name],0))&gt;=1,INDEX(techniques[detection rules for techique],MATCH(E145,techniques[name],0)),""),"")</f>
        <v/>
      </c>
      <c r="G145" s="45" t="n"/>
      <c r="H145" s="54">
        <f t="array" ref="H145">IF(G145&lt;&gt;"",IF(INDEX(techniques[detection rules for techique],MATCH(G145,techniques[name],0))&gt;=1,INDEX(techniques[detection rules for techique],MATCH(G145,techniques[name],0)),""),"")</f>
        <v/>
      </c>
      <c r="I145" s="45" t="n"/>
      <c r="J145" s="54">
        <f t="array" ref="J145">IF(I145&lt;&gt;"",IF(INDEX(techniques[detection rules for techique],MATCH(I145,techniques[name],0))&gt;=1,INDEX(techniques[detection rules for techique],MATCH(I145,techniques[name],0)),""),"")</f>
        <v/>
      </c>
      <c r="K145" s="45" t="n"/>
      <c r="L145" s="54">
        <f t="array" ref="L145">IF(K145&lt;&gt;"",IF(INDEX(techniques[detection rules for techique],MATCH(K145,techniques[name],0))&gt;=1,INDEX(techniques[detection rules for techique],MATCH(K145,techniques[name],0)),""),"")</f>
        <v/>
      </c>
      <c r="M145" s="45" t="inlineStr">
        <is>
          <t>Delay Execution (T1678)</t>
        </is>
      </c>
      <c r="N145" s="54">
        <f t="array" ref="N145">IF(M145&lt;&gt;"",IF(INDEX(techniques[detection rules for techique],MATCH(M145,techniques[name],0))&gt;=1,INDEX(techniques[detection rules for techique],MATCH(M145,techniques[name],0)),""),"")</f>
        <v/>
      </c>
      <c r="O145" s="45" t="n"/>
      <c r="P145" s="54">
        <f t="array" ref="P145">IF(O145&lt;&gt;"",IF(INDEX(techniques[detection rules for techique],MATCH(O145,techniques[name],0))&gt;=1,INDEX(techniques[detection rules for techique],MATCH(O145,techniques[name],0)),""),"")</f>
        <v/>
      </c>
      <c r="Q145" s="45" t="n"/>
      <c r="R145" s="54">
        <f t="array" ref="R145">IF(Q145&lt;&gt;"",IF(INDEX(techniques[detection rules for techique],MATCH(Q145,techniques[name],0))&gt;=1,INDEX(techniques[detection rules for techique],MATCH(Q145,techniques[name],0)),""),"")</f>
        <v/>
      </c>
      <c r="S145" s="45" t="n"/>
      <c r="T145" s="54">
        <f t="array" ref="T145">IF(S145&lt;&gt;"",IF(INDEX(techniques[detection rules for techique],MATCH(S145,techniques[name],0))&gt;=1,INDEX(techniques[detection rules for techique],MATCH(S145,techniques[name],0)),""),"")</f>
        <v/>
      </c>
      <c r="U145" s="45" t="n"/>
      <c r="V145" s="54">
        <f t="array" ref="V145">IF(U145&lt;&gt;"",IF(INDEX(techniques[detection rules for techique],MATCH(U145,techniques[name],0))&gt;=1,INDEX(techniques[detection rules for techique],MATCH(U145,techniques[name],0)),""),"")</f>
        <v/>
      </c>
      <c r="W145" s="45" t="n"/>
      <c r="X145" s="54">
        <f t="array" ref="X145">IF(W145&lt;&gt;"",IF(INDEX(techniques[detection rules for techique],MATCH(W145,techniques[name],0))&gt;=1,INDEX(techniques[detection rules for techique],MATCH(W145,techniques[name],0)),""),"")</f>
        <v/>
      </c>
      <c r="Y145" s="45" t="n"/>
      <c r="Z145" s="54">
        <f t="array" ref="Z145">IF(Y145&lt;&gt;"",IF(INDEX(techniques[detection rules for techique],MATCH(Y145,techniques[name],0))&gt;=1,INDEX(techniques[detection rules for techique],MATCH(Y145,techniques[name],0)),""),"")</f>
        <v/>
      </c>
      <c r="AA145" s="45" t="n"/>
      <c r="AB145" s="54">
        <f t="array" ref="AB145">IF(AA145&lt;&gt;"",IF(INDEX(techniques[detection rules for techique],MATCH(AA145,techniques[name],0))&gt;=1,INDEX(techniques[detection rules for techique],MATCH(AA145,techniques[name],0)),""),"")</f>
        <v/>
      </c>
      <c r="AC145" s="45" t="n"/>
      <c r="AD145" s="54">
        <f t="array" ref="AD145">IF(AC145&lt;&gt;"",IF(INDEX(techniques[detection rules for techique],MATCH(AC145,techniques[name],0))&gt;=1,INDEX(techniques[detection rules for techique],MATCH(AC145,techniques[name],0)),""),"")</f>
        <v/>
      </c>
    </row>
    <row r="146" ht="22.5" customHeight="1">
      <c r="A146" s="45" t="n"/>
      <c r="B146" s="54">
        <f t="array" ref="B146">IF(A146&lt;&gt;"",IF(INDEX(techniques[detection rules for techique],MATCH(A146,techniques[name],0))&gt;=1,INDEX(techniques[detection rules for techique],MATCH(A146,techniques[name],0)),""),"")</f>
        <v/>
      </c>
      <c r="C146" s="45" t="n"/>
      <c r="D146" s="54">
        <f t="array" ref="D146">IF(C146&lt;&gt;"",IF(INDEX(techniques[detection rules for techique],MATCH(C146,techniques[name],0))&gt;=1,INDEX(techniques[detection rules for techique],MATCH(C146,techniques[name],0)),""),"")</f>
        <v/>
      </c>
      <c r="E146" s="45" t="n"/>
      <c r="F146" s="54">
        <f t="array" ref="F146">IF(E146&lt;&gt;"",IF(INDEX(techniques[detection rules for techique],MATCH(E146,techniques[name],0))&gt;=1,INDEX(techniques[detection rules for techique],MATCH(E146,techniques[name],0)),""),"")</f>
        <v/>
      </c>
      <c r="G146" s="45" t="n"/>
      <c r="H146" s="54">
        <f t="array" ref="H146">IF(G146&lt;&gt;"",IF(INDEX(techniques[detection rules for techique],MATCH(G146,techniques[name],0))&gt;=1,INDEX(techniques[detection rules for techique],MATCH(G146,techniques[name],0)),""),"")</f>
        <v/>
      </c>
      <c r="I146" s="45" t="n"/>
      <c r="J146" s="54">
        <f t="array" ref="J146">IF(I146&lt;&gt;"",IF(INDEX(techniques[detection rules for techique],MATCH(I146,techniques[name],0))&gt;=1,INDEX(techniques[detection rules for techique],MATCH(I146,techniques[name],0)),""),"")</f>
        <v/>
      </c>
      <c r="K146" s="45" t="n"/>
      <c r="L146" s="54">
        <f t="array" ref="L146">IF(K146&lt;&gt;"",IF(INDEX(techniques[detection rules for techique],MATCH(K146,techniques[name],0))&gt;=1,INDEX(techniques[detection rules for techique],MATCH(K146,techniques[name],0)),""),"")</f>
        <v/>
      </c>
      <c r="M146" s="45" t="inlineStr">
        <is>
          <t>Selective Exclusion (T1679)</t>
        </is>
      </c>
      <c r="N146" s="54">
        <f t="array" ref="N146">IF(M146&lt;&gt;"",IF(INDEX(techniques[detection rules for techique],MATCH(M146,techniques[name],0))&gt;=1,INDEX(techniques[detection rules for techique],MATCH(M146,techniques[name],0)),""),"")</f>
        <v/>
      </c>
      <c r="O146" s="45" t="n"/>
      <c r="P146" s="54">
        <f t="array" ref="P146">IF(O146&lt;&gt;"",IF(INDEX(techniques[detection rules for techique],MATCH(O146,techniques[name],0))&gt;=1,INDEX(techniques[detection rules for techique],MATCH(O146,techniques[name],0)),""),"")</f>
        <v/>
      </c>
      <c r="Q146" s="45" t="n"/>
      <c r="R146" s="54">
        <f t="array" ref="R146">IF(Q146&lt;&gt;"",IF(INDEX(techniques[detection rules for techique],MATCH(Q146,techniques[name],0))&gt;=1,INDEX(techniques[detection rules for techique],MATCH(Q146,techniques[name],0)),""),"")</f>
        <v/>
      </c>
      <c r="S146" s="45" t="n"/>
      <c r="T146" s="54">
        <f t="array" ref="T146">IF(S146&lt;&gt;"",IF(INDEX(techniques[detection rules for techique],MATCH(S146,techniques[name],0))&gt;=1,INDEX(techniques[detection rules for techique],MATCH(S146,techniques[name],0)),""),"")</f>
        <v/>
      </c>
      <c r="U146" s="45" t="n"/>
      <c r="V146" s="54">
        <f t="array" ref="V146">IF(U146&lt;&gt;"",IF(INDEX(techniques[detection rules for techique],MATCH(U146,techniques[name],0))&gt;=1,INDEX(techniques[detection rules for techique],MATCH(U146,techniques[name],0)),""),"")</f>
        <v/>
      </c>
      <c r="W146" s="45" t="n"/>
      <c r="X146" s="54">
        <f t="array" ref="X146">IF(W146&lt;&gt;"",IF(INDEX(techniques[detection rules for techique],MATCH(W146,techniques[name],0))&gt;=1,INDEX(techniques[detection rules for techique],MATCH(W146,techniques[name],0)),""),"")</f>
        <v/>
      </c>
      <c r="Y146" s="45" t="n"/>
      <c r="Z146" s="54">
        <f t="array" ref="Z146">IF(Y146&lt;&gt;"",IF(INDEX(techniques[detection rules for techique],MATCH(Y146,techniques[name],0))&gt;=1,INDEX(techniques[detection rules for techique],MATCH(Y146,techniques[name],0)),""),"")</f>
        <v/>
      </c>
      <c r="AA146" s="45" t="n"/>
      <c r="AB146" s="54">
        <f t="array" ref="AB146">IF(AA146&lt;&gt;"",IF(INDEX(techniques[detection rules for techique],MATCH(AA146,techniques[name],0))&gt;=1,INDEX(techniques[detection rules for techique],MATCH(AA146,techniques[name],0)),""),"")</f>
        <v/>
      </c>
      <c r="AC146" s="45" t="n"/>
      <c r="AD146" s="54">
        <f t="array" ref="AD146">IF(AC146&lt;&gt;"",IF(INDEX(techniques[detection rules for techique],MATCH(AC146,techniques[name],0))&gt;=1,INDEX(techniques[detection rules for techique],MATCH(AC146,techniques[name],0)),""),"")</f>
        <v/>
      </c>
    </row>
    <row r="147" ht="33.75" customHeight="1">
      <c r="A147" s="45" t="n"/>
      <c r="B147" s="54">
        <f t="array" ref="B147">IF(A147&lt;&gt;"",IF(INDEX(techniques[detection rules for techique],MATCH(A147,techniques[name],0))&gt;=1,INDEX(techniques[detection rules for techique],MATCH(A147,techniques[name],0)),""),"")</f>
        <v/>
      </c>
      <c r="C147" s="45" t="n"/>
      <c r="D147" s="54">
        <f t="array" ref="D147">IF(C147&lt;&gt;"",IF(INDEX(techniques[detection rules for techique],MATCH(C147,techniques[name],0))&gt;=1,INDEX(techniques[detection rules for techique],MATCH(C147,techniques[name],0)),""),"")</f>
        <v/>
      </c>
      <c r="E147" s="45" t="n"/>
      <c r="F147" s="54">
        <f t="array" ref="F147">IF(E147&lt;&gt;"",IF(INDEX(techniques[detection rules for techique],MATCH(E147,techniques[name],0))&gt;=1,INDEX(techniques[detection rules for techique],MATCH(E147,techniques[name],0)),""),"")</f>
        <v/>
      </c>
      <c r="G147" s="45" t="n"/>
      <c r="H147" s="54">
        <f t="array" ref="H147">IF(G147&lt;&gt;"",IF(INDEX(techniques[detection rules for techique],MATCH(G147,techniques[name],0))&gt;=1,INDEX(techniques[detection rules for techique],MATCH(G147,techniques[name],0)),""),"")</f>
        <v/>
      </c>
      <c r="I147" s="45" t="n"/>
      <c r="J147" s="54">
        <f t="array" ref="J147">IF(I147&lt;&gt;"",IF(INDEX(techniques[detection rules for techique],MATCH(I147,techniques[name],0))&gt;=1,INDEX(techniques[detection rules for techique],MATCH(I147,techniques[name],0)),""),"")</f>
        <v/>
      </c>
      <c r="K147" s="45" t="n"/>
      <c r="L147" s="54">
        <f t="array" ref="L147">IF(K147&lt;&gt;"",IF(INDEX(techniques[detection rules for techique],MATCH(K147,techniques[name],0))&gt;=1,INDEX(techniques[detection rules for techique],MATCH(K147,techniques[name],0)),""),"")</f>
        <v/>
      </c>
      <c r="M147" s="45" t="inlineStr">
        <is>
          <t>Social Engineering (T1684)</t>
        </is>
      </c>
      <c r="N147" s="54">
        <f t="array" ref="N147">IF(M147&lt;&gt;"",IF(INDEX(techniques[detection rules for techique],MATCH(M147,techniques[name],0))&gt;=1,INDEX(techniques[detection rules for techique],MATCH(M147,techniques[name],0)),""),"")</f>
        <v/>
      </c>
      <c r="O147" s="45" t="n"/>
      <c r="P147" s="54">
        <f t="array" ref="P147">IF(O147&lt;&gt;"",IF(INDEX(techniques[detection rules for techique],MATCH(O147,techniques[name],0))&gt;=1,INDEX(techniques[detection rules for techique],MATCH(O147,techniques[name],0)),""),"")</f>
        <v/>
      </c>
      <c r="Q147" s="45" t="n"/>
      <c r="R147" s="54">
        <f t="array" ref="R147">IF(Q147&lt;&gt;"",IF(INDEX(techniques[detection rules for techique],MATCH(Q147,techniques[name],0))&gt;=1,INDEX(techniques[detection rules for techique],MATCH(Q147,techniques[name],0)),""),"")</f>
        <v/>
      </c>
      <c r="S147" s="45" t="n"/>
      <c r="T147" s="54">
        <f t="array" ref="T147">IF(S147&lt;&gt;"",IF(INDEX(techniques[detection rules for techique],MATCH(S147,techniques[name],0))&gt;=1,INDEX(techniques[detection rules for techique],MATCH(S147,techniques[name],0)),""),"")</f>
        <v/>
      </c>
      <c r="U147" s="45" t="n"/>
      <c r="V147" s="54">
        <f t="array" ref="V147">IF(U147&lt;&gt;"",IF(INDEX(techniques[detection rules for techique],MATCH(U147,techniques[name],0))&gt;=1,INDEX(techniques[detection rules for techique],MATCH(U147,techniques[name],0)),""),"")</f>
        <v/>
      </c>
      <c r="W147" s="45" t="n"/>
      <c r="X147" s="54">
        <f t="array" ref="X147">IF(W147&lt;&gt;"",IF(INDEX(techniques[detection rules for techique],MATCH(W147,techniques[name],0))&gt;=1,INDEX(techniques[detection rules for techique],MATCH(W147,techniques[name],0)),""),"")</f>
        <v/>
      </c>
      <c r="Y147" s="45" t="n"/>
      <c r="Z147" s="54">
        <f t="array" ref="Z147">IF(Y147&lt;&gt;"",IF(INDEX(techniques[detection rules for techique],MATCH(Y147,techniques[name],0))&gt;=1,INDEX(techniques[detection rules for techique],MATCH(Y147,techniques[name],0)),""),"")</f>
        <v/>
      </c>
      <c r="AA147" s="45" t="n"/>
      <c r="AB147" s="54">
        <f t="array" ref="AB147">IF(AA147&lt;&gt;"",IF(INDEX(techniques[detection rules for techique],MATCH(AA147,techniques[name],0))&gt;=1,INDEX(techniques[detection rules for techique],MATCH(AA147,techniques[name],0)),""),"")</f>
        <v/>
      </c>
      <c r="AC147" s="45" t="n"/>
      <c r="AD147" s="54">
        <f t="array" ref="AD147">IF(AC147&lt;&gt;"",IF(INDEX(techniques[detection rules for techique],MATCH(AC147,techniques[name],0))&gt;=1,INDEX(techniques[detection rules for techique],MATCH(AC147,techniques[name],0)),""),"")</f>
        <v/>
      </c>
    </row>
    <row r="148" ht="22.5" customHeight="1">
      <c r="A148" s="45" t="n"/>
      <c r="B148" s="54">
        <f t="array" ref="B148">IF(A148&lt;&gt;"",IF(INDEX(techniques[detection rules for techique],MATCH(A148,techniques[name],0))&gt;=1,INDEX(techniques[detection rules for techique],MATCH(A148,techniques[name],0)),""),"")</f>
        <v/>
      </c>
      <c r="C148" s="45" t="n"/>
      <c r="D148" s="54">
        <f t="array" ref="D148">IF(C148&lt;&gt;"",IF(INDEX(techniques[detection rules for techique],MATCH(C148,techniques[name],0))&gt;=1,INDEX(techniques[detection rules for techique],MATCH(C148,techniques[name],0)),""),"")</f>
        <v/>
      </c>
      <c r="E148" s="45" t="n"/>
      <c r="F148" s="54">
        <f t="array" ref="F148">IF(E148&lt;&gt;"",IF(INDEX(techniques[detection rules for techique],MATCH(E148,techniques[name],0))&gt;=1,INDEX(techniques[detection rules for techique],MATCH(E148,techniques[name],0)),""),"")</f>
        <v/>
      </c>
      <c r="G148" s="45" t="n"/>
      <c r="H148" s="54">
        <f t="array" ref="H148">IF(G148&lt;&gt;"",IF(INDEX(techniques[detection rules for techique],MATCH(G148,techniques[name],0))&gt;=1,INDEX(techniques[detection rules for techique],MATCH(G148,techniques[name],0)),""),"")</f>
        <v/>
      </c>
      <c r="I148" s="45" t="n"/>
      <c r="J148" s="54">
        <f t="array" ref="J148">IF(I148&lt;&gt;"",IF(INDEX(techniques[detection rules for techique],MATCH(I148,techniques[name],0))&gt;=1,INDEX(techniques[detection rules for techique],MATCH(I148,techniques[name],0)),""),"")</f>
        <v/>
      </c>
      <c r="K148" s="45" t="n"/>
      <c r="L148" s="54">
        <f t="array" ref="L148">IF(K148&lt;&gt;"",IF(INDEX(techniques[detection rules for techique],MATCH(K148,techniques[name],0))&gt;=1,INDEX(techniques[detection rules for techique],MATCH(K148,techniques[name],0)),""),"")</f>
        <v/>
      </c>
      <c r="M148" s="45" t="inlineStr">
        <is>
          <t>Impersonation (T1684.001)</t>
        </is>
      </c>
      <c r="N148" s="54">
        <f t="array" ref="N148">IF(M148&lt;&gt;"",IF(INDEX(techniques[detection rules for techique],MATCH(M148,techniques[name],0))&gt;=1,INDEX(techniques[detection rules for techique],MATCH(M148,techniques[name],0)),""),"")</f>
        <v/>
      </c>
      <c r="O148" s="45" t="n"/>
      <c r="P148" s="54">
        <f t="array" ref="P148">IF(O148&lt;&gt;"",IF(INDEX(techniques[detection rules for techique],MATCH(O148,techniques[name],0))&gt;=1,INDEX(techniques[detection rules for techique],MATCH(O148,techniques[name],0)),""),"")</f>
        <v/>
      </c>
      <c r="Q148" s="45" t="n"/>
      <c r="R148" s="54">
        <f t="array" ref="R148">IF(Q148&lt;&gt;"",IF(INDEX(techniques[detection rules for techique],MATCH(Q148,techniques[name],0))&gt;=1,INDEX(techniques[detection rules for techique],MATCH(Q148,techniques[name],0)),""),"")</f>
        <v/>
      </c>
      <c r="S148" s="45" t="n"/>
      <c r="T148" s="54">
        <f t="array" ref="T148">IF(S148&lt;&gt;"",IF(INDEX(techniques[detection rules for techique],MATCH(S148,techniques[name],0))&gt;=1,INDEX(techniques[detection rules for techique],MATCH(S148,techniques[name],0)),""),"")</f>
        <v/>
      </c>
      <c r="U148" s="45" t="n"/>
      <c r="V148" s="54">
        <f t="array" ref="V148">IF(U148&lt;&gt;"",IF(INDEX(techniques[detection rules for techique],MATCH(U148,techniques[name],0))&gt;=1,INDEX(techniques[detection rules for techique],MATCH(U148,techniques[name],0)),""),"")</f>
        <v/>
      </c>
      <c r="W148" s="45" t="n"/>
      <c r="X148" s="54">
        <f t="array" ref="X148">IF(W148&lt;&gt;"",IF(INDEX(techniques[detection rules for techique],MATCH(W148,techniques[name],0))&gt;=1,INDEX(techniques[detection rules for techique],MATCH(W148,techniques[name],0)),""),"")</f>
        <v/>
      </c>
      <c r="Y148" s="45" t="n"/>
      <c r="Z148" s="54">
        <f t="array" ref="Z148">IF(Y148&lt;&gt;"",IF(INDEX(techniques[detection rules for techique],MATCH(Y148,techniques[name],0))&gt;=1,INDEX(techniques[detection rules for techique],MATCH(Y148,techniques[name],0)),""),"")</f>
        <v/>
      </c>
      <c r="AA148" s="45" t="n"/>
      <c r="AB148" s="54">
        <f t="array" ref="AB148">IF(AA148&lt;&gt;"",IF(INDEX(techniques[detection rules for techique],MATCH(AA148,techniques[name],0))&gt;=1,INDEX(techniques[detection rules for techique],MATCH(AA148,techniques[name],0)),""),"")</f>
        <v/>
      </c>
      <c r="AC148" s="45" t="n"/>
      <c r="AD148" s="54">
        <f t="array" ref="AD148">IF(AC148&lt;&gt;"",IF(INDEX(techniques[detection rules for techique],MATCH(AC148,techniques[name],0))&gt;=1,INDEX(techniques[detection rules for techique],MATCH(AC148,techniques[name],0)),""),"")</f>
        <v/>
      </c>
    </row>
    <row r="149" ht="22.5" customHeight="1">
      <c r="A149" s="45" t="n"/>
      <c r="B149" s="54">
        <f t="array" ref="B149">IF(A149&lt;&gt;"",IF(INDEX(techniques[detection rules for techique],MATCH(A149,techniques[name],0))&gt;=1,INDEX(techniques[detection rules for techique],MATCH(A149,techniques[name],0)),""),"")</f>
        <v/>
      </c>
      <c r="C149" s="45" t="n"/>
      <c r="D149" s="54">
        <f t="array" ref="D149">IF(C149&lt;&gt;"",IF(INDEX(techniques[detection rules for techique],MATCH(C149,techniques[name],0))&gt;=1,INDEX(techniques[detection rules for techique],MATCH(C149,techniques[name],0)),""),"")</f>
        <v/>
      </c>
      <c r="E149" s="45" t="n"/>
      <c r="F149" s="54">
        <f t="array" ref="F149">IF(E149&lt;&gt;"",IF(INDEX(techniques[detection rules for techique],MATCH(E149,techniques[name],0))&gt;=1,INDEX(techniques[detection rules for techique],MATCH(E149,techniques[name],0)),""),"")</f>
        <v/>
      </c>
      <c r="G149" s="45" t="n"/>
      <c r="H149" s="54">
        <f t="array" ref="H149">IF(G149&lt;&gt;"",IF(INDEX(techniques[detection rules for techique],MATCH(G149,techniques[name],0))&gt;=1,INDEX(techniques[detection rules for techique],MATCH(G149,techniques[name],0)),""),"")</f>
        <v/>
      </c>
      <c r="I149" s="45" t="n"/>
      <c r="J149" s="54">
        <f t="array" ref="J149">IF(I149&lt;&gt;"",IF(INDEX(techniques[detection rules for techique],MATCH(I149,techniques[name],0))&gt;=1,INDEX(techniques[detection rules for techique],MATCH(I149,techniques[name],0)),""),"")</f>
        <v/>
      </c>
      <c r="K149" s="45" t="n"/>
      <c r="L149" s="54">
        <f t="array" ref="L149">IF(K149&lt;&gt;"",IF(INDEX(techniques[detection rules for techique],MATCH(K149,techniques[name],0))&gt;=1,INDEX(techniques[detection rules for techique],MATCH(K149,techniques[name],0)),""),"")</f>
        <v/>
      </c>
      <c r="M149" s="45" t="inlineStr">
        <is>
          <t>Email Spoofing (T1684.002)</t>
        </is>
      </c>
      <c r="N149" s="54">
        <f t="array" ref="N149">IF(M149&lt;&gt;"",IF(INDEX(techniques[detection rules for techique],MATCH(M149,techniques[name],0))&gt;=1,INDEX(techniques[detection rules for techique],MATCH(M149,techniques[name],0)),""),"")</f>
        <v/>
      </c>
      <c r="O149" s="45" t="n"/>
      <c r="P149" s="54">
        <f t="array" ref="P149">IF(O149&lt;&gt;"",IF(INDEX(techniques[detection rules for techique],MATCH(O149,techniques[name],0))&gt;=1,INDEX(techniques[detection rules for techique],MATCH(O149,techniques[name],0)),""),"")</f>
        <v/>
      </c>
      <c r="Q149" s="45" t="n"/>
      <c r="R149" s="54">
        <f t="array" ref="R149">IF(Q149&lt;&gt;"",IF(INDEX(techniques[detection rules for techique],MATCH(Q149,techniques[name],0))&gt;=1,INDEX(techniques[detection rules for techique],MATCH(Q149,techniques[name],0)),""),"")</f>
        <v/>
      </c>
      <c r="S149" s="45" t="n"/>
      <c r="T149" s="54">
        <f t="array" ref="T149">IF(S149&lt;&gt;"",IF(INDEX(techniques[detection rules for techique],MATCH(S149,techniques[name],0))&gt;=1,INDEX(techniques[detection rules for techique],MATCH(S149,techniques[name],0)),""),"")</f>
        <v/>
      </c>
      <c r="U149" s="45" t="n"/>
      <c r="V149" s="54">
        <f t="array" ref="V149">IF(U149&lt;&gt;"",IF(INDEX(techniques[detection rules for techique],MATCH(U149,techniques[name],0))&gt;=1,INDEX(techniques[detection rules for techique],MATCH(U149,techniques[name],0)),""),"")</f>
        <v/>
      </c>
      <c r="W149" s="45" t="n"/>
      <c r="X149" s="54">
        <f t="array" ref="X149">IF(W149&lt;&gt;"",IF(INDEX(techniques[detection rules for techique],MATCH(W149,techniques[name],0))&gt;=1,INDEX(techniques[detection rules for techique],MATCH(W149,techniques[name],0)),""),"")</f>
        <v/>
      </c>
      <c r="Y149" s="45" t="n"/>
      <c r="Z149" s="54">
        <f t="array" ref="Z149">IF(Y149&lt;&gt;"",IF(INDEX(techniques[detection rules for techique],MATCH(Y149,techniques[name],0))&gt;=1,INDEX(techniques[detection rules for techique],MATCH(Y149,techniques[name],0)),""),"")</f>
        <v/>
      </c>
      <c r="AA149" s="45" t="n"/>
      <c r="AB149" s="54">
        <f t="array" ref="AB149">IF(AA149&lt;&gt;"",IF(INDEX(techniques[detection rules for techique],MATCH(AA149,techniques[name],0))&gt;=1,INDEX(techniques[detection rules for techique],MATCH(AA149,techniques[name],0)),""),"")</f>
        <v/>
      </c>
      <c r="AC149" s="45" t="n"/>
      <c r="AD149" s="54">
        <f t="array" ref="AD149">IF(AC149&lt;&gt;"",IF(INDEX(techniques[detection rules for techique],MATCH(AC149,techniques[name],0))&gt;=1,INDEX(techniques[detection rules for techique],MATCH(AC149,techniques[name],0)),""),"")</f>
        <v/>
      </c>
    </row>
    <row r="150" ht="22.5" customHeight="1">
      <c r="A150" s="45" t="n"/>
      <c r="B150" s="54">
        <f t="array" ref="B150">IF(A150&lt;&gt;"",IF(INDEX(techniques[detection rules for techique],MATCH(A150,techniques[name],0))&gt;=1,INDEX(techniques[detection rules for techique],MATCH(A150,techniques[name],0)),""),"")</f>
        <v/>
      </c>
      <c r="C150" s="45" t="n"/>
      <c r="D150" s="54">
        <f t="array" ref="D150">IF(C150&lt;&gt;"",IF(INDEX(techniques[detection rules for techique],MATCH(C150,techniques[name],0))&gt;=1,INDEX(techniques[detection rules for techique],MATCH(C150,techniques[name],0)),""),"")</f>
        <v/>
      </c>
      <c r="E150" s="45" t="n"/>
      <c r="F150" s="54">
        <f t="array" ref="F150">IF(E150&lt;&gt;"",IF(INDEX(techniques[detection rules for techique],MATCH(E150,techniques[name],0))&gt;=1,INDEX(techniques[detection rules for techique],MATCH(E150,techniques[name],0)),""),"")</f>
        <v/>
      </c>
      <c r="G150" s="45" t="n"/>
      <c r="H150" s="54">
        <f t="array" ref="H150">IF(G150&lt;&gt;"",IF(INDEX(techniques[detection rules for techique],MATCH(G150,techniques[name],0))&gt;=1,INDEX(techniques[detection rules for techique],MATCH(G150,techniques[name],0)),""),"")</f>
        <v/>
      </c>
      <c r="I150" s="45" t="n"/>
      <c r="J150" s="54">
        <f t="array" ref="J150">IF(I150&lt;&gt;"",IF(INDEX(techniques[detection rules for techique],MATCH(I150,techniques[name],0))&gt;=1,INDEX(techniques[detection rules for techique],MATCH(I150,techniques[name],0)),""),"")</f>
        <v/>
      </c>
      <c r="K150" s="45" t="n"/>
      <c r="L150" s="54">
        <f t="array" ref="L150">IF(K150&lt;&gt;"",IF(INDEX(techniques[detection rules for techique],MATCH(K150,techniques[name],0))&gt;=1,INDEX(techniques[detection rules for techique],MATCH(K150,techniques[name],0)),""),"")</f>
        <v/>
      </c>
      <c r="M150" s="45" t="n"/>
      <c r="N150" s="54">
        <f t="array" ref="N150">IF(M150&lt;&gt;"",IF(INDEX(techniques[detection rules for techique],MATCH(M150,techniques[name],0))&gt;=1,INDEX(techniques[detection rules for techique],MATCH(M150,techniques[name],0)),""),"")</f>
        <v/>
      </c>
      <c r="O150" s="45" t="n"/>
      <c r="P150" s="54">
        <f t="array" ref="P150">IF(O150&lt;&gt;"",IF(INDEX(techniques[detection rules for techique],MATCH(O150,techniques[name],0))&gt;=1,INDEX(techniques[detection rules for techique],MATCH(O150,techniques[name],0)),""),"")</f>
        <v/>
      </c>
      <c r="Q150" s="45" t="n"/>
      <c r="R150" s="54">
        <f t="array" ref="R150">IF(Q150&lt;&gt;"",IF(INDEX(techniques[detection rules for techique],MATCH(Q150,techniques[name],0))&gt;=1,INDEX(techniques[detection rules for techique],MATCH(Q150,techniques[name],0)),""),"")</f>
        <v/>
      </c>
      <c r="S150" s="45" t="n"/>
      <c r="T150" s="54">
        <f t="array" ref="T150">IF(S150&lt;&gt;"",IF(INDEX(techniques[detection rules for techique],MATCH(S150,techniques[name],0))&gt;=1,INDEX(techniques[detection rules for techique],MATCH(S150,techniques[name],0)),""),"")</f>
        <v/>
      </c>
      <c r="U150" s="45" t="n"/>
      <c r="V150" s="54">
        <f t="array" ref="V150">IF(U150&lt;&gt;"",IF(INDEX(techniques[detection rules for techique],MATCH(U150,techniques[name],0))&gt;=1,INDEX(techniques[detection rules for techique],MATCH(U150,techniques[name],0)),""),"")</f>
        <v/>
      </c>
      <c r="W150" s="45" t="n"/>
      <c r="X150" s="54">
        <f t="array" ref="X150">IF(W150&lt;&gt;"",IF(INDEX(techniques[detection rules for techique],MATCH(W150,techniques[name],0))&gt;=1,INDEX(techniques[detection rules for techique],MATCH(W150,techniques[name],0)),""),"")</f>
        <v/>
      </c>
      <c r="Y150" s="45" t="n"/>
      <c r="Z150" s="54">
        <f t="array" ref="Z150">IF(Y150&lt;&gt;"",IF(INDEX(techniques[detection rules for techique],MATCH(Y150,techniques[name],0))&gt;=1,INDEX(techniques[detection rules for techique],MATCH(Y150,techniques[name],0)),""),"")</f>
        <v/>
      </c>
      <c r="AA150" s="45" t="n"/>
      <c r="AB150" s="54">
        <f t="array" ref="AB150">IF(AA150&lt;&gt;"",IF(INDEX(techniques[detection rules for techique],MATCH(AA150,techniques[name],0))&gt;=1,INDEX(techniques[detection rules for techique],MATCH(AA150,techniques[name],0)),""),"")</f>
        <v/>
      </c>
      <c r="AC150" s="45" t="n"/>
      <c r="AD150" s="54">
        <f t="array" ref="AD150">IF(AC150&lt;&gt;"",IF(INDEX(techniques[detection rules for techique],MATCH(AC150,techniques[name],0))&gt;=1,INDEX(techniques[detection rules for techique],MATCH(AC150,techniques[name],0)),""),"")</f>
        <v/>
      </c>
    </row>
    <row r="151" ht="33.75" customHeight="1">
      <c r="A151" s="45" t="n"/>
      <c r="B151" s="54">
        <f t="array" ref="B151">IF(A151&lt;&gt;"",IF(INDEX(techniques[detection rules for techique],MATCH(A151,techniques[name],0))&gt;=1,INDEX(techniques[detection rules for techique],MATCH(A151,techniques[name],0)),""),"")</f>
        <v/>
      </c>
      <c r="C151" s="45" t="n"/>
      <c r="D151" s="54">
        <f t="array" ref="D151">IF(C151&lt;&gt;"",IF(INDEX(techniques[detection rules for techique],MATCH(C151,techniques[name],0))&gt;=1,INDEX(techniques[detection rules for techique],MATCH(C151,techniques[name],0)),""),"")</f>
        <v/>
      </c>
      <c r="E151" s="45" t="n"/>
      <c r="F151" s="54">
        <f t="array" ref="F151">IF(E151&lt;&gt;"",IF(INDEX(techniques[detection rules for techique],MATCH(E151,techniques[name],0))&gt;=1,INDEX(techniques[detection rules for techique],MATCH(E151,techniques[name],0)),""),"")</f>
        <v/>
      </c>
      <c r="G151" s="45" t="n"/>
      <c r="H151" s="54">
        <f t="array" ref="H151">IF(G151&lt;&gt;"",IF(INDEX(techniques[detection rules for techique],MATCH(G151,techniques[name],0))&gt;=1,INDEX(techniques[detection rules for techique],MATCH(G151,techniques[name],0)),""),"")</f>
        <v/>
      </c>
      <c r="I151" s="45" t="n"/>
      <c r="J151" s="54">
        <f t="array" ref="J151">IF(I151&lt;&gt;"",IF(INDEX(techniques[detection rules for techique],MATCH(I151,techniques[name],0))&gt;=1,INDEX(techniques[detection rules for techique],MATCH(I151,techniques[name],0)),""),"")</f>
        <v/>
      </c>
      <c r="K151" s="45" t="n"/>
      <c r="L151" s="54">
        <f t="array" ref="L151">IF(K151&lt;&gt;"",IF(INDEX(techniques[detection rules for techique],MATCH(K151,techniques[name],0))&gt;=1,INDEX(techniques[detection rules for techique],MATCH(K151,techniques[name],0)),""),"")</f>
        <v/>
      </c>
      <c r="M151" s="45" t="n"/>
      <c r="N151" s="54">
        <f t="array" ref="N151">IF(M151&lt;&gt;"",IF(INDEX(techniques[detection rules for techique],MATCH(M151,techniques[name],0))&gt;=1,INDEX(techniques[detection rules for techique],MATCH(M151,techniques[name],0)),""),"")</f>
        <v/>
      </c>
      <c r="O151" s="45" t="n"/>
      <c r="P151" s="54">
        <f t="array" ref="P151">IF(O151&lt;&gt;"",IF(INDEX(techniques[detection rules for techique],MATCH(O151,techniques[name],0))&gt;=1,INDEX(techniques[detection rules for techique],MATCH(O151,techniques[name],0)),""),"")</f>
        <v/>
      </c>
      <c r="Q151" s="45" t="n"/>
      <c r="R151" s="54">
        <f t="array" ref="R151">IF(Q151&lt;&gt;"",IF(INDEX(techniques[detection rules for techique],MATCH(Q151,techniques[name],0))&gt;=1,INDEX(techniques[detection rules for techique],MATCH(Q151,techniques[name],0)),""),"")</f>
        <v/>
      </c>
      <c r="S151" s="45" t="n"/>
      <c r="T151" s="54">
        <f t="array" ref="T151">IF(S151&lt;&gt;"",IF(INDEX(techniques[detection rules for techique],MATCH(S151,techniques[name],0))&gt;=1,INDEX(techniques[detection rules for techique],MATCH(S151,techniques[name],0)),""),"")</f>
        <v/>
      </c>
      <c r="U151" s="45" t="n"/>
      <c r="V151" s="54">
        <f t="array" ref="V151">IF(U151&lt;&gt;"",IF(INDEX(techniques[detection rules for techique],MATCH(U151,techniques[name],0))&gt;=1,INDEX(techniques[detection rules for techique],MATCH(U151,techniques[name],0)),""),"")</f>
        <v/>
      </c>
      <c r="W151" s="45" t="n"/>
      <c r="X151" s="54">
        <f t="array" ref="X151">IF(W151&lt;&gt;"",IF(INDEX(techniques[detection rules for techique],MATCH(W151,techniques[name],0))&gt;=1,INDEX(techniques[detection rules for techique],MATCH(W151,techniques[name],0)),""),"")</f>
        <v/>
      </c>
      <c r="Y151" s="45" t="n"/>
      <c r="Z151" s="54">
        <f t="array" ref="Z151">IF(Y151&lt;&gt;"",IF(INDEX(techniques[detection rules for techique],MATCH(Y151,techniques[name],0))&gt;=1,INDEX(techniques[detection rules for techique],MATCH(Y151,techniques[name],0)),""),"")</f>
        <v/>
      </c>
      <c r="AA151" s="45" t="n"/>
      <c r="AB151" s="54">
        <f t="array" ref="AB151">IF(AA151&lt;&gt;"",IF(INDEX(techniques[detection rules for techique],MATCH(AA151,techniques[name],0))&gt;=1,INDEX(techniques[detection rules for techique],MATCH(AA151,techniques[name],0)),""),"")</f>
        <v/>
      </c>
      <c r="AC151" s="45" t="n"/>
      <c r="AD151" s="54">
        <f t="array" ref="AD151">IF(AC151&lt;&gt;"",IF(INDEX(techniques[detection rules for techique],MATCH(AC151,techniques[name],0))&gt;=1,INDEX(techniques[detection rules for techique],MATCH(AC151,techniques[name],0)),""),"")</f>
        <v/>
      </c>
    </row>
    <row r="152">
      <c r="A152" s="45" t="n"/>
      <c r="B152" s="54">
        <f t="array" ref="B152">IF(A152&lt;&gt;"",IF(INDEX(techniques[detection rules for techique],MATCH(A152,techniques[name],0))&gt;=1,INDEX(techniques[detection rules for techique],MATCH(A152,techniques[name],0)),""),"")</f>
        <v/>
      </c>
      <c r="C152" s="45" t="n"/>
      <c r="D152" s="54">
        <f t="array" ref="D152">IF(C152&lt;&gt;"",IF(INDEX(techniques[detection rules for techique],MATCH(C152,techniques[name],0))&gt;=1,INDEX(techniques[detection rules for techique],MATCH(C152,techniques[name],0)),""),"")</f>
        <v/>
      </c>
      <c r="E152" s="45" t="n"/>
      <c r="F152" s="54">
        <f t="array" ref="F152">IF(E152&lt;&gt;"",IF(INDEX(techniques[detection rules for techique],MATCH(E152,techniques[name],0))&gt;=1,INDEX(techniques[detection rules for techique],MATCH(E152,techniques[name],0)),""),"")</f>
        <v/>
      </c>
      <c r="G152" s="45" t="n"/>
      <c r="H152" s="54">
        <f t="array" ref="H152">IF(G152&lt;&gt;"",IF(INDEX(techniques[detection rules for techique],MATCH(G152,techniques[name],0))&gt;=1,INDEX(techniques[detection rules for techique],MATCH(G152,techniques[name],0)),""),"")</f>
        <v/>
      </c>
      <c r="I152" s="45" t="n"/>
      <c r="J152" s="54">
        <f t="array" ref="J152">IF(I152&lt;&gt;"",IF(INDEX(techniques[detection rules for techique],MATCH(I152,techniques[name],0))&gt;=1,INDEX(techniques[detection rules for techique],MATCH(I152,techniques[name],0)),""),"")</f>
        <v/>
      </c>
      <c r="K152" s="45" t="n"/>
      <c r="L152" s="54">
        <f t="array" ref="L152">IF(K152&lt;&gt;"",IF(INDEX(techniques[detection rules for techique],MATCH(K152,techniques[name],0))&gt;=1,INDEX(techniques[detection rules for techique],MATCH(K152,techniques[name],0)),""),"")</f>
        <v/>
      </c>
      <c r="M152" s="45" t="n"/>
      <c r="N152" s="54">
        <f t="array" ref="N152">IF(M152&lt;&gt;"",IF(INDEX(techniques[detection rules for techique],MATCH(M152,techniques[name],0))&gt;=1,INDEX(techniques[detection rules for techique],MATCH(M152,techniques[name],0)),""),"")</f>
        <v/>
      </c>
      <c r="O152" s="45" t="n"/>
      <c r="P152" s="54">
        <f t="array" ref="P152">IF(O152&lt;&gt;"",IF(INDEX(techniques[detection rules for techique],MATCH(O152,techniques[name],0))&gt;=1,INDEX(techniques[detection rules for techique],MATCH(O152,techniques[name],0)),""),"")</f>
        <v/>
      </c>
      <c r="Q152" s="45" t="n"/>
      <c r="R152" s="54">
        <f t="array" ref="R152">IF(Q152&lt;&gt;"",IF(INDEX(techniques[detection rules for techique],MATCH(Q152,techniques[name],0))&gt;=1,INDEX(techniques[detection rules for techique],MATCH(Q152,techniques[name],0)),""),"")</f>
        <v/>
      </c>
      <c r="S152" s="45" t="n"/>
      <c r="T152" s="54">
        <f t="array" ref="T152">IF(S152&lt;&gt;"",IF(INDEX(techniques[detection rules for techique],MATCH(S152,techniques[name],0))&gt;=1,INDEX(techniques[detection rules for techique],MATCH(S152,techniques[name],0)),""),"")</f>
        <v/>
      </c>
      <c r="U152" s="45" t="n"/>
      <c r="V152" s="54">
        <f t="array" ref="V152">IF(U152&lt;&gt;"",IF(INDEX(techniques[detection rules for techique],MATCH(U152,techniques[name],0))&gt;=1,INDEX(techniques[detection rules for techique],MATCH(U152,techniques[name],0)),""),"")</f>
        <v/>
      </c>
      <c r="W152" s="45" t="n"/>
      <c r="X152" s="54">
        <f t="array" ref="X152">IF(W152&lt;&gt;"",IF(INDEX(techniques[detection rules for techique],MATCH(W152,techniques[name],0))&gt;=1,INDEX(techniques[detection rules for techique],MATCH(W152,techniques[name],0)),""),"")</f>
        <v/>
      </c>
      <c r="Y152" s="45" t="n"/>
      <c r="Z152" s="54">
        <f t="array" ref="Z152">IF(Y152&lt;&gt;"",IF(INDEX(techniques[detection rules for techique],MATCH(Y152,techniques[name],0))&gt;=1,INDEX(techniques[detection rules for techique],MATCH(Y152,techniques[name],0)),""),"")</f>
        <v/>
      </c>
      <c r="AA152" s="45" t="n"/>
      <c r="AB152" s="54">
        <f t="array" ref="AB152">IF(AA152&lt;&gt;"",IF(INDEX(techniques[detection rules for techique],MATCH(AA152,techniques[name],0))&gt;=1,INDEX(techniques[detection rules for techique],MATCH(AA152,techniques[name],0)),""),"")</f>
        <v/>
      </c>
      <c r="AC152" s="45" t="n"/>
      <c r="AD152" s="54">
        <f t="array" ref="AD152">IF(AC152&lt;&gt;"",IF(INDEX(techniques[detection rules for techique],MATCH(AC152,techniques[name],0))&gt;=1,INDEX(techniques[detection rules for techique],MATCH(AC152,techniques[name],0)),""),"")</f>
        <v/>
      </c>
    </row>
    <row r="153" ht="22.5" customHeight="1">
      <c r="A153" s="45" t="n"/>
      <c r="B153" s="54">
        <f t="array" ref="B153">IF(A153&lt;&gt;"",IF(INDEX(techniques[detection rules for techique],MATCH(A153,techniques[name],0))&gt;=1,INDEX(techniques[detection rules for techique],MATCH(A153,techniques[name],0)),""),"")</f>
        <v/>
      </c>
      <c r="C153" s="45" t="n"/>
      <c r="D153" s="54">
        <f t="array" ref="D153">IF(C153&lt;&gt;"",IF(INDEX(techniques[detection rules for techique],MATCH(C153,techniques[name],0))&gt;=1,INDEX(techniques[detection rules for techique],MATCH(C153,techniques[name],0)),""),"")</f>
        <v/>
      </c>
      <c r="E153" s="45" t="n"/>
      <c r="F153" s="54">
        <f t="array" ref="F153">IF(E153&lt;&gt;"",IF(INDEX(techniques[detection rules for techique],MATCH(E153,techniques[name],0))&gt;=1,INDEX(techniques[detection rules for techique],MATCH(E153,techniques[name],0)),""),"")</f>
        <v/>
      </c>
      <c r="G153" s="45" t="n"/>
      <c r="H153" s="54">
        <f t="array" ref="H153">IF(G153&lt;&gt;"",IF(INDEX(techniques[detection rules for techique],MATCH(G153,techniques[name],0))&gt;=1,INDEX(techniques[detection rules for techique],MATCH(G153,techniques[name],0)),""),"")</f>
        <v/>
      </c>
      <c r="I153" s="45" t="n"/>
      <c r="J153" s="54">
        <f t="array" ref="J153">IF(I153&lt;&gt;"",IF(INDEX(techniques[detection rules for techique],MATCH(I153,techniques[name],0))&gt;=1,INDEX(techniques[detection rules for techique],MATCH(I153,techniques[name],0)),""),"")</f>
        <v/>
      </c>
      <c r="K153" s="45" t="n"/>
      <c r="L153" s="54">
        <f t="array" ref="L153">IF(K153&lt;&gt;"",IF(INDEX(techniques[detection rules for techique],MATCH(K153,techniques[name],0))&gt;=1,INDEX(techniques[detection rules for techique],MATCH(K153,techniques[name],0)),""),"")</f>
        <v/>
      </c>
      <c r="M153" s="45" t="n"/>
      <c r="N153" s="54">
        <f t="array" ref="N153">IF(M153&lt;&gt;"",IF(INDEX(techniques[detection rules for techique],MATCH(M153,techniques[name],0))&gt;=1,INDEX(techniques[detection rules for techique],MATCH(M153,techniques[name],0)),""),"")</f>
        <v/>
      </c>
      <c r="O153" s="45" t="n"/>
      <c r="P153" s="54">
        <f t="array" ref="P153">IF(O153&lt;&gt;"",IF(INDEX(techniques[detection rules for techique],MATCH(O153,techniques[name],0))&gt;=1,INDEX(techniques[detection rules for techique],MATCH(O153,techniques[name],0)),""),"")</f>
        <v/>
      </c>
      <c r="Q153" s="45" t="n"/>
      <c r="R153" s="54">
        <f t="array" ref="R153">IF(Q153&lt;&gt;"",IF(INDEX(techniques[detection rules for techique],MATCH(Q153,techniques[name],0))&gt;=1,INDEX(techniques[detection rules for techique],MATCH(Q153,techniques[name],0)),""),"")</f>
        <v/>
      </c>
      <c r="S153" s="45" t="n"/>
      <c r="T153" s="54">
        <f t="array" ref="T153">IF(S153&lt;&gt;"",IF(INDEX(techniques[detection rules for techique],MATCH(S153,techniques[name],0))&gt;=1,INDEX(techniques[detection rules for techique],MATCH(S153,techniques[name],0)),""),"")</f>
        <v/>
      </c>
      <c r="U153" s="45" t="n"/>
      <c r="V153" s="54">
        <f t="array" ref="V153">IF(U153&lt;&gt;"",IF(INDEX(techniques[detection rules for techique],MATCH(U153,techniques[name],0))&gt;=1,INDEX(techniques[detection rules for techique],MATCH(U153,techniques[name],0)),""),"")</f>
        <v/>
      </c>
      <c r="W153" s="45" t="n"/>
      <c r="X153" s="54">
        <f t="array" ref="X153">IF(W153&lt;&gt;"",IF(INDEX(techniques[detection rules for techique],MATCH(W153,techniques[name],0))&gt;=1,INDEX(techniques[detection rules for techique],MATCH(W153,techniques[name],0)),""),"")</f>
        <v/>
      </c>
      <c r="Y153" s="45" t="n"/>
      <c r="Z153" s="54">
        <f t="array" ref="Z153">IF(Y153&lt;&gt;"",IF(INDEX(techniques[detection rules for techique],MATCH(Y153,techniques[name],0))&gt;=1,INDEX(techniques[detection rules for techique],MATCH(Y153,techniques[name],0)),""),"")</f>
        <v/>
      </c>
      <c r="AA153" s="45" t="n"/>
      <c r="AB153" s="54">
        <f t="array" ref="AB153">IF(AA153&lt;&gt;"",IF(INDEX(techniques[detection rules for techique],MATCH(AA153,techniques[name],0))&gt;=1,INDEX(techniques[detection rules for techique],MATCH(AA153,techniques[name],0)),""),"")</f>
        <v/>
      </c>
      <c r="AC153" s="45" t="n"/>
      <c r="AD153" s="54">
        <f t="array" ref="AD153">IF(AC153&lt;&gt;"",IF(INDEX(techniques[detection rules for techique],MATCH(AC153,techniques[name],0))&gt;=1,INDEX(techniques[detection rules for techique],MATCH(AC153,techniques[name],0)),""),"")</f>
        <v/>
      </c>
    </row>
    <row r="154" ht="22.5" customHeight="1">
      <c r="A154" s="45" t="n"/>
      <c r="B154" s="54">
        <f t="array" ref="B154">IF(A154&lt;&gt;"",IF(INDEX(techniques[detection rules for techique],MATCH(A154,techniques[name],0))&gt;=1,INDEX(techniques[detection rules for techique],MATCH(A154,techniques[name],0)),""),"")</f>
        <v/>
      </c>
      <c r="C154" s="45" t="n"/>
      <c r="D154" s="54">
        <f t="array" ref="D154">IF(C154&lt;&gt;"",IF(INDEX(techniques[detection rules for techique],MATCH(C154,techniques[name],0))&gt;=1,INDEX(techniques[detection rules for techique],MATCH(C154,techniques[name],0)),""),"")</f>
        <v/>
      </c>
      <c r="E154" s="45" t="n"/>
      <c r="F154" s="54">
        <f t="array" ref="F154">IF(E154&lt;&gt;"",IF(INDEX(techniques[detection rules for techique],MATCH(E154,techniques[name],0))&gt;=1,INDEX(techniques[detection rules for techique],MATCH(E154,techniques[name],0)),""),"")</f>
        <v/>
      </c>
      <c r="G154" s="45" t="n"/>
      <c r="H154" s="54">
        <f t="array" ref="H154">IF(G154&lt;&gt;"",IF(INDEX(techniques[detection rules for techique],MATCH(G154,techniques[name],0))&gt;=1,INDEX(techniques[detection rules for techique],MATCH(G154,techniques[name],0)),""),"")</f>
        <v/>
      </c>
      <c r="I154" s="45" t="n"/>
      <c r="J154" s="54">
        <f t="array" ref="J154">IF(I154&lt;&gt;"",IF(INDEX(techniques[detection rules for techique],MATCH(I154,techniques[name],0))&gt;=1,INDEX(techniques[detection rules for techique],MATCH(I154,techniques[name],0)),""),"")</f>
        <v/>
      </c>
      <c r="K154" s="45" t="n"/>
      <c r="L154" s="54">
        <f t="array" ref="L154">IF(K154&lt;&gt;"",IF(INDEX(techniques[detection rules for techique],MATCH(K154,techniques[name],0))&gt;=1,INDEX(techniques[detection rules for techique],MATCH(K154,techniques[name],0)),""),"")</f>
        <v/>
      </c>
      <c r="M154" s="45" t="n"/>
      <c r="N154" s="54">
        <f t="array" ref="N154">IF(M154&lt;&gt;"",IF(INDEX(techniques[detection rules for techique],MATCH(M154,techniques[name],0))&gt;=1,INDEX(techniques[detection rules for techique],MATCH(M154,techniques[name],0)),""),"")</f>
        <v/>
      </c>
      <c r="O154" s="45" t="n"/>
      <c r="P154" s="54">
        <f t="array" ref="P154">IF(O154&lt;&gt;"",IF(INDEX(techniques[detection rules for techique],MATCH(O154,techniques[name],0))&gt;=1,INDEX(techniques[detection rules for techique],MATCH(O154,techniques[name],0)),""),"")</f>
        <v/>
      </c>
      <c r="Q154" s="45" t="n"/>
      <c r="R154" s="54">
        <f t="array" ref="R154">IF(Q154&lt;&gt;"",IF(INDEX(techniques[detection rules for techique],MATCH(Q154,techniques[name],0))&gt;=1,INDEX(techniques[detection rules for techique],MATCH(Q154,techniques[name],0)),""),"")</f>
        <v/>
      </c>
      <c r="S154" s="45" t="n"/>
      <c r="T154" s="54">
        <f t="array" ref="T154">IF(S154&lt;&gt;"",IF(INDEX(techniques[detection rules for techique],MATCH(S154,techniques[name],0))&gt;=1,INDEX(techniques[detection rules for techique],MATCH(S154,techniques[name],0)),""),"")</f>
        <v/>
      </c>
      <c r="U154" s="45" t="n"/>
      <c r="V154" s="54">
        <f t="array" ref="V154">IF(U154&lt;&gt;"",IF(INDEX(techniques[detection rules for techique],MATCH(U154,techniques[name],0))&gt;=1,INDEX(techniques[detection rules for techique],MATCH(U154,techniques[name],0)),""),"")</f>
        <v/>
      </c>
      <c r="W154" s="45" t="n"/>
      <c r="X154" s="54">
        <f t="array" ref="X154">IF(W154&lt;&gt;"",IF(INDEX(techniques[detection rules for techique],MATCH(W154,techniques[name],0))&gt;=1,INDEX(techniques[detection rules for techique],MATCH(W154,techniques[name],0)),""),"")</f>
        <v/>
      </c>
      <c r="Y154" s="45" t="n"/>
      <c r="Z154" s="54">
        <f t="array" ref="Z154">IF(Y154&lt;&gt;"",IF(INDEX(techniques[detection rules for techique],MATCH(Y154,techniques[name],0))&gt;=1,INDEX(techniques[detection rules for techique],MATCH(Y154,techniques[name],0)),""),"")</f>
        <v/>
      </c>
      <c r="AA154" s="45" t="n"/>
      <c r="AB154" s="54">
        <f t="array" ref="AB154">IF(AA154&lt;&gt;"",IF(INDEX(techniques[detection rules for techique],MATCH(AA154,techniques[name],0))&gt;=1,INDEX(techniques[detection rules for techique],MATCH(AA154,techniques[name],0)),""),"")</f>
        <v/>
      </c>
      <c r="AC154" s="45" t="n"/>
      <c r="AD154" s="54">
        <f t="array" ref="AD154">IF(AC154&lt;&gt;"",IF(INDEX(techniques[detection rules for techique],MATCH(AC154,techniques[name],0))&gt;=1,INDEX(techniques[detection rules for techique],MATCH(AC154,techniques[name],0)),""),"")</f>
        <v/>
      </c>
    </row>
    <row r="155" ht="22.5" customHeight="1">
      <c r="A155" s="45" t="n"/>
      <c r="B155" s="54">
        <f t="array" ref="B155">IF(A155&lt;&gt;"",IF(INDEX(techniques[detection rules for techique],MATCH(A155,techniques[name],0))&gt;=1,INDEX(techniques[detection rules for techique],MATCH(A155,techniques[name],0)),""),"")</f>
        <v/>
      </c>
      <c r="C155" s="45" t="n"/>
      <c r="D155" s="54">
        <f t="array" ref="D155">IF(C155&lt;&gt;"",IF(INDEX(techniques[detection rules for techique],MATCH(C155,techniques[name],0))&gt;=1,INDEX(techniques[detection rules for techique],MATCH(C155,techniques[name],0)),""),"")</f>
        <v/>
      </c>
      <c r="E155" s="45" t="n"/>
      <c r="F155" s="54">
        <f t="array" ref="F155">IF(E155&lt;&gt;"",IF(INDEX(techniques[detection rules for techique],MATCH(E155,techniques[name],0))&gt;=1,INDEX(techniques[detection rules for techique],MATCH(E155,techniques[name],0)),""),"")</f>
        <v/>
      </c>
      <c r="G155" s="45" t="n"/>
      <c r="H155" s="54">
        <f t="array" ref="H155">IF(G155&lt;&gt;"",IF(INDEX(techniques[detection rules for techique],MATCH(G155,techniques[name],0))&gt;=1,INDEX(techniques[detection rules for techique],MATCH(G155,techniques[name],0)),""),"")</f>
        <v/>
      </c>
      <c r="I155" s="45" t="n"/>
      <c r="J155" s="54">
        <f t="array" ref="J155">IF(I155&lt;&gt;"",IF(INDEX(techniques[detection rules for techique],MATCH(I155,techniques[name],0))&gt;=1,INDEX(techniques[detection rules for techique],MATCH(I155,techniques[name],0)),""),"")</f>
        <v/>
      </c>
      <c r="K155" s="45" t="n"/>
      <c r="L155" s="54">
        <f t="array" ref="L155">IF(K155&lt;&gt;"",IF(INDEX(techniques[detection rules for techique],MATCH(K155,techniques[name],0))&gt;=1,INDEX(techniques[detection rules for techique],MATCH(K155,techniques[name],0)),""),"")</f>
        <v/>
      </c>
      <c r="M155" s="45" t="n"/>
      <c r="N155" s="54">
        <f t="array" ref="N155">IF(M155&lt;&gt;"",IF(INDEX(techniques[detection rules for techique],MATCH(M155,techniques[name],0))&gt;=1,INDEX(techniques[detection rules for techique],MATCH(M155,techniques[name],0)),""),"")</f>
        <v/>
      </c>
      <c r="O155" s="45" t="n"/>
      <c r="P155" s="54">
        <f t="array" ref="P155">IF(O155&lt;&gt;"",IF(INDEX(techniques[detection rules for techique],MATCH(O155,techniques[name],0))&gt;=1,INDEX(techniques[detection rules for techique],MATCH(O155,techniques[name],0)),""),"")</f>
        <v/>
      </c>
      <c r="Q155" s="45" t="n"/>
      <c r="R155" s="54">
        <f t="array" ref="R155">IF(Q155&lt;&gt;"",IF(INDEX(techniques[detection rules for techique],MATCH(Q155,techniques[name],0))&gt;=1,INDEX(techniques[detection rules for techique],MATCH(Q155,techniques[name],0)),""),"")</f>
        <v/>
      </c>
      <c r="S155" s="45" t="n"/>
      <c r="T155" s="54">
        <f t="array" ref="T155">IF(S155&lt;&gt;"",IF(INDEX(techniques[detection rules for techique],MATCH(S155,techniques[name],0))&gt;=1,INDEX(techniques[detection rules for techique],MATCH(S155,techniques[name],0)),""),"")</f>
        <v/>
      </c>
      <c r="U155" s="45" t="n"/>
      <c r="V155" s="54">
        <f t="array" ref="V155">IF(U155&lt;&gt;"",IF(INDEX(techniques[detection rules for techique],MATCH(U155,techniques[name],0))&gt;=1,INDEX(techniques[detection rules for techique],MATCH(U155,techniques[name],0)),""),"")</f>
        <v/>
      </c>
      <c r="W155" s="45" t="n"/>
      <c r="X155" s="54">
        <f t="array" ref="X155">IF(W155&lt;&gt;"",IF(INDEX(techniques[detection rules for techique],MATCH(W155,techniques[name],0))&gt;=1,INDEX(techniques[detection rules for techique],MATCH(W155,techniques[name],0)),""),"")</f>
        <v/>
      </c>
      <c r="Y155" s="45" t="n"/>
      <c r="Z155" s="54">
        <f t="array" ref="Z155">IF(Y155&lt;&gt;"",IF(INDEX(techniques[detection rules for techique],MATCH(Y155,techniques[name],0))&gt;=1,INDEX(techniques[detection rules for techique],MATCH(Y155,techniques[name],0)),""),"")</f>
        <v/>
      </c>
      <c r="AA155" s="45" t="n"/>
      <c r="AB155" s="54">
        <f t="array" ref="AB155">IF(AA155&lt;&gt;"",IF(INDEX(techniques[detection rules for techique],MATCH(AA155,techniques[name],0))&gt;=1,INDEX(techniques[detection rules for techique],MATCH(AA155,techniques[name],0)),""),"")</f>
        <v/>
      </c>
      <c r="AC155" s="45" t="n"/>
      <c r="AD155" s="54">
        <f t="array" ref="AD155">IF(AC155&lt;&gt;"",IF(INDEX(techniques[detection rules for techique],MATCH(AC155,techniques[name],0))&gt;=1,INDEX(techniques[detection rules for techique],MATCH(AC155,techniques[name],0)),""),"")</f>
        <v/>
      </c>
    </row>
    <row r="156" ht="22.5" customHeight="1">
      <c r="A156" s="45" t="n"/>
      <c r="B156" s="54">
        <f t="array" ref="B156">IF(A156&lt;&gt;"",IF(INDEX(techniques[detection rules for techique],MATCH(A156,techniques[name],0))&gt;=1,INDEX(techniques[detection rules for techique],MATCH(A156,techniques[name],0)),""),"")</f>
        <v/>
      </c>
      <c r="C156" s="45" t="n"/>
      <c r="D156" s="54">
        <f t="array" ref="D156">IF(C156&lt;&gt;"",IF(INDEX(techniques[detection rules for techique],MATCH(C156,techniques[name],0))&gt;=1,INDEX(techniques[detection rules for techique],MATCH(C156,techniques[name],0)),""),"")</f>
        <v/>
      </c>
      <c r="E156" s="45" t="n"/>
      <c r="F156" s="54">
        <f t="array" ref="F156">IF(E156&lt;&gt;"",IF(INDEX(techniques[detection rules for techique],MATCH(E156,techniques[name],0))&gt;=1,INDEX(techniques[detection rules for techique],MATCH(E156,techniques[name],0)),""),"")</f>
        <v/>
      </c>
      <c r="G156" s="45" t="n"/>
      <c r="H156" s="54">
        <f t="array" ref="H156">IF(G156&lt;&gt;"",IF(INDEX(techniques[detection rules for techique],MATCH(G156,techniques[name],0))&gt;=1,INDEX(techniques[detection rules for techique],MATCH(G156,techniques[name],0)),""),"")</f>
        <v/>
      </c>
      <c r="I156" s="45" t="n"/>
      <c r="J156" s="54">
        <f t="array" ref="J156">IF(I156&lt;&gt;"",IF(INDEX(techniques[detection rules for techique],MATCH(I156,techniques[name],0))&gt;=1,INDEX(techniques[detection rules for techique],MATCH(I156,techniques[name],0)),""),"")</f>
        <v/>
      </c>
      <c r="K156" s="45" t="n"/>
      <c r="L156" s="54">
        <f t="array" ref="L156">IF(K156&lt;&gt;"",IF(INDEX(techniques[detection rules for techique],MATCH(K156,techniques[name],0))&gt;=1,INDEX(techniques[detection rules for techique],MATCH(K156,techniques[name],0)),""),"")</f>
        <v/>
      </c>
      <c r="M156" s="45" t="n"/>
      <c r="N156" s="54">
        <f t="array" ref="N156">IF(M156&lt;&gt;"",IF(INDEX(techniques[detection rules for techique],MATCH(M156,techniques[name],0))&gt;=1,INDEX(techniques[detection rules for techique],MATCH(M156,techniques[name],0)),""),"")</f>
        <v/>
      </c>
      <c r="O156" s="45" t="n"/>
      <c r="P156" s="54">
        <f t="array" ref="P156">IF(O156&lt;&gt;"",IF(INDEX(techniques[detection rules for techique],MATCH(O156,techniques[name],0))&gt;=1,INDEX(techniques[detection rules for techique],MATCH(O156,techniques[name],0)),""),"")</f>
        <v/>
      </c>
      <c r="Q156" s="45" t="n"/>
      <c r="R156" s="54">
        <f t="array" ref="R156">IF(Q156&lt;&gt;"",IF(INDEX(techniques[detection rules for techique],MATCH(Q156,techniques[name],0))&gt;=1,INDEX(techniques[detection rules for techique],MATCH(Q156,techniques[name],0)),""),"")</f>
        <v/>
      </c>
      <c r="S156" s="45" t="n"/>
      <c r="T156" s="54">
        <f t="array" ref="T156">IF(S156&lt;&gt;"",IF(INDEX(techniques[detection rules for techique],MATCH(S156,techniques[name],0))&gt;=1,INDEX(techniques[detection rules for techique],MATCH(S156,techniques[name],0)),""),"")</f>
        <v/>
      </c>
      <c r="U156" s="45" t="n"/>
      <c r="V156" s="54">
        <f t="array" ref="V156">IF(U156&lt;&gt;"",IF(INDEX(techniques[detection rules for techique],MATCH(U156,techniques[name],0))&gt;=1,INDEX(techniques[detection rules for techique],MATCH(U156,techniques[name],0)),""),"")</f>
        <v/>
      </c>
      <c r="W156" s="45" t="n"/>
      <c r="X156" s="54">
        <f t="array" ref="X156">IF(W156&lt;&gt;"",IF(INDEX(techniques[detection rules for techique],MATCH(W156,techniques[name],0))&gt;=1,INDEX(techniques[detection rules for techique],MATCH(W156,techniques[name],0)),""),"")</f>
        <v/>
      </c>
      <c r="Y156" s="45" t="n"/>
      <c r="Z156" s="54">
        <f t="array" ref="Z156">IF(Y156&lt;&gt;"",IF(INDEX(techniques[detection rules for techique],MATCH(Y156,techniques[name],0))&gt;=1,INDEX(techniques[detection rules for techique],MATCH(Y156,techniques[name],0)),""),"")</f>
        <v/>
      </c>
      <c r="AA156" s="45" t="n"/>
      <c r="AB156" s="54">
        <f t="array" ref="AB156">IF(AA156&lt;&gt;"",IF(INDEX(techniques[detection rules for techique],MATCH(AA156,techniques[name],0))&gt;=1,INDEX(techniques[detection rules for techique],MATCH(AA156,techniques[name],0)),""),"")</f>
        <v/>
      </c>
      <c r="AC156" s="45" t="n"/>
      <c r="AD156" s="54">
        <f t="array" ref="AD156">IF(AC156&lt;&gt;"",IF(INDEX(techniques[detection rules for techique],MATCH(AC156,techniques[name],0))&gt;=1,INDEX(techniques[detection rules for techique],MATCH(AC156,techniques[name],0)),""),"")</f>
        <v/>
      </c>
    </row>
    <row r="157" ht="22.5" customHeight="1">
      <c r="A157" s="45" t="n"/>
      <c r="B157" s="54">
        <f t="array" ref="B157">IF(A157&lt;&gt;"",IF(INDEX(techniques[detection rules for techique],MATCH(A157,techniques[name],0))&gt;=1,INDEX(techniques[detection rules for techique],MATCH(A157,techniques[name],0)),""),"")</f>
        <v/>
      </c>
      <c r="C157" s="45" t="n"/>
      <c r="D157" s="54">
        <f t="array" ref="D157">IF(C157&lt;&gt;"",IF(INDEX(techniques[detection rules for techique],MATCH(C157,techniques[name],0))&gt;=1,INDEX(techniques[detection rules for techique],MATCH(C157,techniques[name],0)),""),"")</f>
        <v/>
      </c>
      <c r="E157" s="45" t="n"/>
      <c r="F157" s="54">
        <f t="array" ref="F157">IF(E157&lt;&gt;"",IF(INDEX(techniques[detection rules for techique],MATCH(E157,techniques[name],0))&gt;=1,INDEX(techniques[detection rules for techique],MATCH(E157,techniques[name],0)),""),"")</f>
        <v/>
      </c>
      <c r="G157" s="45" t="n"/>
      <c r="H157" s="54">
        <f t="array" ref="H157">IF(G157&lt;&gt;"",IF(INDEX(techniques[detection rules for techique],MATCH(G157,techniques[name],0))&gt;=1,INDEX(techniques[detection rules for techique],MATCH(G157,techniques[name],0)),""),"")</f>
        <v/>
      </c>
      <c r="I157" s="45" t="n"/>
      <c r="J157" s="54">
        <f t="array" ref="J157">IF(I157&lt;&gt;"",IF(INDEX(techniques[detection rules for techique],MATCH(I157,techniques[name],0))&gt;=1,INDEX(techniques[detection rules for techique],MATCH(I157,techniques[name],0)),""),"")</f>
        <v/>
      </c>
      <c r="K157" s="45" t="n"/>
      <c r="L157" s="54">
        <f t="array" ref="L157">IF(K157&lt;&gt;"",IF(INDEX(techniques[detection rules for techique],MATCH(K157,techniques[name],0))&gt;=1,INDEX(techniques[detection rules for techique],MATCH(K157,techniques[name],0)),""),"")</f>
        <v/>
      </c>
      <c r="M157" s="45" t="n"/>
      <c r="N157" s="54">
        <f t="array" ref="N157">IF(M157&lt;&gt;"",IF(INDEX(techniques[detection rules for techique],MATCH(M157,techniques[name],0))&gt;=1,INDEX(techniques[detection rules for techique],MATCH(M157,techniques[name],0)),""),"")</f>
        <v/>
      </c>
      <c r="O157" s="45" t="n"/>
      <c r="P157" s="54">
        <f t="array" ref="P157">IF(O157&lt;&gt;"",IF(INDEX(techniques[detection rules for techique],MATCH(O157,techniques[name],0))&gt;=1,INDEX(techniques[detection rules for techique],MATCH(O157,techniques[name],0)),""),"")</f>
        <v/>
      </c>
      <c r="Q157" s="45" t="n"/>
      <c r="R157" s="54">
        <f t="array" ref="R157">IF(Q157&lt;&gt;"",IF(INDEX(techniques[detection rules for techique],MATCH(Q157,techniques[name],0))&gt;=1,INDEX(techniques[detection rules for techique],MATCH(Q157,techniques[name],0)),""),"")</f>
        <v/>
      </c>
      <c r="S157" s="45" t="n"/>
      <c r="T157" s="54">
        <f t="array" ref="T157">IF(S157&lt;&gt;"",IF(INDEX(techniques[detection rules for techique],MATCH(S157,techniques[name],0))&gt;=1,INDEX(techniques[detection rules for techique],MATCH(S157,techniques[name],0)),""),"")</f>
        <v/>
      </c>
      <c r="U157" s="45" t="n"/>
      <c r="V157" s="54">
        <f t="array" ref="V157">IF(U157&lt;&gt;"",IF(INDEX(techniques[detection rules for techique],MATCH(U157,techniques[name],0))&gt;=1,INDEX(techniques[detection rules for techique],MATCH(U157,techniques[name],0)),""),"")</f>
        <v/>
      </c>
      <c r="W157" s="45" t="n"/>
      <c r="X157" s="54">
        <f t="array" ref="X157">IF(W157&lt;&gt;"",IF(INDEX(techniques[detection rules for techique],MATCH(W157,techniques[name],0))&gt;=1,INDEX(techniques[detection rules for techique],MATCH(W157,techniques[name],0)),""),"")</f>
        <v/>
      </c>
      <c r="Y157" s="45" t="n"/>
      <c r="Z157" s="54">
        <f t="array" ref="Z157">IF(Y157&lt;&gt;"",IF(INDEX(techniques[detection rules for techique],MATCH(Y157,techniques[name],0))&gt;=1,INDEX(techniques[detection rules for techique],MATCH(Y157,techniques[name],0)),""),"")</f>
        <v/>
      </c>
      <c r="AA157" s="45" t="n"/>
      <c r="AB157" s="54">
        <f t="array" ref="AB157">IF(AA157&lt;&gt;"",IF(INDEX(techniques[detection rules for techique],MATCH(AA157,techniques[name],0))&gt;=1,INDEX(techniques[detection rules for techique],MATCH(AA157,techniques[name],0)),""),"")</f>
        <v/>
      </c>
      <c r="AC157" s="45" t="n"/>
      <c r="AD157" s="54">
        <f t="array" ref="AD157">IF(AC157&lt;&gt;"",IF(INDEX(techniques[detection rules for techique],MATCH(AC157,techniques[name],0))&gt;=1,INDEX(techniques[detection rules for techique],MATCH(AC157,techniques[name],0)),""),"")</f>
        <v/>
      </c>
    </row>
    <row r="158" ht="22.5" customHeight="1">
      <c r="A158" s="45" t="n"/>
      <c r="B158" s="54">
        <f t="array" ref="B158">IF(A158&lt;&gt;"",IF(INDEX(techniques[detection rules for techique],MATCH(A158,techniques[name],0))&gt;=1,INDEX(techniques[detection rules for techique],MATCH(A158,techniques[name],0)),""),"")</f>
        <v/>
      </c>
      <c r="C158" s="45" t="n"/>
      <c r="D158" s="54">
        <f t="array" ref="D158">IF(C158&lt;&gt;"",IF(INDEX(techniques[detection rules for techique],MATCH(C158,techniques[name],0))&gt;=1,INDEX(techniques[detection rules for techique],MATCH(C158,techniques[name],0)),""),"")</f>
        <v/>
      </c>
      <c r="E158" s="45" t="n"/>
      <c r="F158" s="54">
        <f t="array" ref="F158">IF(E158&lt;&gt;"",IF(INDEX(techniques[detection rules for techique],MATCH(E158,techniques[name],0))&gt;=1,INDEX(techniques[detection rules for techique],MATCH(E158,techniques[name],0)),""),"")</f>
        <v/>
      </c>
      <c r="G158" s="45" t="n"/>
      <c r="H158" s="54">
        <f t="array" ref="H158">IF(G158&lt;&gt;"",IF(INDEX(techniques[detection rules for techique],MATCH(G158,techniques[name],0))&gt;=1,INDEX(techniques[detection rules for techique],MATCH(G158,techniques[name],0)),""),"")</f>
        <v/>
      </c>
      <c r="I158" s="45" t="n"/>
      <c r="J158" s="54">
        <f t="array" ref="J158">IF(I158&lt;&gt;"",IF(INDEX(techniques[detection rules for techique],MATCH(I158,techniques[name],0))&gt;=1,INDEX(techniques[detection rules for techique],MATCH(I158,techniques[name],0)),""),"")</f>
        <v/>
      </c>
      <c r="K158" s="45" t="n"/>
      <c r="L158" s="54">
        <f t="array" ref="L158">IF(K158&lt;&gt;"",IF(INDEX(techniques[detection rules for techique],MATCH(K158,techniques[name],0))&gt;=1,INDEX(techniques[detection rules for techique],MATCH(K158,techniques[name],0)),""),"")</f>
        <v/>
      </c>
      <c r="M158" s="45" t="n"/>
      <c r="N158" s="54">
        <f t="array" ref="N158">IF(M158&lt;&gt;"",IF(INDEX(techniques[detection rules for techique],MATCH(M158,techniques[name],0))&gt;=1,INDEX(techniques[detection rules for techique],MATCH(M158,techniques[name],0)),""),"")</f>
        <v/>
      </c>
      <c r="O158" s="45" t="n"/>
      <c r="P158" s="54">
        <f t="array" ref="P158">IF(O158&lt;&gt;"",IF(INDEX(techniques[detection rules for techique],MATCH(O158,techniques[name],0))&gt;=1,INDEX(techniques[detection rules for techique],MATCH(O158,techniques[name],0)),""),"")</f>
        <v/>
      </c>
      <c r="Q158" s="45" t="n"/>
      <c r="R158" s="54">
        <f t="array" ref="R158">IF(Q158&lt;&gt;"",IF(INDEX(techniques[detection rules for techique],MATCH(Q158,techniques[name],0))&gt;=1,INDEX(techniques[detection rules for techique],MATCH(Q158,techniques[name],0)),""),"")</f>
        <v/>
      </c>
      <c r="S158" s="45" t="n"/>
      <c r="T158" s="54">
        <f t="array" ref="T158">IF(S158&lt;&gt;"",IF(INDEX(techniques[detection rules for techique],MATCH(S158,techniques[name],0))&gt;=1,INDEX(techniques[detection rules for techique],MATCH(S158,techniques[name],0)),""),"")</f>
        <v/>
      </c>
      <c r="U158" s="45" t="n"/>
      <c r="V158" s="54">
        <f t="array" ref="V158">IF(U158&lt;&gt;"",IF(INDEX(techniques[detection rules for techique],MATCH(U158,techniques[name],0))&gt;=1,INDEX(techniques[detection rules for techique],MATCH(U158,techniques[name],0)),""),"")</f>
        <v/>
      </c>
      <c r="W158" s="45" t="n"/>
      <c r="X158" s="54">
        <f t="array" ref="X158">IF(W158&lt;&gt;"",IF(INDEX(techniques[detection rules for techique],MATCH(W158,techniques[name],0))&gt;=1,INDEX(techniques[detection rules for techique],MATCH(W158,techniques[name],0)),""),"")</f>
        <v/>
      </c>
      <c r="Y158" s="45" t="n"/>
      <c r="Z158" s="54">
        <f t="array" ref="Z158">IF(Y158&lt;&gt;"",IF(INDEX(techniques[detection rules for techique],MATCH(Y158,techniques[name],0))&gt;=1,INDEX(techniques[detection rules for techique],MATCH(Y158,techniques[name],0)),""),"")</f>
        <v/>
      </c>
      <c r="AA158" s="45" t="n"/>
      <c r="AB158" s="54">
        <f t="array" ref="AB158">IF(AA158&lt;&gt;"",IF(INDEX(techniques[detection rules for techique],MATCH(AA158,techniques[name],0))&gt;=1,INDEX(techniques[detection rules for techique],MATCH(AA158,techniques[name],0)),""),"")</f>
        <v/>
      </c>
      <c r="AC158" s="45" t="n"/>
      <c r="AD158" s="54">
        <f t="array" ref="AD158">IF(AC158&lt;&gt;"",IF(INDEX(techniques[detection rules for techique],MATCH(AC158,techniques[name],0))&gt;=1,INDEX(techniques[detection rules for techique],MATCH(AC158,techniques[name],0)),""),"")</f>
        <v/>
      </c>
    </row>
    <row r="159" ht="22.5" customHeight="1">
      <c r="A159" s="45" t="n"/>
      <c r="B159" s="54">
        <f t="array" ref="B159">IF(A159&lt;&gt;"",IF(INDEX(techniques[detection rules for techique],MATCH(A159,techniques[name],0))&gt;=1,INDEX(techniques[detection rules for techique],MATCH(A159,techniques[name],0)),""),"")</f>
        <v/>
      </c>
      <c r="C159" s="45" t="n"/>
      <c r="D159" s="54">
        <f t="array" ref="D159">IF(C159&lt;&gt;"",IF(INDEX(techniques[detection rules for techique],MATCH(C159,techniques[name],0))&gt;=1,INDEX(techniques[detection rules for techique],MATCH(C159,techniques[name],0)),""),"")</f>
        <v/>
      </c>
      <c r="E159" s="45" t="n"/>
      <c r="F159" s="54">
        <f t="array" ref="F159">IF(E159&lt;&gt;"",IF(INDEX(techniques[detection rules for techique],MATCH(E159,techniques[name],0))&gt;=1,INDEX(techniques[detection rules for techique],MATCH(E159,techniques[name],0)),""),"")</f>
        <v/>
      </c>
      <c r="G159" s="45" t="n"/>
      <c r="H159" s="54">
        <f t="array" ref="H159">IF(G159&lt;&gt;"",IF(INDEX(techniques[detection rules for techique],MATCH(G159,techniques[name],0))&gt;=1,INDEX(techniques[detection rules for techique],MATCH(G159,techniques[name],0)),""),"")</f>
        <v/>
      </c>
      <c r="I159" s="45" t="n"/>
      <c r="J159" s="54">
        <f t="array" ref="J159">IF(I159&lt;&gt;"",IF(INDEX(techniques[detection rules for techique],MATCH(I159,techniques[name],0))&gt;=1,INDEX(techniques[detection rules for techique],MATCH(I159,techniques[name],0)),""),"")</f>
        <v/>
      </c>
      <c r="K159" s="45" t="n"/>
      <c r="L159" s="54">
        <f t="array" ref="L159">IF(K159&lt;&gt;"",IF(INDEX(techniques[detection rules for techique],MATCH(K159,techniques[name],0))&gt;=1,INDEX(techniques[detection rules for techique],MATCH(K159,techniques[name],0)),""),"")</f>
        <v/>
      </c>
      <c r="M159" s="45" t="n"/>
      <c r="N159" s="54">
        <f t="array" ref="N159">IF(M159&lt;&gt;"",IF(INDEX(techniques[detection rules for techique],MATCH(M159,techniques[name],0))&gt;=1,INDEX(techniques[detection rules for techique],MATCH(M159,techniques[name],0)),""),"")</f>
        <v/>
      </c>
      <c r="O159" s="45" t="n"/>
      <c r="P159" s="54">
        <f t="array" ref="P159">IF(O159&lt;&gt;"",IF(INDEX(techniques[detection rules for techique],MATCH(O159,techniques[name],0))&gt;=1,INDEX(techniques[detection rules for techique],MATCH(O159,techniques[name],0)),""),"")</f>
        <v/>
      </c>
      <c r="Q159" s="45" t="n"/>
      <c r="R159" s="54">
        <f t="array" ref="R159">IF(Q159&lt;&gt;"",IF(INDEX(techniques[detection rules for techique],MATCH(Q159,techniques[name],0))&gt;=1,INDEX(techniques[detection rules for techique],MATCH(Q159,techniques[name],0)),""),"")</f>
        <v/>
      </c>
      <c r="S159" s="45" t="n"/>
      <c r="T159" s="54">
        <f t="array" ref="T159">IF(S159&lt;&gt;"",IF(INDEX(techniques[detection rules for techique],MATCH(S159,techniques[name],0))&gt;=1,INDEX(techniques[detection rules for techique],MATCH(S159,techniques[name],0)),""),"")</f>
        <v/>
      </c>
      <c r="U159" s="45" t="n"/>
      <c r="V159" s="54">
        <f t="array" ref="V159">IF(U159&lt;&gt;"",IF(INDEX(techniques[detection rules for techique],MATCH(U159,techniques[name],0))&gt;=1,INDEX(techniques[detection rules for techique],MATCH(U159,techniques[name],0)),""),"")</f>
        <v/>
      </c>
      <c r="W159" s="45" t="n"/>
      <c r="X159" s="54">
        <f t="array" ref="X159">IF(W159&lt;&gt;"",IF(INDEX(techniques[detection rules for techique],MATCH(W159,techniques[name],0))&gt;=1,INDEX(techniques[detection rules for techique],MATCH(W159,techniques[name],0)),""),"")</f>
        <v/>
      </c>
      <c r="Y159" s="45" t="n"/>
      <c r="Z159" s="54">
        <f t="array" ref="Z159">IF(Y159&lt;&gt;"",IF(INDEX(techniques[detection rules for techique],MATCH(Y159,techniques[name],0))&gt;=1,INDEX(techniques[detection rules for techique],MATCH(Y159,techniques[name],0)),""),"")</f>
        <v/>
      </c>
      <c r="AA159" s="45" t="n"/>
      <c r="AB159" s="54">
        <f t="array" ref="AB159">IF(AA159&lt;&gt;"",IF(INDEX(techniques[detection rules for techique],MATCH(AA159,techniques[name],0))&gt;=1,INDEX(techniques[detection rules for techique],MATCH(AA159,techniques[name],0)),""),"")</f>
        <v/>
      </c>
      <c r="AC159" s="45" t="n"/>
      <c r="AD159" s="54">
        <f t="array" ref="AD159">IF(AC159&lt;&gt;"",IF(INDEX(techniques[detection rules for techique],MATCH(AC159,techniques[name],0))&gt;=1,INDEX(techniques[detection rules for techique],MATCH(AC159,techniques[name],0)),""),"")</f>
        <v/>
      </c>
    </row>
    <row r="160" ht="33.75" customHeight="1">
      <c r="A160" s="45" t="n"/>
      <c r="B160" s="54">
        <f t="array" ref="B160">IF(A160&lt;&gt;"",IF(INDEX(techniques[detection rules for techique],MATCH(A160,techniques[name],0))&gt;=1,INDEX(techniques[detection rules for techique],MATCH(A160,techniques[name],0)),""),"")</f>
        <v/>
      </c>
      <c r="C160" s="45" t="n"/>
      <c r="D160" s="54">
        <f t="array" ref="D160">IF(C160&lt;&gt;"",IF(INDEX(techniques[detection rules for techique],MATCH(C160,techniques[name],0))&gt;=1,INDEX(techniques[detection rules for techique],MATCH(C160,techniques[name],0)),""),"")</f>
        <v/>
      </c>
      <c r="E160" s="45" t="n"/>
      <c r="F160" s="54">
        <f t="array" ref="F160">IF(E160&lt;&gt;"",IF(INDEX(techniques[detection rules for techique],MATCH(E160,techniques[name],0))&gt;=1,INDEX(techniques[detection rules for techique],MATCH(E160,techniques[name],0)),""),"")</f>
        <v/>
      </c>
      <c r="G160" s="45" t="n"/>
      <c r="H160" s="54">
        <f t="array" ref="H160">IF(G160&lt;&gt;"",IF(INDEX(techniques[detection rules for techique],MATCH(G160,techniques[name],0))&gt;=1,INDEX(techniques[detection rules for techique],MATCH(G160,techniques[name],0)),""),"")</f>
        <v/>
      </c>
      <c r="I160" s="45" t="n"/>
      <c r="J160" s="54">
        <f t="array" ref="J160">IF(I160&lt;&gt;"",IF(INDEX(techniques[detection rules for techique],MATCH(I160,techniques[name],0))&gt;=1,INDEX(techniques[detection rules for techique],MATCH(I160,techniques[name],0)),""),"")</f>
        <v/>
      </c>
      <c r="K160" s="45" t="n"/>
      <c r="L160" s="54">
        <f t="array" ref="L160">IF(K160&lt;&gt;"",IF(INDEX(techniques[detection rules for techique],MATCH(K160,techniques[name],0))&gt;=1,INDEX(techniques[detection rules for techique],MATCH(K160,techniques[name],0)),""),"")</f>
        <v/>
      </c>
      <c r="M160" s="45" t="n"/>
      <c r="N160" s="54">
        <f t="array" ref="N160">IF(M160&lt;&gt;"",IF(INDEX(techniques[detection rules for techique],MATCH(M160,techniques[name],0))&gt;=1,INDEX(techniques[detection rules for techique],MATCH(M160,techniques[name],0)),""),"")</f>
        <v/>
      </c>
      <c r="O160" s="45" t="n"/>
      <c r="P160" s="54">
        <f t="array" ref="P160">IF(O160&lt;&gt;"",IF(INDEX(techniques[detection rules for techique],MATCH(O160,techniques[name],0))&gt;=1,INDEX(techniques[detection rules for techique],MATCH(O160,techniques[name],0)),""),"")</f>
        <v/>
      </c>
      <c r="Q160" s="45" t="n"/>
      <c r="R160" s="54">
        <f t="array" ref="R160">IF(Q160&lt;&gt;"",IF(INDEX(techniques[detection rules for techique],MATCH(Q160,techniques[name],0))&gt;=1,INDEX(techniques[detection rules for techique],MATCH(Q160,techniques[name],0)),""),"")</f>
        <v/>
      </c>
      <c r="S160" s="45" t="n"/>
      <c r="T160" s="54">
        <f t="array" ref="T160">IF(S160&lt;&gt;"",IF(INDEX(techniques[detection rules for techique],MATCH(S160,techniques[name],0))&gt;=1,INDEX(techniques[detection rules for techique],MATCH(S160,techniques[name],0)),""),"")</f>
        <v/>
      </c>
      <c r="U160" s="45" t="n"/>
      <c r="V160" s="54">
        <f t="array" ref="V160">IF(U160&lt;&gt;"",IF(INDEX(techniques[detection rules for techique],MATCH(U160,techniques[name],0))&gt;=1,INDEX(techniques[detection rules for techique],MATCH(U160,techniques[name],0)),""),"")</f>
        <v/>
      </c>
      <c r="W160" s="45" t="n"/>
      <c r="X160" s="54">
        <f t="array" ref="X160">IF(W160&lt;&gt;"",IF(INDEX(techniques[detection rules for techique],MATCH(W160,techniques[name],0))&gt;=1,INDEX(techniques[detection rules for techique],MATCH(W160,techniques[name],0)),""),"")</f>
        <v/>
      </c>
      <c r="Y160" s="45" t="n"/>
      <c r="Z160" s="54">
        <f t="array" ref="Z160">IF(Y160&lt;&gt;"",IF(INDEX(techniques[detection rules for techique],MATCH(Y160,techniques[name],0))&gt;=1,INDEX(techniques[detection rules for techique],MATCH(Y160,techniques[name],0)),""),"")</f>
        <v/>
      </c>
      <c r="AA160" s="45" t="n"/>
      <c r="AB160" s="54">
        <f t="array" ref="AB160">IF(AA160&lt;&gt;"",IF(INDEX(techniques[detection rules for techique],MATCH(AA160,techniques[name],0))&gt;=1,INDEX(techniques[detection rules for techique],MATCH(AA160,techniques[name],0)),""),"")</f>
        <v/>
      </c>
      <c r="AC160" s="45" t="n"/>
      <c r="AD160" s="54">
        <f t="array" ref="AD160">IF(AC160&lt;&gt;"",IF(INDEX(techniques[detection rules for techique],MATCH(AC160,techniques[name],0))&gt;=1,INDEX(techniques[detection rules for techique],MATCH(AC160,techniques[name],0)),""),"")</f>
        <v/>
      </c>
    </row>
    <row r="161">
      <c r="A161" s="45" t="n"/>
      <c r="B161" s="54">
        <f t="array" ref="B161">IF(A161&lt;&gt;"",IF(INDEX(techniques[detection rules for techique],MATCH(A161,techniques[name],0))&gt;=1,INDEX(techniques[detection rules for techique],MATCH(A161,techniques[name],0)),""),"")</f>
        <v/>
      </c>
      <c r="C161" s="45" t="n"/>
      <c r="D161" s="54">
        <f t="array" ref="D161">IF(C161&lt;&gt;"",IF(INDEX(techniques[detection rules for techique],MATCH(C161,techniques[name],0))&gt;=1,INDEX(techniques[detection rules for techique],MATCH(C161,techniques[name],0)),""),"")</f>
        <v/>
      </c>
      <c r="E161" s="45" t="n"/>
      <c r="F161" s="54">
        <f t="array" ref="F161">IF(E161&lt;&gt;"",IF(INDEX(techniques[detection rules for techique],MATCH(E161,techniques[name],0))&gt;=1,INDEX(techniques[detection rules for techique],MATCH(E161,techniques[name],0)),""),"")</f>
        <v/>
      </c>
      <c r="G161" s="45" t="n"/>
      <c r="H161" s="54">
        <f t="array" ref="H161">IF(G161&lt;&gt;"",IF(INDEX(techniques[detection rules for techique],MATCH(G161,techniques[name],0))&gt;=1,INDEX(techniques[detection rules for techique],MATCH(G161,techniques[name],0)),""),"")</f>
        <v/>
      </c>
      <c r="I161" s="45" t="n"/>
      <c r="J161" s="54">
        <f t="array" ref="J161">IF(I161&lt;&gt;"",IF(INDEX(techniques[detection rules for techique],MATCH(I161,techniques[name],0))&gt;=1,INDEX(techniques[detection rules for techique],MATCH(I161,techniques[name],0)),""),"")</f>
        <v/>
      </c>
      <c r="K161" s="45" t="n"/>
      <c r="L161" s="54">
        <f t="array" ref="L161">IF(K161&lt;&gt;"",IF(INDEX(techniques[detection rules for techique],MATCH(K161,techniques[name],0))&gt;=1,INDEX(techniques[detection rules for techique],MATCH(K161,techniques[name],0)),""),"")</f>
        <v/>
      </c>
      <c r="M161" s="45" t="n"/>
      <c r="N161" s="54">
        <f t="array" ref="N161">IF(M161&lt;&gt;"",IF(INDEX(techniques[detection rules for techique],MATCH(M161,techniques[name],0))&gt;=1,INDEX(techniques[detection rules for techique],MATCH(M161,techniques[name],0)),""),"")</f>
        <v/>
      </c>
      <c r="O161" s="45" t="n"/>
      <c r="P161" s="54">
        <f t="array" ref="P161">IF(O161&lt;&gt;"",IF(INDEX(techniques[detection rules for techique],MATCH(O161,techniques[name],0))&gt;=1,INDEX(techniques[detection rules for techique],MATCH(O161,techniques[name],0)),""),"")</f>
        <v/>
      </c>
      <c r="Q161" s="45" t="n"/>
      <c r="R161" s="54">
        <f t="array" ref="R161">IF(Q161&lt;&gt;"",IF(INDEX(techniques[detection rules for techique],MATCH(Q161,techniques[name],0))&gt;=1,INDEX(techniques[detection rules for techique],MATCH(Q161,techniques[name],0)),""),"")</f>
        <v/>
      </c>
      <c r="S161" s="45" t="n"/>
      <c r="T161" s="54">
        <f t="array" ref="T161">IF(S161&lt;&gt;"",IF(INDEX(techniques[detection rules for techique],MATCH(S161,techniques[name],0))&gt;=1,INDEX(techniques[detection rules for techique],MATCH(S161,techniques[name],0)),""),"")</f>
        <v/>
      </c>
      <c r="U161" s="45" t="n"/>
      <c r="V161" s="54">
        <f t="array" ref="V161">IF(U161&lt;&gt;"",IF(INDEX(techniques[detection rules for techique],MATCH(U161,techniques[name],0))&gt;=1,INDEX(techniques[detection rules for techique],MATCH(U161,techniques[name],0)),""),"")</f>
        <v/>
      </c>
      <c r="W161" s="45" t="n"/>
      <c r="X161" s="54">
        <f t="array" ref="X161">IF(W161&lt;&gt;"",IF(INDEX(techniques[detection rules for techique],MATCH(W161,techniques[name],0))&gt;=1,INDEX(techniques[detection rules for techique],MATCH(W161,techniques[name],0)),""),"")</f>
        <v/>
      </c>
      <c r="Y161" s="45" t="n"/>
      <c r="Z161" s="54">
        <f t="array" ref="Z161">IF(Y161&lt;&gt;"",IF(INDEX(techniques[detection rules for techique],MATCH(Y161,techniques[name],0))&gt;=1,INDEX(techniques[detection rules for techique],MATCH(Y161,techniques[name],0)),""),"")</f>
        <v/>
      </c>
      <c r="AA161" s="45" t="n"/>
      <c r="AB161" s="54">
        <f t="array" ref="AB161">IF(AA161&lt;&gt;"",IF(INDEX(techniques[detection rules for techique],MATCH(AA161,techniques[name],0))&gt;=1,INDEX(techniques[detection rules for techique],MATCH(AA161,techniques[name],0)),""),"")</f>
        <v/>
      </c>
      <c r="AC161" s="45" t="n"/>
      <c r="AD161" s="54">
        <f t="array" ref="AD161">IF(AC161&lt;&gt;"",IF(INDEX(techniques[detection rules for techique],MATCH(AC161,techniques[name],0))&gt;=1,INDEX(techniques[detection rules for techique],MATCH(AC161,techniques[name],0)),""),"")</f>
        <v/>
      </c>
    </row>
    <row r="162" ht="22.5" customHeight="1">
      <c r="A162" s="45" t="n"/>
      <c r="B162" s="54">
        <f t="array" ref="B162">IF(A162&lt;&gt;"",IF(INDEX(techniques[detection rules for techique],MATCH(A162,techniques[name],0))&gt;=1,INDEX(techniques[detection rules for techique],MATCH(A162,techniques[name],0)),""),"")</f>
        <v/>
      </c>
      <c r="C162" s="45" t="n"/>
      <c r="D162" s="54">
        <f t="array" ref="D162">IF(C162&lt;&gt;"",IF(INDEX(techniques[detection rules for techique],MATCH(C162,techniques[name],0))&gt;=1,INDEX(techniques[detection rules for techique],MATCH(C162,techniques[name],0)),""),"")</f>
        <v/>
      </c>
      <c r="E162" s="45" t="n"/>
      <c r="F162" s="54">
        <f t="array" ref="F162">IF(E162&lt;&gt;"",IF(INDEX(techniques[detection rules for techique],MATCH(E162,techniques[name],0))&gt;=1,INDEX(techniques[detection rules for techique],MATCH(E162,techniques[name],0)),""),"")</f>
        <v/>
      </c>
      <c r="G162" s="45" t="n"/>
      <c r="H162" s="54">
        <f t="array" ref="H162">IF(G162&lt;&gt;"",IF(INDEX(techniques[detection rules for techique],MATCH(G162,techniques[name],0))&gt;=1,INDEX(techniques[detection rules for techique],MATCH(G162,techniques[name],0)),""),"")</f>
        <v/>
      </c>
      <c r="I162" s="45" t="n"/>
      <c r="J162" s="54">
        <f t="array" ref="J162">IF(I162&lt;&gt;"",IF(INDEX(techniques[detection rules for techique],MATCH(I162,techniques[name],0))&gt;=1,INDEX(techniques[detection rules for techique],MATCH(I162,techniques[name],0)),""),"")</f>
        <v/>
      </c>
      <c r="K162" s="45" t="n"/>
      <c r="L162" s="54">
        <f t="array" ref="L162">IF(K162&lt;&gt;"",IF(INDEX(techniques[detection rules for techique],MATCH(K162,techniques[name],0))&gt;=1,INDEX(techniques[detection rules for techique],MATCH(K162,techniques[name],0)),""),"")</f>
        <v/>
      </c>
      <c r="M162" s="45" t="n"/>
      <c r="N162" s="54">
        <f t="array" ref="N162">IF(M162&lt;&gt;"",IF(INDEX(techniques[detection rules for techique],MATCH(M162,techniques[name],0))&gt;=1,INDEX(techniques[detection rules for techique],MATCH(M162,techniques[name],0)),""),"")</f>
        <v/>
      </c>
      <c r="O162" s="45" t="n"/>
      <c r="P162" s="54">
        <f t="array" ref="P162">IF(O162&lt;&gt;"",IF(INDEX(techniques[detection rules for techique],MATCH(O162,techniques[name],0))&gt;=1,INDEX(techniques[detection rules for techique],MATCH(O162,techniques[name],0)),""),"")</f>
        <v/>
      </c>
      <c r="Q162" s="45" t="n"/>
      <c r="R162" s="54">
        <f t="array" ref="R162">IF(Q162&lt;&gt;"",IF(INDEX(techniques[detection rules for techique],MATCH(Q162,techniques[name],0))&gt;=1,INDEX(techniques[detection rules for techique],MATCH(Q162,techniques[name],0)),""),"")</f>
        <v/>
      </c>
      <c r="S162" s="45" t="n"/>
      <c r="T162" s="54">
        <f t="array" ref="T162">IF(S162&lt;&gt;"",IF(INDEX(techniques[detection rules for techique],MATCH(S162,techniques[name],0))&gt;=1,INDEX(techniques[detection rules for techique],MATCH(S162,techniques[name],0)),""),"")</f>
        <v/>
      </c>
      <c r="U162" s="45" t="n"/>
      <c r="V162" s="54">
        <f t="array" ref="V162">IF(U162&lt;&gt;"",IF(INDEX(techniques[detection rules for techique],MATCH(U162,techniques[name],0))&gt;=1,INDEX(techniques[detection rules for techique],MATCH(U162,techniques[name],0)),""),"")</f>
        <v/>
      </c>
      <c r="W162" s="45" t="n"/>
      <c r="X162" s="54">
        <f t="array" ref="X162">IF(W162&lt;&gt;"",IF(INDEX(techniques[detection rules for techique],MATCH(W162,techniques[name],0))&gt;=1,INDEX(techniques[detection rules for techique],MATCH(W162,techniques[name],0)),""),"")</f>
        <v/>
      </c>
      <c r="Y162" s="45" t="n"/>
      <c r="Z162" s="54">
        <f t="array" ref="Z162">IF(Y162&lt;&gt;"",IF(INDEX(techniques[detection rules for techique],MATCH(Y162,techniques[name],0))&gt;=1,INDEX(techniques[detection rules for techique],MATCH(Y162,techniques[name],0)),""),"")</f>
        <v/>
      </c>
      <c r="AA162" s="45" t="n"/>
      <c r="AB162" s="54">
        <f t="array" ref="AB162">IF(AA162&lt;&gt;"",IF(INDEX(techniques[detection rules for techique],MATCH(AA162,techniques[name],0))&gt;=1,INDEX(techniques[detection rules for techique],MATCH(AA162,techniques[name],0)),""),"")</f>
        <v/>
      </c>
      <c r="AC162" s="45" t="n"/>
      <c r="AD162" s="54">
        <f t="array" ref="AD162">IF(AC162&lt;&gt;"",IF(INDEX(techniques[detection rules for techique],MATCH(AC162,techniques[name],0))&gt;=1,INDEX(techniques[detection rules for techique],MATCH(AC162,techniques[name],0)),""),"")</f>
        <v/>
      </c>
    </row>
    <row r="163" ht="22.5" customHeight="1">
      <c r="A163" s="45" t="n"/>
      <c r="B163" s="54">
        <f t="array" ref="B163">IF(A163&lt;&gt;"",IF(INDEX(techniques[detection rules for techique],MATCH(A163,techniques[name],0))&gt;=1,INDEX(techniques[detection rules for techique],MATCH(A163,techniques[name],0)),""),"")</f>
        <v/>
      </c>
      <c r="C163" s="45" t="n"/>
      <c r="D163" s="54">
        <f t="array" ref="D163">IF(C163&lt;&gt;"",IF(INDEX(techniques[detection rules for techique],MATCH(C163,techniques[name],0))&gt;=1,INDEX(techniques[detection rules for techique],MATCH(C163,techniques[name],0)),""),"")</f>
        <v/>
      </c>
      <c r="E163" s="45" t="n"/>
      <c r="F163" s="54">
        <f t="array" ref="F163">IF(E163&lt;&gt;"",IF(INDEX(techniques[detection rules for techique],MATCH(E163,techniques[name],0))&gt;=1,INDEX(techniques[detection rules for techique],MATCH(E163,techniques[name],0)),""),"")</f>
        <v/>
      </c>
      <c r="G163" s="45" t="n"/>
      <c r="H163" s="54">
        <f t="array" ref="H163">IF(G163&lt;&gt;"",IF(INDEX(techniques[detection rules for techique],MATCH(G163,techniques[name],0))&gt;=1,INDEX(techniques[detection rules for techique],MATCH(G163,techniques[name],0)),""),"")</f>
        <v/>
      </c>
      <c r="I163" s="45" t="n"/>
      <c r="J163" s="54">
        <f t="array" ref="J163">IF(I163&lt;&gt;"",IF(INDEX(techniques[detection rules for techique],MATCH(I163,techniques[name],0))&gt;=1,INDEX(techniques[detection rules for techique],MATCH(I163,techniques[name],0)),""),"")</f>
        <v/>
      </c>
      <c r="K163" s="45" t="n"/>
      <c r="L163" s="54">
        <f t="array" ref="L163">IF(K163&lt;&gt;"",IF(INDEX(techniques[detection rules for techique],MATCH(K163,techniques[name],0))&gt;=1,INDEX(techniques[detection rules for techique],MATCH(K163,techniques[name],0)),""),"")</f>
        <v/>
      </c>
      <c r="M163" s="45" t="n"/>
      <c r="N163" s="54">
        <f t="array" ref="N163">IF(M163&lt;&gt;"",IF(INDEX(techniques[detection rules for techique],MATCH(M163,techniques[name],0))&gt;=1,INDEX(techniques[detection rules for techique],MATCH(M163,techniques[name],0)),""),"")</f>
        <v/>
      </c>
      <c r="O163" s="45" t="n"/>
      <c r="P163" s="54">
        <f t="array" ref="P163">IF(O163&lt;&gt;"",IF(INDEX(techniques[detection rules for techique],MATCH(O163,techniques[name],0))&gt;=1,INDEX(techniques[detection rules for techique],MATCH(O163,techniques[name],0)),""),"")</f>
        <v/>
      </c>
      <c r="Q163" s="45" t="n"/>
      <c r="R163" s="54">
        <f t="array" ref="R163">IF(Q163&lt;&gt;"",IF(INDEX(techniques[detection rules for techique],MATCH(Q163,techniques[name],0))&gt;=1,INDEX(techniques[detection rules for techique],MATCH(Q163,techniques[name],0)),""),"")</f>
        <v/>
      </c>
      <c r="S163" s="45" t="n"/>
      <c r="T163" s="54">
        <f t="array" ref="T163">IF(S163&lt;&gt;"",IF(INDEX(techniques[detection rules for techique],MATCH(S163,techniques[name],0))&gt;=1,INDEX(techniques[detection rules for techique],MATCH(S163,techniques[name],0)),""),"")</f>
        <v/>
      </c>
      <c r="U163" s="45" t="n"/>
      <c r="V163" s="54">
        <f t="array" ref="V163">IF(U163&lt;&gt;"",IF(INDEX(techniques[detection rules for techique],MATCH(U163,techniques[name],0))&gt;=1,INDEX(techniques[detection rules for techique],MATCH(U163,techniques[name],0)),""),"")</f>
        <v/>
      </c>
      <c r="W163" s="45" t="n"/>
      <c r="X163" s="54">
        <f t="array" ref="X163">IF(W163&lt;&gt;"",IF(INDEX(techniques[detection rules for techique],MATCH(W163,techniques[name],0))&gt;=1,INDEX(techniques[detection rules for techique],MATCH(W163,techniques[name],0)),""),"")</f>
        <v/>
      </c>
      <c r="Y163" s="45" t="n"/>
      <c r="Z163" s="54">
        <f t="array" ref="Z163">IF(Y163&lt;&gt;"",IF(INDEX(techniques[detection rules for techique],MATCH(Y163,techniques[name],0))&gt;=1,INDEX(techniques[detection rules for techique],MATCH(Y163,techniques[name],0)),""),"")</f>
        <v/>
      </c>
      <c r="AA163" s="45" t="n"/>
      <c r="AB163" s="54">
        <f t="array" ref="AB163">IF(AA163&lt;&gt;"",IF(INDEX(techniques[detection rules for techique],MATCH(AA163,techniques[name],0))&gt;=1,INDEX(techniques[detection rules for techique],MATCH(AA163,techniques[name],0)),""),"")</f>
        <v/>
      </c>
      <c r="AC163" s="45" t="n"/>
      <c r="AD163" s="54">
        <f t="array" ref="AD163">IF(AC163&lt;&gt;"",IF(INDEX(techniques[detection rules for techique],MATCH(AC163,techniques[name],0))&gt;=1,INDEX(techniques[detection rules for techique],MATCH(AC163,techniques[name],0)),""),"")</f>
        <v/>
      </c>
    </row>
    <row r="164" ht="22.5" customHeight="1">
      <c r="A164" s="45" t="n"/>
      <c r="B164" s="54">
        <f t="array" ref="B164">IF(A164&lt;&gt;"",IF(INDEX(techniques[detection rules for techique],MATCH(A164,techniques[name],0))&gt;=1,INDEX(techniques[detection rules for techique],MATCH(A164,techniques[name],0)),""),"")</f>
        <v/>
      </c>
      <c r="C164" s="45" t="n"/>
      <c r="D164" s="54">
        <f t="array" ref="D164">IF(C164&lt;&gt;"",IF(INDEX(techniques[detection rules for techique],MATCH(C164,techniques[name],0))&gt;=1,INDEX(techniques[detection rules for techique],MATCH(C164,techniques[name],0)),""),"")</f>
        <v/>
      </c>
      <c r="E164" s="45" t="n"/>
      <c r="F164" s="54">
        <f t="array" ref="F164">IF(E164&lt;&gt;"",IF(INDEX(techniques[detection rules for techique],MATCH(E164,techniques[name],0))&gt;=1,INDEX(techniques[detection rules for techique],MATCH(E164,techniques[name],0)),""),"")</f>
        <v/>
      </c>
      <c r="G164" s="45" t="n"/>
      <c r="H164" s="54">
        <f t="array" ref="H164">IF(G164&lt;&gt;"",IF(INDEX(techniques[detection rules for techique],MATCH(G164,techniques[name],0))&gt;=1,INDEX(techniques[detection rules for techique],MATCH(G164,techniques[name],0)),""),"")</f>
        <v/>
      </c>
      <c r="I164" s="45" t="n"/>
      <c r="J164" s="54">
        <f t="array" ref="J164">IF(I164&lt;&gt;"",IF(INDEX(techniques[detection rules for techique],MATCH(I164,techniques[name],0))&gt;=1,INDEX(techniques[detection rules for techique],MATCH(I164,techniques[name],0)),""),"")</f>
        <v/>
      </c>
      <c r="K164" s="45" t="n"/>
      <c r="L164" s="54">
        <f t="array" ref="L164">IF(K164&lt;&gt;"",IF(INDEX(techniques[detection rules for techique],MATCH(K164,techniques[name],0))&gt;=1,INDEX(techniques[detection rules for techique],MATCH(K164,techniques[name],0)),""),"")</f>
        <v/>
      </c>
      <c r="M164" s="45" t="n"/>
      <c r="N164" s="54">
        <f t="array" ref="N164">IF(M164&lt;&gt;"",IF(INDEX(techniques[detection rules for techique],MATCH(M164,techniques[name],0))&gt;=1,INDEX(techniques[detection rules for techique],MATCH(M164,techniques[name],0)),""),"")</f>
        <v/>
      </c>
      <c r="O164" s="45" t="n"/>
      <c r="P164" s="54">
        <f t="array" ref="P164">IF(O164&lt;&gt;"",IF(INDEX(techniques[detection rules for techique],MATCH(O164,techniques[name],0))&gt;=1,INDEX(techniques[detection rules for techique],MATCH(O164,techniques[name],0)),""),"")</f>
        <v/>
      </c>
      <c r="Q164" s="45" t="n"/>
      <c r="R164" s="54">
        <f t="array" ref="R164">IF(Q164&lt;&gt;"",IF(INDEX(techniques[detection rules for techique],MATCH(Q164,techniques[name],0))&gt;=1,INDEX(techniques[detection rules for techique],MATCH(Q164,techniques[name],0)),""),"")</f>
        <v/>
      </c>
      <c r="S164" s="45" t="n"/>
      <c r="T164" s="54">
        <f t="array" ref="T164">IF(S164&lt;&gt;"",IF(INDEX(techniques[detection rules for techique],MATCH(S164,techniques[name],0))&gt;=1,INDEX(techniques[detection rules for techique],MATCH(S164,techniques[name],0)),""),"")</f>
        <v/>
      </c>
      <c r="U164" s="45" t="n"/>
      <c r="V164" s="54">
        <f t="array" ref="V164">IF(U164&lt;&gt;"",IF(INDEX(techniques[detection rules for techique],MATCH(U164,techniques[name],0))&gt;=1,INDEX(techniques[detection rules for techique],MATCH(U164,techniques[name],0)),""),"")</f>
        <v/>
      </c>
      <c r="W164" s="45" t="n"/>
      <c r="X164" s="54">
        <f t="array" ref="X164">IF(W164&lt;&gt;"",IF(INDEX(techniques[detection rules for techique],MATCH(W164,techniques[name],0))&gt;=1,INDEX(techniques[detection rules for techique],MATCH(W164,techniques[name],0)),""),"")</f>
        <v/>
      </c>
      <c r="Y164" s="45" t="n"/>
      <c r="Z164" s="54">
        <f t="array" ref="Z164">IF(Y164&lt;&gt;"",IF(INDEX(techniques[detection rules for techique],MATCH(Y164,techniques[name],0))&gt;=1,INDEX(techniques[detection rules for techique],MATCH(Y164,techniques[name],0)),""),"")</f>
        <v/>
      </c>
      <c r="AA164" s="45" t="n"/>
      <c r="AB164" s="54">
        <f t="array" ref="AB164">IF(AA164&lt;&gt;"",IF(INDEX(techniques[detection rules for techique],MATCH(AA164,techniques[name],0))&gt;=1,INDEX(techniques[detection rules for techique],MATCH(AA164,techniques[name],0)),""),"")</f>
        <v/>
      </c>
      <c r="AC164" s="45" t="n"/>
      <c r="AD164" s="54">
        <f t="array" ref="AD164">IF(AC164&lt;&gt;"",IF(INDEX(techniques[detection rules for techique],MATCH(AC164,techniques[name],0))&gt;=1,INDEX(techniques[detection rules for techique],MATCH(AC164,techniques[name],0)),""),"")</f>
        <v/>
      </c>
    </row>
    <row r="165" ht="22.5" customHeight="1">
      <c r="A165" s="45" t="n"/>
      <c r="B165" s="54">
        <f t="array" ref="B165">IF(A165&lt;&gt;"",IF(INDEX(techniques[detection rules for techique],MATCH(A165,techniques[name],0))&gt;=1,INDEX(techniques[detection rules for techique],MATCH(A165,techniques[name],0)),""),"")</f>
        <v/>
      </c>
      <c r="C165" s="45" t="n"/>
      <c r="D165" s="54">
        <f t="array" ref="D165">IF(C165&lt;&gt;"",IF(INDEX(techniques[detection rules for techique],MATCH(C165,techniques[name],0))&gt;=1,INDEX(techniques[detection rules for techique],MATCH(C165,techniques[name],0)),""),"")</f>
        <v/>
      </c>
      <c r="E165" s="45" t="n"/>
      <c r="F165" s="54">
        <f t="array" ref="F165">IF(E165&lt;&gt;"",IF(INDEX(techniques[detection rules for techique],MATCH(E165,techniques[name],0))&gt;=1,INDEX(techniques[detection rules for techique],MATCH(E165,techniques[name],0)),""),"")</f>
        <v/>
      </c>
      <c r="G165" s="45" t="n"/>
      <c r="H165" s="54">
        <f t="array" ref="H165">IF(G165&lt;&gt;"",IF(INDEX(techniques[detection rules for techique],MATCH(G165,techniques[name],0))&gt;=1,INDEX(techniques[detection rules for techique],MATCH(G165,techniques[name],0)),""),"")</f>
        <v/>
      </c>
      <c r="I165" s="45" t="n"/>
      <c r="J165" s="54">
        <f t="array" ref="J165">IF(I165&lt;&gt;"",IF(INDEX(techniques[detection rules for techique],MATCH(I165,techniques[name],0))&gt;=1,INDEX(techniques[detection rules for techique],MATCH(I165,techniques[name],0)),""),"")</f>
        <v/>
      </c>
      <c r="K165" s="45" t="n"/>
      <c r="L165" s="54">
        <f t="array" ref="L165">IF(K165&lt;&gt;"",IF(INDEX(techniques[detection rules for techique],MATCH(K165,techniques[name],0))&gt;=1,INDEX(techniques[detection rules for techique],MATCH(K165,techniques[name],0)),""),"")</f>
        <v/>
      </c>
      <c r="M165" s="45" t="n"/>
      <c r="N165" s="54">
        <f t="array" ref="N165">IF(M165&lt;&gt;"",IF(INDEX(techniques[detection rules for techique],MATCH(M165,techniques[name],0))&gt;=1,INDEX(techniques[detection rules for techique],MATCH(M165,techniques[name],0)),""),"")</f>
        <v/>
      </c>
      <c r="O165" s="45" t="n"/>
      <c r="P165" s="54">
        <f t="array" ref="P165">IF(O165&lt;&gt;"",IF(INDEX(techniques[detection rules for techique],MATCH(O165,techniques[name],0))&gt;=1,INDEX(techniques[detection rules for techique],MATCH(O165,techniques[name],0)),""),"")</f>
        <v/>
      </c>
      <c r="Q165" s="45" t="n"/>
      <c r="R165" s="54">
        <f t="array" ref="R165">IF(Q165&lt;&gt;"",IF(INDEX(techniques[detection rules for techique],MATCH(Q165,techniques[name],0))&gt;=1,INDEX(techniques[detection rules for techique],MATCH(Q165,techniques[name],0)),""),"")</f>
        <v/>
      </c>
      <c r="S165" s="45" t="n"/>
      <c r="T165" s="54">
        <f t="array" ref="T165">IF(S165&lt;&gt;"",IF(INDEX(techniques[detection rules for techique],MATCH(S165,techniques[name],0))&gt;=1,INDEX(techniques[detection rules for techique],MATCH(S165,techniques[name],0)),""),"")</f>
        <v/>
      </c>
      <c r="U165" s="45" t="n"/>
      <c r="V165" s="54">
        <f t="array" ref="V165">IF(U165&lt;&gt;"",IF(INDEX(techniques[detection rules for techique],MATCH(U165,techniques[name],0))&gt;=1,INDEX(techniques[detection rules for techique],MATCH(U165,techniques[name],0)),""),"")</f>
        <v/>
      </c>
      <c r="W165" s="45" t="n"/>
      <c r="X165" s="54">
        <f t="array" ref="X165">IF(W165&lt;&gt;"",IF(INDEX(techniques[detection rules for techique],MATCH(W165,techniques[name],0))&gt;=1,INDEX(techniques[detection rules for techique],MATCH(W165,techniques[name],0)),""),"")</f>
        <v/>
      </c>
      <c r="Y165" s="45" t="n"/>
      <c r="Z165" s="54">
        <f t="array" ref="Z165">IF(Y165&lt;&gt;"",IF(INDEX(techniques[detection rules for techique],MATCH(Y165,techniques[name],0))&gt;=1,INDEX(techniques[detection rules for techique],MATCH(Y165,techniques[name],0)),""),"")</f>
        <v/>
      </c>
      <c r="AA165" s="45" t="n"/>
      <c r="AB165" s="54">
        <f t="array" ref="AB165">IF(AA165&lt;&gt;"",IF(INDEX(techniques[detection rules for techique],MATCH(AA165,techniques[name],0))&gt;=1,INDEX(techniques[detection rules for techique],MATCH(AA165,techniques[name],0)),""),"")</f>
        <v/>
      </c>
      <c r="AC165" s="45" t="n"/>
      <c r="AD165" s="54">
        <f t="array" ref="AD165">IF(AC165&lt;&gt;"",IF(INDEX(techniques[detection rules for techique],MATCH(AC165,techniques[name],0))&gt;=1,INDEX(techniques[detection rules for techique],MATCH(AC165,techniques[name],0)),""),"")</f>
        <v/>
      </c>
    </row>
    <row r="166" ht="22.5" customHeight="1">
      <c r="A166" s="45" t="n"/>
      <c r="B166" s="54">
        <f t="array" ref="B166">IF(A166&lt;&gt;"",IF(INDEX(techniques[detection rules for techique],MATCH(A166,techniques[name],0))&gt;=1,INDEX(techniques[detection rules for techique],MATCH(A166,techniques[name],0)),""),"")</f>
        <v/>
      </c>
      <c r="C166" s="45" t="n"/>
      <c r="D166" s="54">
        <f t="array" ref="D166">IF(C166&lt;&gt;"",IF(INDEX(techniques[detection rules for techique],MATCH(C166,techniques[name],0))&gt;=1,INDEX(techniques[detection rules for techique],MATCH(C166,techniques[name],0)),""),"")</f>
        <v/>
      </c>
      <c r="E166" s="45" t="n"/>
      <c r="F166" s="54">
        <f t="array" ref="F166">IF(E166&lt;&gt;"",IF(INDEX(techniques[detection rules for techique],MATCH(E166,techniques[name],0))&gt;=1,INDEX(techniques[detection rules for techique],MATCH(E166,techniques[name],0)),""),"")</f>
        <v/>
      </c>
      <c r="G166" s="45" t="n"/>
      <c r="H166" s="54">
        <f t="array" ref="H166">IF(G166&lt;&gt;"",IF(INDEX(techniques[detection rules for techique],MATCH(G166,techniques[name],0))&gt;=1,INDEX(techniques[detection rules for techique],MATCH(G166,techniques[name],0)),""),"")</f>
        <v/>
      </c>
      <c r="I166" s="45" t="n"/>
      <c r="J166" s="54">
        <f t="array" ref="J166">IF(I166&lt;&gt;"",IF(INDEX(techniques[detection rules for techique],MATCH(I166,techniques[name],0))&gt;=1,INDEX(techniques[detection rules for techique],MATCH(I166,techniques[name],0)),""),"")</f>
        <v/>
      </c>
      <c r="K166" s="45" t="n"/>
      <c r="L166" s="54">
        <f t="array" ref="L166">IF(K166&lt;&gt;"",IF(INDEX(techniques[detection rules for techique],MATCH(K166,techniques[name],0))&gt;=1,INDEX(techniques[detection rules for techique],MATCH(K166,techniques[name],0)),""),"")</f>
        <v/>
      </c>
      <c r="M166" s="45" t="n"/>
      <c r="N166" s="54">
        <f t="array" ref="N166">IF(M166&lt;&gt;"",IF(INDEX(techniques[detection rules for techique],MATCH(M166,techniques[name],0))&gt;=1,INDEX(techniques[detection rules for techique],MATCH(M166,techniques[name],0)),""),"")</f>
        <v/>
      </c>
      <c r="O166" s="45" t="n"/>
      <c r="P166" s="54">
        <f t="array" ref="P166">IF(O166&lt;&gt;"",IF(INDEX(techniques[detection rules for techique],MATCH(O166,techniques[name],0))&gt;=1,INDEX(techniques[detection rules for techique],MATCH(O166,techniques[name],0)),""),"")</f>
        <v/>
      </c>
      <c r="Q166" s="45" t="n"/>
      <c r="R166" s="54">
        <f t="array" ref="R166">IF(Q166&lt;&gt;"",IF(INDEX(techniques[detection rules for techique],MATCH(Q166,techniques[name],0))&gt;=1,INDEX(techniques[detection rules for techique],MATCH(Q166,techniques[name],0)),""),"")</f>
        <v/>
      </c>
      <c r="S166" s="45" t="n"/>
      <c r="T166" s="54">
        <f t="array" ref="T166">IF(S166&lt;&gt;"",IF(INDEX(techniques[detection rules for techique],MATCH(S166,techniques[name],0))&gt;=1,INDEX(techniques[detection rules for techique],MATCH(S166,techniques[name],0)),""),"")</f>
        <v/>
      </c>
      <c r="U166" s="45" t="n"/>
      <c r="V166" s="54">
        <f t="array" ref="V166">IF(U166&lt;&gt;"",IF(INDEX(techniques[detection rules for techique],MATCH(U166,techniques[name],0))&gt;=1,INDEX(techniques[detection rules for techique],MATCH(U166,techniques[name],0)),""),"")</f>
        <v/>
      </c>
      <c r="W166" s="45" t="n"/>
      <c r="X166" s="54">
        <f t="array" ref="X166">IF(W166&lt;&gt;"",IF(INDEX(techniques[detection rules for techique],MATCH(W166,techniques[name],0))&gt;=1,INDEX(techniques[detection rules for techique],MATCH(W166,techniques[name],0)),""),"")</f>
        <v/>
      </c>
      <c r="Y166" s="45" t="n"/>
      <c r="Z166" s="54">
        <f t="array" ref="Z166">IF(Y166&lt;&gt;"",IF(INDEX(techniques[detection rules for techique],MATCH(Y166,techniques[name],0))&gt;=1,INDEX(techniques[detection rules for techique],MATCH(Y166,techniques[name],0)),""),"")</f>
        <v/>
      </c>
      <c r="AA166" s="45" t="n"/>
      <c r="AB166" s="54">
        <f t="array" ref="AB166">IF(AA166&lt;&gt;"",IF(INDEX(techniques[detection rules for techique],MATCH(AA166,techniques[name],0))&gt;=1,INDEX(techniques[detection rules for techique],MATCH(AA166,techniques[name],0)),""),"")</f>
        <v/>
      </c>
      <c r="AC166" s="45" t="n"/>
      <c r="AD166" s="54">
        <f t="array" ref="AD166">IF(AC166&lt;&gt;"",IF(INDEX(techniques[detection rules for techique],MATCH(AC166,techniques[name],0))&gt;=1,INDEX(techniques[detection rules for techique],MATCH(AC166,techniques[name],0)),""),"")</f>
        <v/>
      </c>
    </row>
    <row r="167">
      <c r="A167" s="45" t="n"/>
      <c r="B167" s="54">
        <f t="array" ref="B167">IF(A167&lt;&gt;"",IF(INDEX(techniques[detection rules for techique],MATCH(A167,techniques[name],0))&gt;=1,INDEX(techniques[detection rules for techique],MATCH(A167,techniques[name],0)),""),"")</f>
        <v/>
      </c>
      <c r="C167" s="45" t="n"/>
      <c r="D167" s="54">
        <f t="array" ref="D167">IF(C167&lt;&gt;"",IF(INDEX(techniques[detection rules for techique],MATCH(C167,techniques[name],0))&gt;=1,INDEX(techniques[detection rules for techique],MATCH(C167,techniques[name],0)),""),"")</f>
        <v/>
      </c>
      <c r="E167" s="45" t="n"/>
      <c r="F167" s="54">
        <f t="array" ref="F167">IF(E167&lt;&gt;"",IF(INDEX(techniques[detection rules for techique],MATCH(E167,techniques[name],0))&gt;=1,INDEX(techniques[detection rules for techique],MATCH(E167,techniques[name],0)),""),"")</f>
        <v/>
      </c>
      <c r="G167" s="45" t="n"/>
      <c r="H167" s="54">
        <f t="array" ref="H167">IF(G167&lt;&gt;"",IF(INDEX(techniques[detection rules for techique],MATCH(G167,techniques[name],0))&gt;=1,INDEX(techniques[detection rules for techique],MATCH(G167,techniques[name],0)),""),"")</f>
        <v/>
      </c>
      <c r="I167" s="45" t="n"/>
      <c r="J167" s="54">
        <f t="array" ref="J167">IF(I167&lt;&gt;"",IF(INDEX(techniques[detection rules for techique],MATCH(I167,techniques[name],0))&gt;=1,INDEX(techniques[detection rules for techique],MATCH(I167,techniques[name],0)),""),"")</f>
        <v/>
      </c>
      <c r="K167" s="45" t="n"/>
      <c r="L167" s="54">
        <f t="array" ref="L167">IF(K167&lt;&gt;"",IF(INDEX(techniques[detection rules for techique],MATCH(K167,techniques[name],0))&gt;=1,INDEX(techniques[detection rules for techique],MATCH(K167,techniques[name],0)),""),"")</f>
        <v/>
      </c>
      <c r="M167" s="45" t="n"/>
      <c r="N167" s="54">
        <f t="array" ref="N167">IF(M167&lt;&gt;"",IF(INDEX(techniques[detection rules for techique],MATCH(M167,techniques[name],0))&gt;=1,INDEX(techniques[detection rules for techique],MATCH(M167,techniques[name],0)),""),"")</f>
        <v/>
      </c>
      <c r="O167" s="45" t="n"/>
      <c r="P167" s="54">
        <f t="array" ref="P167">IF(O167&lt;&gt;"",IF(INDEX(techniques[detection rules for techique],MATCH(O167,techniques[name],0))&gt;=1,INDEX(techniques[detection rules for techique],MATCH(O167,techniques[name],0)),""),"")</f>
        <v/>
      </c>
      <c r="Q167" s="45" t="n"/>
      <c r="R167" s="54">
        <f t="array" ref="R167">IF(Q167&lt;&gt;"",IF(INDEX(techniques[detection rules for techique],MATCH(Q167,techniques[name],0))&gt;=1,INDEX(techniques[detection rules for techique],MATCH(Q167,techniques[name],0)),""),"")</f>
        <v/>
      </c>
      <c r="S167" s="45" t="n"/>
      <c r="T167" s="54">
        <f t="array" ref="T167">IF(S167&lt;&gt;"",IF(INDEX(techniques[detection rules for techique],MATCH(S167,techniques[name],0))&gt;=1,INDEX(techniques[detection rules for techique],MATCH(S167,techniques[name],0)),""),"")</f>
        <v/>
      </c>
      <c r="U167" s="45" t="n"/>
      <c r="V167" s="54">
        <f t="array" ref="V167">IF(U167&lt;&gt;"",IF(INDEX(techniques[detection rules for techique],MATCH(U167,techniques[name],0))&gt;=1,INDEX(techniques[detection rules for techique],MATCH(U167,techniques[name],0)),""),"")</f>
        <v/>
      </c>
      <c r="W167" s="45" t="n"/>
      <c r="X167" s="54">
        <f t="array" ref="X167">IF(W167&lt;&gt;"",IF(INDEX(techniques[detection rules for techique],MATCH(W167,techniques[name],0))&gt;=1,INDEX(techniques[detection rules for techique],MATCH(W167,techniques[name],0)),""),"")</f>
        <v/>
      </c>
      <c r="Y167" s="45" t="n"/>
      <c r="Z167" s="54">
        <f t="array" ref="Z167">IF(Y167&lt;&gt;"",IF(INDEX(techniques[detection rules for techique],MATCH(Y167,techniques[name],0))&gt;=1,INDEX(techniques[detection rules for techique],MATCH(Y167,techniques[name],0)),""),"")</f>
        <v/>
      </c>
      <c r="AA167" s="45" t="n"/>
      <c r="AB167" s="54">
        <f t="array" ref="AB167">IF(AA167&lt;&gt;"",IF(INDEX(techniques[detection rules for techique],MATCH(AA167,techniques[name],0))&gt;=1,INDEX(techniques[detection rules for techique],MATCH(AA167,techniques[name],0)),""),"")</f>
        <v/>
      </c>
      <c r="AC167" s="45" t="n"/>
      <c r="AD167" s="54">
        <f t="array" ref="AD167">IF(AC167&lt;&gt;"",IF(INDEX(techniques[detection rules for techique],MATCH(AC167,techniques[name],0))&gt;=1,INDEX(techniques[detection rules for techique],MATCH(AC167,techniques[name],0)),""),"")</f>
        <v/>
      </c>
    </row>
    <row r="168">
      <c r="A168" s="45" t="n"/>
      <c r="B168" s="54">
        <f t="array" ref="B168">IF(A168&lt;&gt;"",IF(INDEX(techniques[detection rules for techique],MATCH(A168,techniques[name],0))&gt;=1,INDEX(techniques[detection rules for techique],MATCH(A168,techniques[name],0)),""),"")</f>
        <v/>
      </c>
      <c r="C168" s="45" t="n"/>
      <c r="D168" s="54">
        <f t="array" ref="D168">IF(C168&lt;&gt;"",IF(INDEX(techniques[detection rules for techique],MATCH(C168,techniques[name],0))&gt;=1,INDEX(techniques[detection rules for techique],MATCH(C168,techniques[name],0)),""),"")</f>
        <v/>
      </c>
      <c r="E168" s="45" t="n"/>
      <c r="F168" s="54">
        <f t="array" ref="F168">IF(E168&lt;&gt;"",IF(INDEX(techniques[detection rules for techique],MATCH(E168,techniques[name],0))&gt;=1,INDEX(techniques[detection rules for techique],MATCH(E168,techniques[name],0)),""),"")</f>
        <v/>
      </c>
      <c r="G168" s="45" t="n"/>
      <c r="H168" s="54">
        <f t="array" ref="H168">IF(G168&lt;&gt;"",IF(INDEX(techniques[detection rules for techique],MATCH(G168,techniques[name],0))&gt;=1,INDEX(techniques[detection rules for techique],MATCH(G168,techniques[name],0)),""),"")</f>
        <v/>
      </c>
      <c r="I168" s="45" t="n"/>
      <c r="J168" s="54">
        <f t="array" ref="J168">IF(I168&lt;&gt;"",IF(INDEX(techniques[detection rules for techique],MATCH(I168,techniques[name],0))&gt;=1,INDEX(techniques[detection rules for techique],MATCH(I168,techniques[name],0)),""),"")</f>
        <v/>
      </c>
      <c r="K168" s="45" t="n"/>
      <c r="L168" s="54">
        <f t="array" ref="L168">IF(K168&lt;&gt;"",IF(INDEX(techniques[detection rules for techique],MATCH(K168,techniques[name],0))&gt;=1,INDEX(techniques[detection rules for techique],MATCH(K168,techniques[name],0)),""),"")</f>
        <v/>
      </c>
      <c r="M168" s="45" t="n"/>
      <c r="N168" s="54">
        <f t="array" ref="N168">IF(M168&lt;&gt;"",IF(INDEX(techniques[detection rules for techique],MATCH(M168,techniques[name],0))&gt;=1,INDEX(techniques[detection rules for techique],MATCH(M168,techniques[name],0)),""),"")</f>
        <v/>
      </c>
      <c r="O168" s="45" t="n"/>
      <c r="P168" s="54">
        <f t="array" ref="P168">IF(O168&lt;&gt;"",IF(INDEX(techniques[detection rules for techique],MATCH(O168,techniques[name],0))&gt;=1,INDEX(techniques[detection rules for techique],MATCH(O168,techniques[name],0)),""),"")</f>
        <v/>
      </c>
      <c r="Q168" s="45" t="n"/>
      <c r="R168" s="54">
        <f t="array" ref="R168">IF(Q168&lt;&gt;"",IF(INDEX(techniques[detection rules for techique],MATCH(Q168,techniques[name],0))&gt;=1,INDEX(techniques[detection rules for techique],MATCH(Q168,techniques[name],0)),""),"")</f>
        <v/>
      </c>
      <c r="S168" s="45" t="n"/>
      <c r="T168" s="54">
        <f t="array" ref="T168">IF(S168&lt;&gt;"",IF(INDEX(techniques[detection rules for techique],MATCH(S168,techniques[name],0))&gt;=1,INDEX(techniques[detection rules for techique],MATCH(S168,techniques[name],0)),""),"")</f>
        <v/>
      </c>
      <c r="U168" s="45" t="n"/>
      <c r="V168" s="54">
        <f t="array" ref="V168">IF(U168&lt;&gt;"",IF(INDEX(techniques[detection rules for techique],MATCH(U168,techniques[name],0))&gt;=1,INDEX(techniques[detection rules for techique],MATCH(U168,techniques[name],0)),""),"")</f>
        <v/>
      </c>
      <c r="W168" s="45" t="n"/>
      <c r="X168" s="54">
        <f t="array" ref="X168">IF(W168&lt;&gt;"",IF(INDEX(techniques[detection rules for techique],MATCH(W168,techniques[name],0))&gt;=1,INDEX(techniques[detection rules for techique],MATCH(W168,techniques[name],0)),""),"")</f>
        <v/>
      </c>
      <c r="Y168" s="45" t="n"/>
      <c r="Z168" s="54">
        <f t="array" ref="Z168">IF(Y168&lt;&gt;"",IF(INDEX(techniques[detection rules for techique],MATCH(Y168,techniques[name],0))&gt;=1,INDEX(techniques[detection rules for techique],MATCH(Y168,techniques[name],0)),""),"")</f>
        <v/>
      </c>
      <c r="AA168" s="45" t="n"/>
      <c r="AB168" s="54">
        <f t="array" ref="AB168">IF(AA168&lt;&gt;"",IF(INDEX(techniques[detection rules for techique],MATCH(AA168,techniques[name],0))&gt;=1,INDEX(techniques[detection rules for techique],MATCH(AA168,techniques[name],0)),""),"")</f>
        <v/>
      </c>
      <c r="AC168" s="45" t="n"/>
      <c r="AD168" s="54">
        <f t="array" ref="AD168">IF(AC168&lt;&gt;"",IF(INDEX(techniques[detection rules for techique],MATCH(AC168,techniques[name],0))&gt;=1,INDEX(techniques[detection rules for techique],MATCH(AC168,techniques[name],0)),""),"")</f>
        <v/>
      </c>
    </row>
    <row r="169">
      <c r="A169" s="45" t="n"/>
      <c r="B169" s="54">
        <f t="array" ref="B169">IF(A169&lt;&gt;"",IF(INDEX(techniques[detection rules for techique],MATCH(A169,techniques[name],0))&gt;=1,INDEX(techniques[detection rules for techique],MATCH(A169,techniques[name],0)),""),"")</f>
        <v/>
      </c>
      <c r="C169" s="45" t="n"/>
      <c r="D169" s="54">
        <f t="array" ref="D169">IF(C169&lt;&gt;"",IF(INDEX(techniques[detection rules for techique],MATCH(C169,techniques[name],0))&gt;=1,INDEX(techniques[detection rules for techique],MATCH(C169,techniques[name],0)),""),"")</f>
        <v/>
      </c>
      <c r="E169" s="45" t="n"/>
      <c r="F169" s="54">
        <f t="array" ref="F169">IF(E169&lt;&gt;"",IF(INDEX(techniques[detection rules for techique],MATCH(E169,techniques[name],0))&gt;=1,INDEX(techniques[detection rules for techique],MATCH(E169,techniques[name],0)),""),"")</f>
        <v/>
      </c>
      <c r="G169" s="45" t="n"/>
      <c r="H169" s="54">
        <f t="array" ref="H169">IF(G169&lt;&gt;"",IF(INDEX(techniques[detection rules for techique],MATCH(G169,techniques[name],0))&gt;=1,INDEX(techniques[detection rules for techique],MATCH(G169,techniques[name],0)),""),"")</f>
        <v/>
      </c>
      <c r="I169" s="45" t="n"/>
      <c r="J169" s="54">
        <f t="array" ref="J169">IF(I169&lt;&gt;"",IF(INDEX(techniques[detection rules for techique],MATCH(I169,techniques[name],0))&gt;=1,INDEX(techniques[detection rules for techique],MATCH(I169,techniques[name],0)),""),"")</f>
        <v/>
      </c>
      <c r="K169" s="45" t="n"/>
      <c r="L169" s="54">
        <f t="array" ref="L169">IF(K169&lt;&gt;"",IF(INDEX(techniques[detection rules for techique],MATCH(K169,techniques[name],0))&gt;=1,INDEX(techniques[detection rules for techique],MATCH(K169,techniques[name],0)),""),"")</f>
        <v/>
      </c>
      <c r="M169" s="45" t="n"/>
      <c r="N169" s="54">
        <f t="array" ref="N169">IF(M169&lt;&gt;"",IF(INDEX(techniques[detection rules for techique],MATCH(M169,techniques[name],0))&gt;=1,INDEX(techniques[detection rules for techique],MATCH(M169,techniques[name],0)),""),"")</f>
        <v/>
      </c>
      <c r="O169" s="45" t="n"/>
      <c r="P169" s="54">
        <f t="array" ref="P169">IF(O169&lt;&gt;"",IF(INDEX(techniques[detection rules for techique],MATCH(O169,techniques[name],0))&gt;=1,INDEX(techniques[detection rules for techique],MATCH(O169,techniques[name],0)),""),"")</f>
        <v/>
      </c>
      <c r="Q169" s="45" t="n"/>
      <c r="R169" s="54">
        <f t="array" ref="R169">IF(Q169&lt;&gt;"",IF(INDEX(techniques[detection rules for techique],MATCH(Q169,techniques[name],0))&gt;=1,INDEX(techniques[detection rules for techique],MATCH(Q169,techniques[name],0)),""),"")</f>
        <v/>
      </c>
      <c r="S169" s="45" t="n"/>
      <c r="T169" s="54">
        <f t="array" ref="T169">IF(S169&lt;&gt;"",IF(INDEX(techniques[detection rules for techique],MATCH(S169,techniques[name],0))&gt;=1,INDEX(techniques[detection rules for techique],MATCH(S169,techniques[name],0)),""),"")</f>
        <v/>
      </c>
      <c r="U169" s="45" t="n"/>
      <c r="V169" s="54">
        <f t="array" ref="V169">IF(U169&lt;&gt;"",IF(INDEX(techniques[detection rules for techique],MATCH(U169,techniques[name],0))&gt;=1,INDEX(techniques[detection rules for techique],MATCH(U169,techniques[name],0)),""),"")</f>
        <v/>
      </c>
      <c r="W169" s="45" t="n"/>
      <c r="X169" s="54">
        <f t="array" ref="X169">IF(W169&lt;&gt;"",IF(INDEX(techniques[detection rules for techique],MATCH(W169,techniques[name],0))&gt;=1,INDEX(techniques[detection rules for techique],MATCH(W169,techniques[name],0)),""),"")</f>
        <v/>
      </c>
      <c r="Y169" s="45" t="n"/>
      <c r="Z169" s="54">
        <f t="array" ref="Z169">IF(Y169&lt;&gt;"",IF(INDEX(techniques[detection rules for techique],MATCH(Y169,techniques[name],0))&gt;=1,INDEX(techniques[detection rules for techique],MATCH(Y169,techniques[name],0)),""),"")</f>
        <v/>
      </c>
      <c r="AA169" s="45" t="n"/>
      <c r="AB169" s="54">
        <f t="array" ref="AB169">IF(AA169&lt;&gt;"",IF(INDEX(techniques[detection rules for techique],MATCH(AA169,techniques[name],0))&gt;=1,INDEX(techniques[detection rules for techique],MATCH(AA169,techniques[name],0)),""),"")</f>
        <v/>
      </c>
      <c r="AC169" s="45" t="n"/>
      <c r="AD169" s="54">
        <f t="array" ref="AD169">IF(AC169&lt;&gt;"",IF(INDEX(techniques[detection rules for techique],MATCH(AC169,techniques[name],0))&gt;=1,INDEX(techniques[detection rules for techique],MATCH(AC169,techniques[name],0)),""),"")</f>
        <v/>
      </c>
    </row>
    <row r="170">
      <c r="A170" s="45" t="n"/>
      <c r="B170" s="54">
        <f t="array" ref="B170">IF(A170&lt;&gt;"",IF(INDEX(techniques[detection rules for techique],MATCH(A170,techniques[name],0))&gt;=1,INDEX(techniques[detection rules for techique],MATCH(A170,techniques[name],0)),""),"")</f>
        <v/>
      </c>
      <c r="C170" s="45" t="n"/>
      <c r="D170" s="54">
        <f t="array" ref="D170">IF(C170&lt;&gt;"",IF(INDEX(techniques[detection rules for techique],MATCH(C170,techniques[name],0))&gt;=1,INDEX(techniques[detection rules for techique],MATCH(C170,techniques[name],0)),""),"")</f>
        <v/>
      </c>
      <c r="E170" s="45" t="n"/>
      <c r="F170" s="54">
        <f t="array" ref="F170">IF(E170&lt;&gt;"",IF(INDEX(techniques[detection rules for techique],MATCH(E170,techniques[name],0))&gt;=1,INDEX(techniques[detection rules for techique],MATCH(E170,techniques[name],0)),""),"")</f>
        <v/>
      </c>
      <c r="G170" s="45" t="n"/>
      <c r="H170" s="54">
        <f t="array" ref="H170">IF(G170&lt;&gt;"",IF(INDEX(techniques[detection rules for techique],MATCH(G170,techniques[name],0))&gt;=1,INDEX(techniques[detection rules for techique],MATCH(G170,techniques[name],0)),""),"")</f>
        <v/>
      </c>
      <c r="I170" s="45" t="n"/>
      <c r="J170" s="54">
        <f t="array" ref="J170">IF(I170&lt;&gt;"",IF(INDEX(techniques[detection rules for techique],MATCH(I170,techniques[name],0))&gt;=1,INDEX(techniques[detection rules for techique],MATCH(I170,techniques[name],0)),""),"")</f>
        <v/>
      </c>
      <c r="K170" s="45" t="n"/>
      <c r="L170" s="54">
        <f t="array" ref="L170">IF(K170&lt;&gt;"",IF(INDEX(techniques[detection rules for techique],MATCH(K170,techniques[name],0))&gt;=1,INDEX(techniques[detection rules for techique],MATCH(K170,techniques[name],0)),""),"")</f>
        <v/>
      </c>
      <c r="M170" s="45" t="n"/>
      <c r="N170" s="54">
        <f t="array" ref="N170">IF(M170&lt;&gt;"",IF(INDEX(techniques[detection rules for techique],MATCH(M170,techniques[name],0))&gt;=1,INDEX(techniques[detection rules for techique],MATCH(M170,techniques[name],0)),""),"")</f>
        <v/>
      </c>
      <c r="O170" s="45" t="n"/>
      <c r="P170" s="54">
        <f t="array" ref="P170">IF(O170&lt;&gt;"",IF(INDEX(techniques[detection rules for techique],MATCH(O170,techniques[name],0))&gt;=1,INDEX(techniques[detection rules for techique],MATCH(O170,techniques[name],0)),""),"")</f>
        <v/>
      </c>
      <c r="Q170" s="45" t="n"/>
      <c r="R170" s="54">
        <f t="array" ref="R170">IF(Q170&lt;&gt;"",IF(INDEX(techniques[detection rules for techique],MATCH(Q170,techniques[name],0))&gt;=1,INDEX(techniques[detection rules for techique],MATCH(Q170,techniques[name],0)),""),"")</f>
        <v/>
      </c>
      <c r="S170" s="45" t="n"/>
      <c r="T170" s="54">
        <f t="array" ref="T170">IF(S170&lt;&gt;"",IF(INDEX(techniques[detection rules for techique],MATCH(S170,techniques[name],0))&gt;=1,INDEX(techniques[detection rules for techique],MATCH(S170,techniques[name],0)),""),"")</f>
        <v/>
      </c>
      <c r="U170" s="45" t="n"/>
      <c r="V170" s="54">
        <f t="array" ref="V170">IF(U170&lt;&gt;"",IF(INDEX(techniques[detection rules for techique],MATCH(U170,techniques[name],0))&gt;=1,INDEX(techniques[detection rules for techique],MATCH(U170,techniques[name],0)),""),"")</f>
        <v/>
      </c>
      <c r="W170" s="45" t="n"/>
      <c r="X170" s="54">
        <f t="array" ref="X170">IF(W170&lt;&gt;"",IF(INDEX(techniques[detection rules for techique],MATCH(W170,techniques[name],0))&gt;=1,INDEX(techniques[detection rules for techique],MATCH(W170,techniques[name],0)),""),"")</f>
        <v/>
      </c>
      <c r="Y170" s="45" t="n"/>
      <c r="Z170" s="54">
        <f t="array" ref="Z170">IF(Y170&lt;&gt;"",IF(INDEX(techniques[detection rules for techique],MATCH(Y170,techniques[name],0))&gt;=1,INDEX(techniques[detection rules for techique],MATCH(Y170,techniques[name],0)),""),"")</f>
        <v/>
      </c>
      <c r="AA170" s="45" t="n"/>
      <c r="AB170" s="54">
        <f t="array" ref="AB170">IF(AA170&lt;&gt;"",IF(INDEX(techniques[detection rules for techique],MATCH(AA170,techniques[name],0))&gt;=1,INDEX(techniques[detection rules for techique],MATCH(AA170,techniques[name],0)),""),"")</f>
        <v/>
      </c>
      <c r="AC170" s="45" t="n"/>
      <c r="AD170" s="54">
        <f t="array" ref="AD170">IF(AC170&lt;&gt;"",IF(INDEX(techniques[detection rules for techique],MATCH(AC170,techniques[name],0))&gt;=1,INDEX(techniques[detection rules for techique],MATCH(AC170,techniques[name],0)),""),"")</f>
        <v/>
      </c>
    </row>
    <row r="171">
      <c r="A171" s="45" t="n"/>
      <c r="B171" s="54">
        <f t="array" ref="B171">IF(A171&lt;&gt;"",IF(INDEX(techniques[detection rules for techique],MATCH(A171,techniques[name],0))&gt;=1,INDEX(techniques[detection rules for techique],MATCH(A171,techniques[name],0)),""),"")</f>
        <v/>
      </c>
      <c r="C171" s="45" t="n"/>
      <c r="D171" s="54">
        <f t="array" ref="D171">IF(C171&lt;&gt;"",IF(INDEX(techniques[detection rules for techique],MATCH(C171,techniques[name],0))&gt;=1,INDEX(techniques[detection rules for techique],MATCH(C171,techniques[name],0)),""),"")</f>
        <v/>
      </c>
      <c r="E171" s="45" t="n"/>
      <c r="F171" s="54">
        <f t="array" ref="F171">IF(E171&lt;&gt;"",IF(INDEX(techniques[detection rules for techique],MATCH(E171,techniques[name],0))&gt;=1,INDEX(techniques[detection rules for techique],MATCH(E171,techniques[name],0)),""),"")</f>
        <v/>
      </c>
      <c r="G171" s="45" t="n"/>
      <c r="H171" s="54">
        <f t="array" ref="H171">IF(G171&lt;&gt;"",IF(INDEX(techniques[detection rules for techique],MATCH(G171,techniques[name],0))&gt;=1,INDEX(techniques[detection rules for techique],MATCH(G171,techniques[name],0)),""),"")</f>
        <v/>
      </c>
      <c r="I171" s="45" t="n"/>
      <c r="J171" s="54">
        <f t="array" ref="J171">IF(I171&lt;&gt;"",IF(INDEX(techniques[detection rules for techique],MATCH(I171,techniques[name],0))&gt;=1,INDEX(techniques[detection rules for techique],MATCH(I171,techniques[name],0)),""),"")</f>
        <v/>
      </c>
      <c r="K171" s="45" t="n"/>
      <c r="L171" s="54">
        <f t="array" ref="L171">IF(K171&lt;&gt;"",IF(INDEX(techniques[detection rules for techique],MATCH(K171,techniques[name],0))&gt;=1,INDEX(techniques[detection rules for techique],MATCH(K171,techniques[name],0)),""),"")</f>
        <v/>
      </c>
      <c r="M171" s="45" t="n"/>
      <c r="N171" s="54">
        <f t="array" ref="N171">IF(M171&lt;&gt;"",IF(INDEX(techniques[detection rules for techique],MATCH(M171,techniques[name],0))&gt;=1,INDEX(techniques[detection rules for techique],MATCH(M171,techniques[name],0)),""),"")</f>
        <v/>
      </c>
      <c r="O171" s="45" t="n"/>
      <c r="P171" s="54">
        <f t="array" ref="P171">IF(O171&lt;&gt;"",IF(INDEX(techniques[detection rules for techique],MATCH(O171,techniques[name],0))&gt;=1,INDEX(techniques[detection rules for techique],MATCH(O171,techniques[name],0)),""),"")</f>
        <v/>
      </c>
      <c r="Q171" s="45" t="n"/>
      <c r="R171" s="54">
        <f t="array" ref="R171">IF(Q171&lt;&gt;"",IF(INDEX(techniques[detection rules for techique],MATCH(Q171,techniques[name],0))&gt;=1,INDEX(techniques[detection rules for techique],MATCH(Q171,techniques[name],0)),""),"")</f>
        <v/>
      </c>
      <c r="S171" s="45" t="n"/>
      <c r="T171" s="54">
        <f t="array" ref="T171">IF(S171&lt;&gt;"",IF(INDEX(techniques[detection rules for techique],MATCH(S171,techniques[name],0))&gt;=1,INDEX(techniques[detection rules for techique],MATCH(S171,techniques[name],0)),""),"")</f>
        <v/>
      </c>
      <c r="U171" s="45" t="n"/>
      <c r="V171" s="54">
        <f t="array" ref="V171">IF(U171&lt;&gt;"",IF(INDEX(techniques[detection rules for techique],MATCH(U171,techniques[name],0))&gt;=1,INDEX(techniques[detection rules for techique],MATCH(U171,techniques[name],0)),""),"")</f>
        <v/>
      </c>
      <c r="W171" s="45" t="n"/>
      <c r="X171" s="54">
        <f t="array" ref="X171">IF(W171&lt;&gt;"",IF(INDEX(techniques[detection rules for techique],MATCH(W171,techniques[name],0))&gt;=1,INDEX(techniques[detection rules for techique],MATCH(W171,techniques[name],0)),""),"")</f>
        <v/>
      </c>
      <c r="Y171" s="45" t="n"/>
      <c r="Z171" s="54">
        <f t="array" ref="Z171">IF(Y171&lt;&gt;"",IF(INDEX(techniques[detection rules for techique],MATCH(Y171,techniques[name],0))&gt;=1,INDEX(techniques[detection rules for techique],MATCH(Y171,techniques[name],0)),""),"")</f>
        <v/>
      </c>
      <c r="AA171" s="45" t="n"/>
      <c r="AB171" s="54">
        <f t="array" ref="AB171">IF(AA171&lt;&gt;"",IF(INDEX(techniques[detection rules for techique],MATCH(AA171,techniques[name],0))&gt;=1,INDEX(techniques[detection rules for techique],MATCH(AA171,techniques[name],0)),""),"")</f>
        <v/>
      </c>
      <c r="AC171" s="45" t="n"/>
      <c r="AD171" s="54">
        <f t="array" ref="AD171">IF(AC171&lt;&gt;"",IF(INDEX(techniques[detection rules for techique],MATCH(AC171,techniques[name],0))&gt;=1,INDEX(techniques[detection rules for techique],MATCH(AC171,techniques[name],0)),""),"")</f>
        <v/>
      </c>
    </row>
    <row r="172">
      <c r="A172" s="45" t="n"/>
      <c r="B172" s="54">
        <f t="array" ref="B172">IF(A172&lt;&gt;"",IF(INDEX(techniques[detection rules for techique],MATCH(A172,techniques[name],0))&gt;=1,INDEX(techniques[detection rules for techique],MATCH(A172,techniques[name],0)),""),"")</f>
        <v/>
      </c>
      <c r="C172" s="45" t="n"/>
      <c r="D172" s="54">
        <f t="array" ref="D172">IF(C172&lt;&gt;"",IF(INDEX(techniques[detection rules for techique],MATCH(C172,techniques[name],0))&gt;=1,INDEX(techniques[detection rules for techique],MATCH(C172,techniques[name],0)),""),"")</f>
        <v/>
      </c>
      <c r="E172" s="45" t="n"/>
      <c r="F172" s="54">
        <f t="array" ref="F172">IF(E172&lt;&gt;"",IF(INDEX(techniques[detection rules for techique],MATCH(E172,techniques[name],0))&gt;=1,INDEX(techniques[detection rules for techique],MATCH(E172,techniques[name],0)),""),"")</f>
        <v/>
      </c>
      <c r="G172" s="45" t="n"/>
      <c r="H172" s="54">
        <f t="array" ref="H172">IF(G172&lt;&gt;"",IF(INDEX(techniques[detection rules for techique],MATCH(G172,techniques[name],0))&gt;=1,INDEX(techniques[detection rules for techique],MATCH(G172,techniques[name],0)),""),"")</f>
        <v/>
      </c>
      <c r="I172" s="45" t="n"/>
      <c r="J172" s="54">
        <f t="array" ref="J172">IF(I172&lt;&gt;"",IF(INDEX(techniques[detection rules for techique],MATCH(I172,techniques[name],0))&gt;=1,INDEX(techniques[detection rules for techique],MATCH(I172,techniques[name],0)),""),"")</f>
        <v/>
      </c>
      <c r="K172" s="45" t="n"/>
      <c r="L172" s="54">
        <f t="array" ref="L172">IF(K172&lt;&gt;"",IF(INDEX(techniques[detection rules for techique],MATCH(K172,techniques[name],0))&gt;=1,INDEX(techniques[detection rules for techique],MATCH(K172,techniques[name],0)),""),"")</f>
        <v/>
      </c>
      <c r="M172" s="45" t="n"/>
      <c r="N172" s="54">
        <f t="array" ref="N172">IF(M172&lt;&gt;"",IF(INDEX(techniques[detection rules for techique],MATCH(M172,techniques[name],0))&gt;=1,INDEX(techniques[detection rules for techique],MATCH(M172,techniques[name],0)),""),"")</f>
        <v/>
      </c>
      <c r="O172" s="45" t="n"/>
      <c r="P172" s="54">
        <f t="array" ref="P172">IF(O172&lt;&gt;"",IF(INDEX(techniques[detection rules for techique],MATCH(O172,techniques[name],0))&gt;=1,INDEX(techniques[detection rules for techique],MATCH(O172,techniques[name],0)),""),"")</f>
        <v/>
      </c>
      <c r="Q172" s="45" t="n"/>
      <c r="R172" s="54">
        <f t="array" ref="R172">IF(Q172&lt;&gt;"",IF(INDEX(techniques[detection rules for techique],MATCH(Q172,techniques[name],0))&gt;=1,INDEX(techniques[detection rules for techique],MATCH(Q172,techniques[name],0)),""),"")</f>
        <v/>
      </c>
      <c r="S172" s="45" t="n"/>
      <c r="T172" s="54">
        <f t="array" ref="T172">IF(S172&lt;&gt;"",IF(INDEX(techniques[detection rules for techique],MATCH(S172,techniques[name],0))&gt;=1,INDEX(techniques[detection rules for techique],MATCH(S172,techniques[name],0)),""),"")</f>
        <v/>
      </c>
      <c r="U172" s="45" t="n"/>
      <c r="V172" s="54">
        <f t="array" ref="V172">IF(U172&lt;&gt;"",IF(INDEX(techniques[detection rules for techique],MATCH(U172,techniques[name],0))&gt;=1,INDEX(techniques[detection rules for techique],MATCH(U172,techniques[name],0)),""),"")</f>
        <v/>
      </c>
      <c r="W172" s="45" t="n"/>
      <c r="X172" s="54">
        <f t="array" ref="X172">IF(W172&lt;&gt;"",IF(INDEX(techniques[detection rules for techique],MATCH(W172,techniques[name],0))&gt;=1,INDEX(techniques[detection rules for techique],MATCH(W172,techniques[name],0)),""),"")</f>
        <v/>
      </c>
      <c r="Y172" s="45" t="n"/>
      <c r="Z172" s="54">
        <f t="array" ref="Z172">IF(Y172&lt;&gt;"",IF(INDEX(techniques[detection rules for techique],MATCH(Y172,techniques[name],0))&gt;=1,INDEX(techniques[detection rules for techique],MATCH(Y172,techniques[name],0)),""),"")</f>
        <v/>
      </c>
      <c r="AA172" s="45" t="n"/>
      <c r="AB172" s="54">
        <f t="array" ref="AB172">IF(AA172&lt;&gt;"",IF(INDEX(techniques[detection rules for techique],MATCH(AA172,techniques[name],0))&gt;=1,INDEX(techniques[detection rules for techique],MATCH(AA172,techniques[name],0)),""),"")</f>
        <v/>
      </c>
      <c r="AC172" s="45" t="n"/>
      <c r="AD172" s="54">
        <f t="array" ref="AD172">IF(AC172&lt;&gt;"",IF(INDEX(techniques[detection rules for techique],MATCH(AC172,techniques[name],0))&gt;=1,INDEX(techniques[detection rules for techique],MATCH(AC172,techniques[name],0)),""),"")</f>
        <v/>
      </c>
    </row>
    <row r="173">
      <c r="A173" s="45" t="n"/>
      <c r="B173" s="54">
        <f t="array" ref="B173">IF(A173&lt;&gt;"",IF(INDEX(techniques[detection rules for techique],MATCH(A173,techniques[name],0))&gt;=1,INDEX(techniques[detection rules for techique],MATCH(A173,techniques[name],0)),""),"")</f>
        <v/>
      </c>
      <c r="C173" s="45" t="n"/>
      <c r="D173" s="54">
        <f t="array" ref="D173">IF(C173&lt;&gt;"",IF(INDEX(techniques[detection rules for techique],MATCH(C173,techniques[name],0))&gt;=1,INDEX(techniques[detection rules for techique],MATCH(C173,techniques[name],0)),""),"")</f>
        <v/>
      </c>
      <c r="E173" s="45" t="n"/>
      <c r="F173" s="54">
        <f t="array" ref="F173">IF(E173&lt;&gt;"",IF(INDEX(techniques[detection rules for techique],MATCH(E173,techniques[name],0))&gt;=1,INDEX(techniques[detection rules for techique],MATCH(E173,techniques[name],0)),""),"")</f>
        <v/>
      </c>
      <c r="G173" s="45" t="n"/>
      <c r="H173" s="54">
        <f t="array" ref="H173">IF(G173&lt;&gt;"",IF(INDEX(techniques[detection rules for techique],MATCH(G173,techniques[name],0))&gt;=1,INDEX(techniques[detection rules for techique],MATCH(G173,techniques[name],0)),""),"")</f>
        <v/>
      </c>
      <c r="I173" s="45" t="n"/>
      <c r="J173" s="54">
        <f t="array" ref="J173">IF(I173&lt;&gt;"",IF(INDEX(techniques[detection rules for techique],MATCH(I173,techniques[name],0))&gt;=1,INDEX(techniques[detection rules for techique],MATCH(I173,techniques[name],0)),""),"")</f>
        <v/>
      </c>
      <c r="K173" s="45" t="n"/>
      <c r="L173" s="54">
        <f t="array" ref="L173">IF(K173&lt;&gt;"",IF(INDEX(techniques[detection rules for techique],MATCH(K173,techniques[name],0))&gt;=1,INDEX(techniques[detection rules for techique],MATCH(K173,techniques[name],0)),""),"")</f>
        <v/>
      </c>
      <c r="M173" s="45" t="n"/>
      <c r="N173" s="54">
        <f t="array" ref="N173">IF(M173&lt;&gt;"",IF(INDEX(techniques[detection rules for techique],MATCH(M173,techniques[name],0))&gt;=1,INDEX(techniques[detection rules for techique],MATCH(M173,techniques[name],0)),""),"")</f>
        <v/>
      </c>
      <c r="O173" s="45" t="n"/>
      <c r="P173" s="54">
        <f t="array" ref="P173">IF(O173&lt;&gt;"",IF(INDEX(techniques[detection rules for techique],MATCH(O173,techniques[name],0))&gt;=1,INDEX(techniques[detection rules for techique],MATCH(O173,techniques[name],0)),""),"")</f>
        <v/>
      </c>
      <c r="Q173" s="45" t="n"/>
      <c r="R173" s="54">
        <f t="array" ref="R173">IF(Q173&lt;&gt;"",IF(INDEX(techniques[detection rules for techique],MATCH(Q173,techniques[name],0))&gt;=1,INDEX(techniques[detection rules for techique],MATCH(Q173,techniques[name],0)),""),"")</f>
        <v/>
      </c>
      <c r="S173" s="45" t="n"/>
      <c r="T173" s="54">
        <f t="array" ref="T173">IF(S173&lt;&gt;"",IF(INDEX(techniques[detection rules for techique],MATCH(S173,techniques[name],0))&gt;=1,INDEX(techniques[detection rules for techique],MATCH(S173,techniques[name],0)),""),"")</f>
        <v/>
      </c>
      <c r="U173" s="45" t="n"/>
      <c r="V173" s="54">
        <f t="array" ref="V173">IF(U173&lt;&gt;"",IF(INDEX(techniques[detection rules for techique],MATCH(U173,techniques[name],0))&gt;=1,INDEX(techniques[detection rules for techique],MATCH(U173,techniques[name],0)),""),"")</f>
        <v/>
      </c>
      <c r="W173" s="45" t="n"/>
      <c r="X173" s="54">
        <f t="array" ref="X173">IF(W173&lt;&gt;"",IF(INDEX(techniques[detection rules for techique],MATCH(W173,techniques[name],0))&gt;=1,INDEX(techniques[detection rules for techique],MATCH(W173,techniques[name],0)),""),"")</f>
        <v/>
      </c>
      <c r="Y173" s="45" t="n"/>
      <c r="Z173" s="54">
        <f t="array" ref="Z173">IF(Y173&lt;&gt;"",IF(INDEX(techniques[detection rules for techique],MATCH(Y173,techniques[name],0))&gt;=1,INDEX(techniques[detection rules for techique],MATCH(Y173,techniques[name],0)),""),"")</f>
        <v/>
      </c>
      <c r="AA173" s="45" t="n"/>
      <c r="AB173" s="54">
        <f t="array" ref="AB173">IF(AA173&lt;&gt;"",IF(INDEX(techniques[detection rules for techique],MATCH(AA173,techniques[name],0))&gt;=1,INDEX(techniques[detection rules for techique],MATCH(AA173,techniques[name],0)),""),"")</f>
        <v/>
      </c>
      <c r="AC173" s="45" t="n"/>
      <c r="AD173" s="54">
        <f t="array" ref="AD173">IF(AC173&lt;&gt;"",IF(INDEX(techniques[detection rules for techique],MATCH(AC173,techniques[name],0))&gt;=1,INDEX(techniques[detection rules for techique],MATCH(AC173,techniques[name],0)),""),"")</f>
        <v/>
      </c>
    </row>
    <row r="174">
      <c r="A174" s="45" t="n"/>
      <c r="B174" s="54">
        <f t="array" ref="B174">IF(A174&lt;&gt;"",IF(INDEX(techniques[detection rules for techique],MATCH(A174,techniques[name],0))&gt;=1,INDEX(techniques[detection rules for techique],MATCH(A174,techniques[name],0)),""),"")</f>
        <v/>
      </c>
      <c r="C174" s="45" t="n"/>
      <c r="D174" s="54">
        <f t="array" ref="D174">IF(C174&lt;&gt;"",IF(INDEX(techniques[detection rules for techique],MATCH(C174,techniques[name],0))&gt;=1,INDEX(techniques[detection rules for techique],MATCH(C174,techniques[name],0)),""),"")</f>
        <v/>
      </c>
      <c r="E174" s="45" t="n"/>
      <c r="F174" s="54">
        <f t="array" ref="F174">IF(E174&lt;&gt;"",IF(INDEX(techniques[detection rules for techique],MATCH(E174,techniques[name],0))&gt;=1,INDEX(techniques[detection rules for techique],MATCH(E174,techniques[name],0)),""),"")</f>
        <v/>
      </c>
      <c r="G174" s="45" t="n"/>
      <c r="H174" s="54">
        <f t="array" ref="H174">IF(G174&lt;&gt;"",IF(INDEX(techniques[detection rules for techique],MATCH(G174,techniques[name],0))&gt;=1,INDEX(techniques[detection rules for techique],MATCH(G174,techniques[name],0)),""),"")</f>
        <v/>
      </c>
      <c r="I174" s="45" t="n"/>
      <c r="J174" s="54">
        <f t="array" ref="J174">IF(I174&lt;&gt;"",IF(INDEX(techniques[detection rules for techique],MATCH(I174,techniques[name],0))&gt;=1,INDEX(techniques[detection rules for techique],MATCH(I174,techniques[name],0)),""),"")</f>
        <v/>
      </c>
      <c r="K174" s="45" t="n"/>
      <c r="L174" s="54">
        <f t="array" ref="L174">IF(K174&lt;&gt;"",IF(INDEX(techniques[detection rules for techique],MATCH(K174,techniques[name],0))&gt;=1,INDEX(techniques[detection rules for techique],MATCH(K174,techniques[name],0)),""),"")</f>
        <v/>
      </c>
      <c r="M174" s="45" t="n"/>
      <c r="N174" s="54">
        <f t="array" ref="N174">IF(M174&lt;&gt;"",IF(INDEX(techniques[detection rules for techique],MATCH(M174,techniques[name],0))&gt;=1,INDEX(techniques[detection rules for techique],MATCH(M174,techniques[name],0)),""),"")</f>
        <v/>
      </c>
      <c r="O174" s="45" t="n"/>
      <c r="P174" s="54">
        <f t="array" ref="P174">IF(O174&lt;&gt;"",IF(INDEX(techniques[detection rules for techique],MATCH(O174,techniques[name],0))&gt;=1,INDEX(techniques[detection rules for techique],MATCH(O174,techniques[name],0)),""),"")</f>
        <v/>
      </c>
      <c r="Q174" s="45" t="n"/>
      <c r="R174" s="54">
        <f t="array" ref="R174">IF(Q174&lt;&gt;"",IF(INDEX(techniques[detection rules for techique],MATCH(Q174,techniques[name],0))&gt;=1,INDEX(techniques[detection rules for techique],MATCH(Q174,techniques[name],0)),""),"")</f>
        <v/>
      </c>
      <c r="S174" s="45" t="n"/>
      <c r="T174" s="54">
        <f t="array" ref="T174">IF(S174&lt;&gt;"",IF(INDEX(techniques[detection rules for techique],MATCH(S174,techniques[name],0))&gt;=1,INDEX(techniques[detection rules for techique],MATCH(S174,techniques[name],0)),""),"")</f>
        <v/>
      </c>
      <c r="U174" s="45" t="n"/>
      <c r="V174" s="54">
        <f t="array" ref="V174">IF(U174&lt;&gt;"",IF(INDEX(techniques[detection rules for techique],MATCH(U174,techniques[name],0))&gt;=1,INDEX(techniques[detection rules for techique],MATCH(U174,techniques[name],0)),""),"")</f>
        <v/>
      </c>
      <c r="W174" s="45" t="n"/>
      <c r="X174" s="54">
        <f t="array" ref="X174">IF(W174&lt;&gt;"",IF(INDEX(techniques[detection rules for techique],MATCH(W174,techniques[name],0))&gt;=1,INDEX(techniques[detection rules for techique],MATCH(W174,techniques[name],0)),""),"")</f>
        <v/>
      </c>
      <c r="Y174" s="45" t="n"/>
      <c r="Z174" s="54">
        <f t="array" ref="Z174">IF(Y174&lt;&gt;"",IF(INDEX(techniques[detection rules for techique],MATCH(Y174,techniques[name],0))&gt;=1,INDEX(techniques[detection rules for techique],MATCH(Y174,techniques[name],0)),""),"")</f>
        <v/>
      </c>
      <c r="AA174" s="45" t="n"/>
      <c r="AB174" s="54">
        <f t="array" ref="AB174">IF(AA174&lt;&gt;"",IF(INDEX(techniques[detection rules for techique],MATCH(AA174,techniques[name],0))&gt;=1,INDEX(techniques[detection rules for techique],MATCH(AA174,techniques[name],0)),""),"")</f>
        <v/>
      </c>
      <c r="AC174" s="45" t="n"/>
      <c r="AD174" s="54">
        <f t="array" ref="AD174">IF(AC174&lt;&gt;"",IF(INDEX(techniques[detection rules for techique],MATCH(AC174,techniques[name],0))&gt;=1,INDEX(techniques[detection rules for techique],MATCH(AC174,techniques[name],0)),""),"")</f>
        <v/>
      </c>
    </row>
    <row r="175">
      <c r="A175" s="45" t="n"/>
      <c r="B175" s="54">
        <f t="array" ref="B175">IF(A175&lt;&gt;"",IF(INDEX(techniques[detection rules for techique],MATCH(A175,techniques[name],0))&gt;=1,INDEX(techniques[detection rules for techique],MATCH(A175,techniques[name],0)),""),"")</f>
        <v/>
      </c>
      <c r="C175" s="45" t="n"/>
      <c r="D175" s="54">
        <f t="array" ref="D175">IF(C175&lt;&gt;"",IF(INDEX(techniques[detection rules for techique],MATCH(C175,techniques[name],0))&gt;=1,INDEX(techniques[detection rules for techique],MATCH(C175,techniques[name],0)),""),"")</f>
        <v/>
      </c>
      <c r="E175" s="45" t="n"/>
      <c r="F175" s="54">
        <f t="array" ref="F175">IF(E175&lt;&gt;"",IF(INDEX(techniques[detection rules for techique],MATCH(E175,techniques[name],0))&gt;=1,INDEX(techniques[detection rules for techique],MATCH(E175,techniques[name],0)),""),"")</f>
        <v/>
      </c>
      <c r="G175" s="45" t="n"/>
      <c r="H175" s="54">
        <f t="array" ref="H175">IF(G175&lt;&gt;"",IF(INDEX(techniques[detection rules for techique],MATCH(G175,techniques[name],0))&gt;=1,INDEX(techniques[detection rules for techique],MATCH(G175,techniques[name],0)),""),"")</f>
        <v/>
      </c>
      <c r="I175" s="45" t="n"/>
      <c r="J175" s="54">
        <f t="array" ref="J175">IF(I175&lt;&gt;"",IF(INDEX(techniques[detection rules for techique],MATCH(I175,techniques[name],0))&gt;=1,INDEX(techniques[detection rules for techique],MATCH(I175,techniques[name],0)),""),"")</f>
        <v/>
      </c>
      <c r="K175" s="45" t="n"/>
      <c r="L175" s="54">
        <f t="array" ref="L175">IF(K175&lt;&gt;"",IF(INDEX(techniques[detection rules for techique],MATCH(K175,techniques[name],0))&gt;=1,INDEX(techniques[detection rules for techique],MATCH(K175,techniques[name],0)),""),"")</f>
        <v/>
      </c>
      <c r="M175" s="45" t="n"/>
      <c r="N175" s="54">
        <f t="array" ref="N175">IF(M175&lt;&gt;"",IF(INDEX(techniques[detection rules for techique],MATCH(M175,techniques[name],0))&gt;=1,INDEX(techniques[detection rules for techique],MATCH(M175,techniques[name],0)),""),"")</f>
        <v/>
      </c>
      <c r="O175" s="45" t="n"/>
      <c r="P175" s="54">
        <f t="array" ref="P175">IF(O175&lt;&gt;"",IF(INDEX(techniques[detection rules for techique],MATCH(O175,techniques[name],0))&gt;=1,INDEX(techniques[detection rules for techique],MATCH(O175,techniques[name],0)),""),"")</f>
        <v/>
      </c>
      <c r="Q175" s="45" t="n"/>
      <c r="R175" s="54">
        <f t="array" ref="R175">IF(Q175&lt;&gt;"",IF(INDEX(techniques[detection rules for techique],MATCH(Q175,techniques[name],0))&gt;=1,INDEX(techniques[detection rules for techique],MATCH(Q175,techniques[name],0)),""),"")</f>
        <v/>
      </c>
      <c r="S175" s="45" t="n"/>
      <c r="T175" s="54">
        <f t="array" ref="T175">IF(S175&lt;&gt;"",IF(INDEX(techniques[detection rules for techique],MATCH(S175,techniques[name],0))&gt;=1,INDEX(techniques[detection rules for techique],MATCH(S175,techniques[name],0)),""),"")</f>
        <v/>
      </c>
      <c r="U175" s="45" t="n"/>
      <c r="V175" s="54">
        <f t="array" ref="V175">IF(U175&lt;&gt;"",IF(INDEX(techniques[detection rules for techique],MATCH(U175,techniques[name],0))&gt;=1,INDEX(techniques[detection rules for techique],MATCH(U175,techniques[name],0)),""),"")</f>
        <v/>
      </c>
      <c r="W175" s="45" t="n"/>
      <c r="X175" s="54">
        <f t="array" ref="X175">IF(W175&lt;&gt;"",IF(INDEX(techniques[detection rules for techique],MATCH(W175,techniques[name],0))&gt;=1,INDEX(techniques[detection rules for techique],MATCH(W175,techniques[name],0)),""),"")</f>
        <v/>
      </c>
      <c r="Y175" s="45" t="n"/>
      <c r="Z175" s="54">
        <f t="array" ref="Z175">IF(Y175&lt;&gt;"",IF(INDEX(techniques[detection rules for techique],MATCH(Y175,techniques[name],0))&gt;=1,INDEX(techniques[detection rules for techique],MATCH(Y175,techniques[name],0)),""),"")</f>
        <v/>
      </c>
      <c r="AA175" s="45" t="n"/>
      <c r="AB175" s="54">
        <f t="array" ref="AB175">IF(AA175&lt;&gt;"",IF(INDEX(techniques[detection rules for techique],MATCH(AA175,techniques[name],0))&gt;=1,INDEX(techniques[detection rules for techique],MATCH(AA175,techniques[name],0)),""),"")</f>
        <v/>
      </c>
      <c r="AC175" s="45" t="n"/>
      <c r="AD175" s="54">
        <f t="array" ref="AD175">IF(AC175&lt;&gt;"",IF(INDEX(techniques[detection rules for techique],MATCH(AC175,techniques[name],0))&gt;=1,INDEX(techniques[detection rules for techique],MATCH(AC175,techniques[name],0)),""),"")</f>
        <v/>
      </c>
    </row>
    <row r="176">
      <c r="A176" s="45" t="n"/>
      <c r="B176" s="54">
        <f t="array" ref="B176">IF(A176&lt;&gt;"",IF(INDEX(techniques[detection rules for techique],MATCH(A176,techniques[name],0))&gt;=1,INDEX(techniques[detection rules for techique],MATCH(A176,techniques[name],0)),""),"")</f>
        <v/>
      </c>
      <c r="C176" s="45" t="n"/>
      <c r="D176" s="54">
        <f t="array" ref="D176">IF(C176&lt;&gt;"",IF(INDEX(techniques[detection rules for techique],MATCH(C176,techniques[name],0))&gt;=1,INDEX(techniques[detection rules for techique],MATCH(C176,techniques[name],0)),""),"")</f>
        <v/>
      </c>
      <c r="E176" s="45" t="n"/>
      <c r="F176" s="54">
        <f t="array" ref="F176">IF(E176&lt;&gt;"",IF(INDEX(techniques[detection rules for techique],MATCH(E176,techniques[name],0))&gt;=1,INDEX(techniques[detection rules for techique],MATCH(E176,techniques[name],0)),""),"")</f>
        <v/>
      </c>
      <c r="G176" s="45" t="n"/>
      <c r="H176" s="54">
        <f t="array" ref="H176">IF(G176&lt;&gt;"",IF(INDEX(techniques[detection rules for techique],MATCH(G176,techniques[name],0))&gt;=1,INDEX(techniques[detection rules for techique],MATCH(G176,techniques[name],0)),""),"")</f>
        <v/>
      </c>
      <c r="I176" s="45" t="n"/>
      <c r="J176" s="54">
        <f t="array" ref="J176">IF(I176&lt;&gt;"",IF(INDEX(techniques[detection rules for techique],MATCH(I176,techniques[name],0))&gt;=1,INDEX(techniques[detection rules for techique],MATCH(I176,techniques[name],0)),""),"")</f>
        <v/>
      </c>
      <c r="K176" s="45" t="n"/>
      <c r="L176" s="54">
        <f t="array" ref="L176">IF(K176&lt;&gt;"",IF(INDEX(techniques[detection rules for techique],MATCH(K176,techniques[name],0))&gt;=1,INDEX(techniques[detection rules for techique],MATCH(K176,techniques[name],0)),""),"")</f>
        <v/>
      </c>
      <c r="M176" s="45" t="n"/>
      <c r="N176" s="54">
        <f t="array" ref="N176">IF(M176&lt;&gt;"",IF(INDEX(techniques[detection rules for techique],MATCH(M176,techniques[name],0))&gt;=1,INDEX(techniques[detection rules for techique],MATCH(M176,techniques[name],0)),""),"")</f>
        <v/>
      </c>
      <c r="O176" s="45" t="n"/>
      <c r="P176" s="54">
        <f t="array" ref="P176">IF(O176&lt;&gt;"",IF(INDEX(techniques[detection rules for techique],MATCH(O176,techniques[name],0))&gt;=1,INDEX(techniques[detection rules for techique],MATCH(O176,techniques[name],0)),""),"")</f>
        <v/>
      </c>
      <c r="Q176" s="45" t="n"/>
      <c r="R176" s="54">
        <f t="array" ref="R176">IF(Q176&lt;&gt;"",IF(INDEX(techniques[detection rules for techique],MATCH(Q176,techniques[name],0))&gt;=1,INDEX(techniques[detection rules for techique],MATCH(Q176,techniques[name],0)),""),"")</f>
        <v/>
      </c>
      <c r="S176" s="45" t="n"/>
      <c r="T176" s="54">
        <f t="array" ref="T176">IF(S176&lt;&gt;"",IF(INDEX(techniques[detection rules for techique],MATCH(S176,techniques[name],0))&gt;=1,INDEX(techniques[detection rules for techique],MATCH(S176,techniques[name],0)),""),"")</f>
        <v/>
      </c>
      <c r="U176" s="45" t="n"/>
      <c r="V176" s="54">
        <f t="array" ref="V176">IF(U176&lt;&gt;"",IF(INDEX(techniques[detection rules for techique],MATCH(U176,techniques[name],0))&gt;=1,INDEX(techniques[detection rules for techique],MATCH(U176,techniques[name],0)),""),"")</f>
        <v/>
      </c>
      <c r="W176" s="45" t="n"/>
      <c r="X176" s="54">
        <f t="array" ref="X176">IF(W176&lt;&gt;"",IF(INDEX(techniques[detection rules for techique],MATCH(W176,techniques[name],0))&gt;=1,INDEX(techniques[detection rules for techique],MATCH(W176,techniques[name],0)),""),"")</f>
        <v/>
      </c>
      <c r="Y176" s="45" t="n"/>
      <c r="Z176" s="54">
        <f t="array" ref="Z176">IF(Y176&lt;&gt;"",IF(INDEX(techniques[detection rules for techique],MATCH(Y176,techniques[name],0))&gt;=1,INDEX(techniques[detection rules for techique],MATCH(Y176,techniques[name],0)),""),"")</f>
        <v/>
      </c>
      <c r="AA176" s="45" t="n"/>
      <c r="AB176" s="54">
        <f t="array" ref="AB176">IF(AA176&lt;&gt;"",IF(INDEX(techniques[detection rules for techique],MATCH(AA176,techniques[name],0))&gt;=1,INDEX(techniques[detection rules for techique],MATCH(AA176,techniques[name],0)),""),"")</f>
        <v/>
      </c>
      <c r="AC176" s="45" t="n"/>
      <c r="AD176" s="54">
        <f t="array" ref="AD176">IF(AC176&lt;&gt;"",IF(INDEX(techniques[detection rules for techique],MATCH(AC176,techniques[name],0))&gt;=1,INDEX(techniques[detection rules for techique],MATCH(AC176,techniques[name],0)),""),"")</f>
        <v/>
      </c>
    </row>
    <row r="177">
      <c r="A177" s="45" t="n"/>
      <c r="B177" s="54">
        <f t="array" ref="B177">IF(A177&lt;&gt;"",IF(INDEX(techniques[detection rules for techique],MATCH(A177,techniques[name],0))&gt;=1,INDEX(techniques[detection rules for techique],MATCH(A177,techniques[name],0)),""),"")</f>
        <v/>
      </c>
      <c r="C177" s="45" t="n"/>
      <c r="D177" s="54">
        <f t="array" ref="D177">IF(C177&lt;&gt;"",IF(INDEX(techniques[detection rules for techique],MATCH(C177,techniques[name],0))&gt;=1,INDEX(techniques[detection rules for techique],MATCH(C177,techniques[name],0)),""),"")</f>
        <v/>
      </c>
      <c r="E177" s="45" t="n"/>
      <c r="F177" s="54">
        <f t="array" ref="F177">IF(E177&lt;&gt;"",IF(INDEX(techniques[detection rules for techique],MATCH(E177,techniques[name],0))&gt;=1,INDEX(techniques[detection rules for techique],MATCH(E177,techniques[name],0)),""),"")</f>
        <v/>
      </c>
      <c r="G177" s="45" t="n"/>
      <c r="H177" s="54">
        <f t="array" ref="H177">IF(G177&lt;&gt;"",IF(INDEX(techniques[detection rules for techique],MATCH(G177,techniques[name],0))&gt;=1,INDEX(techniques[detection rules for techique],MATCH(G177,techniques[name],0)),""),"")</f>
        <v/>
      </c>
      <c r="I177" s="45" t="n"/>
      <c r="J177" s="54">
        <f t="array" ref="J177">IF(I177&lt;&gt;"",IF(INDEX(techniques[detection rules for techique],MATCH(I177,techniques[name],0))&gt;=1,INDEX(techniques[detection rules for techique],MATCH(I177,techniques[name],0)),""),"")</f>
        <v/>
      </c>
      <c r="K177" s="45" t="n"/>
      <c r="L177" s="54">
        <f t="array" ref="L177">IF(K177&lt;&gt;"",IF(INDEX(techniques[detection rules for techique],MATCH(K177,techniques[name],0))&gt;=1,INDEX(techniques[detection rules for techique],MATCH(K177,techniques[name],0)),""),"")</f>
        <v/>
      </c>
      <c r="M177" s="45" t="n"/>
      <c r="N177" s="54">
        <f t="array" ref="N177">IF(M177&lt;&gt;"",IF(INDEX(techniques[detection rules for techique],MATCH(M177,techniques[name],0))&gt;=1,INDEX(techniques[detection rules for techique],MATCH(M177,techniques[name],0)),""),"")</f>
        <v/>
      </c>
      <c r="O177" s="45" t="n"/>
      <c r="P177" s="54">
        <f t="array" ref="P177">IF(O177&lt;&gt;"",IF(INDEX(techniques[detection rules for techique],MATCH(O177,techniques[name],0))&gt;=1,INDEX(techniques[detection rules for techique],MATCH(O177,techniques[name],0)),""),"")</f>
        <v/>
      </c>
      <c r="Q177" s="45" t="n"/>
      <c r="R177" s="54">
        <f t="array" ref="R177">IF(Q177&lt;&gt;"",IF(INDEX(techniques[detection rules for techique],MATCH(Q177,techniques[name],0))&gt;=1,INDEX(techniques[detection rules for techique],MATCH(Q177,techniques[name],0)),""),"")</f>
        <v/>
      </c>
      <c r="S177" s="45" t="n"/>
      <c r="T177" s="54">
        <f t="array" ref="T177">IF(S177&lt;&gt;"",IF(INDEX(techniques[detection rules for techique],MATCH(S177,techniques[name],0))&gt;=1,INDEX(techniques[detection rules for techique],MATCH(S177,techniques[name],0)),""),"")</f>
        <v/>
      </c>
      <c r="U177" s="45" t="n"/>
      <c r="V177" s="54">
        <f t="array" ref="V177">IF(U177&lt;&gt;"",IF(INDEX(techniques[detection rules for techique],MATCH(U177,techniques[name],0))&gt;=1,INDEX(techniques[detection rules for techique],MATCH(U177,techniques[name],0)),""),"")</f>
        <v/>
      </c>
      <c r="W177" s="45" t="n"/>
      <c r="X177" s="54">
        <f t="array" ref="X177">IF(W177&lt;&gt;"",IF(INDEX(techniques[detection rules for techique],MATCH(W177,techniques[name],0))&gt;=1,INDEX(techniques[detection rules for techique],MATCH(W177,techniques[name],0)),""),"")</f>
        <v/>
      </c>
      <c r="Y177" s="45" t="n"/>
      <c r="Z177" s="54">
        <f t="array" ref="Z177">IF(Y177&lt;&gt;"",IF(INDEX(techniques[detection rules for techique],MATCH(Y177,techniques[name],0))&gt;=1,INDEX(techniques[detection rules for techique],MATCH(Y177,techniques[name],0)),""),"")</f>
        <v/>
      </c>
      <c r="AA177" s="45" t="n"/>
      <c r="AB177" s="54">
        <f t="array" ref="AB177">IF(AA177&lt;&gt;"",IF(INDEX(techniques[detection rules for techique],MATCH(AA177,techniques[name],0))&gt;=1,INDEX(techniques[detection rules for techique],MATCH(AA177,techniques[name],0)),""),"")</f>
        <v/>
      </c>
      <c r="AC177" s="45" t="n"/>
      <c r="AD177" s="54">
        <f t="array" ref="AD177">IF(AC177&lt;&gt;"",IF(INDEX(techniques[detection rules for techique],MATCH(AC177,techniques[name],0))&gt;=1,INDEX(techniques[detection rules for techique],MATCH(AC177,techniques[name],0)),""),"")</f>
        <v/>
      </c>
    </row>
    <row r="178">
      <c r="A178" s="45" t="n"/>
      <c r="B178" s="54">
        <f t="array" ref="B178">IF(A178&lt;&gt;"",IF(INDEX(techniques[detection rules for techique],MATCH(A178,techniques[name],0))&gt;=1,INDEX(techniques[detection rules for techique],MATCH(A178,techniques[name],0)),""),"")</f>
        <v/>
      </c>
      <c r="C178" s="45" t="n"/>
      <c r="D178" s="54">
        <f t="array" ref="D178">IF(C178&lt;&gt;"",IF(INDEX(techniques[detection rules for techique],MATCH(C178,techniques[name],0))&gt;=1,INDEX(techniques[detection rules for techique],MATCH(C178,techniques[name],0)),""),"")</f>
        <v/>
      </c>
      <c r="E178" s="45" t="n"/>
      <c r="F178" s="54">
        <f t="array" ref="F178">IF(E178&lt;&gt;"",IF(INDEX(techniques[detection rules for techique],MATCH(E178,techniques[name],0))&gt;=1,INDEX(techniques[detection rules for techique],MATCH(E178,techniques[name],0)),""),"")</f>
        <v/>
      </c>
      <c r="G178" s="45" t="n"/>
      <c r="H178" s="54">
        <f t="array" ref="H178">IF(G178&lt;&gt;"",IF(INDEX(techniques[detection rules for techique],MATCH(G178,techniques[name],0))&gt;=1,INDEX(techniques[detection rules for techique],MATCH(G178,techniques[name],0)),""),"")</f>
        <v/>
      </c>
      <c r="I178" s="45" t="n"/>
      <c r="J178" s="54">
        <f t="array" ref="J178">IF(I178&lt;&gt;"",IF(INDEX(techniques[detection rules for techique],MATCH(I178,techniques[name],0))&gt;=1,INDEX(techniques[detection rules for techique],MATCH(I178,techniques[name],0)),""),"")</f>
        <v/>
      </c>
      <c r="K178" s="45" t="n"/>
      <c r="L178" s="54">
        <f t="array" ref="L178">IF(K178&lt;&gt;"",IF(INDEX(techniques[detection rules for techique],MATCH(K178,techniques[name],0))&gt;=1,INDEX(techniques[detection rules for techique],MATCH(K178,techniques[name],0)),""),"")</f>
        <v/>
      </c>
      <c r="M178" s="45" t="n"/>
      <c r="N178" s="54">
        <f t="array" ref="N178">IF(M178&lt;&gt;"",IF(INDEX(techniques[detection rules for techique],MATCH(M178,techniques[name],0))&gt;=1,INDEX(techniques[detection rules for techique],MATCH(M178,techniques[name],0)),""),"")</f>
        <v/>
      </c>
      <c r="O178" s="45" t="n"/>
      <c r="P178" s="54">
        <f t="array" ref="P178">IF(O178&lt;&gt;"",IF(INDEX(techniques[detection rules for techique],MATCH(O178,techniques[name],0))&gt;=1,INDEX(techniques[detection rules for techique],MATCH(O178,techniques[name],0)),""),"")</f>
        <v/>
      </c>
      <c r="Q178" s="45" t="n"/>
      <c r="R178" s="54">
        <f t="array" ref="R178">IF(Q178&lt;&gt;"",IF(INDEX(techniques[detection rules for techique],MATCH(Q178,techniques[name],0))&gt;=1,INDEX(techniques[detection rules for techique],MATCH(Q178,techniques[name],0)),""),"")</f>
        <v/>
      </c>
      <c r="S178" s="45" t="n"/>
      <c r="T178" s="54">
        <f t="array" ref="T178">IF(S178&lt;&gt;"",IF(INDEX(techniques[detection rules for techique],MATCH(S178,techniques[name],0))&gt;=1,INDEX(techniques[detection rules for techique],MATCH(S178,techniques[name],0)),""),"")</f>
        <v/>
      </c>
      <c r="U178" s="45" t="n"/>
      <c r="V178" s="54">
        <f t="array" ref="V178">IF(U178&lt;&gt;"",IF(INDEX(techniques[detection rules for techique],MATCH(U178,techniques[name],0))&gt;=1,INDEX(techniques[detection rules for techique],MATCH(U178,techniques[name],0)),""),"")</f>
        <v/>
      </c>
      <c r="W178" s="45" t="n"/>
      <c r="X178" s="54">
        <f t="array" ref="X178">IF(W178&lt;&gt;"",IF(INDEX(techniques[detection rules for techique],MATCH(W178,techniques[name],0))&gt;=1,INDEX(techniques[detection rules for techique],MATCH(W178,techniques[name],0)),""),"")</f>
        <v/>
      </c>
      <c r="Y178" s="45" t="n"/>
      <c r="Z178" s="54">
        <f t="array" ref="Z178">IF(Y178&lt;&gt;"",IF(INDEX(techniques[detection rules for techique],MATCH(Y178,techniques[name],0))&gt;=1,INDEX(techniques[detection rules for techique],MATCH(Y178,techniques[name],0)),""),"")</f>
        <v/>
      </c>
      <c r="AA178" s="45" t="n"/>
      <c r="AB178" s="54">
        <f t="array" ref="AB178">IF(AA178&lt;&gt;"",IF(INDEX(techniques[detection rules for techique],MATCH(AA178,techniques[name],0))&gt;=1,INDEX(techniques[detection rules for techique],MATCH(AA178,techniques[name],0)),""),"")</f>
        <v/>
      </c>
      <c r="AC178" s="45" t="n"/>
      <c r="AD178" s="54">
        <f t="array" ref="AD178">IF(AC178&lt;&gt;"",IF(INDEX(techniques[detection rules for techique],MATCH(AC178,techniques[name],0))&gt;=1,INDEX(techniques[detection rules for techique],MATCH(AC178,techniques[name],0)),""),"")</f>
        <v/>
      </c>
    </row>
    <row r="179">
      <c r="A179" s="45" t="n"/>
      <c r="B179" s="54">
        <f t="array" ref="B179">IF(A179&lt;&gt;"",IF(INDEX(techniques[detection rules for techique],MATCH(A179,techniques[name],0))&gt;=1,INDEX(techniques[detection rules for techique],MATCH(A179,techniques[name],0)),""),"")</f>
        <v/>
      </c>
      <c r="C179" s="45" t="n"/>
      <c r="D179" s="54">
        <f t="array" ref="D179">IF(C179&lt;&gt;"",IF(INDEX(techniques[detection rules for techique],MATCH(C179,techniques[name],0))&gt;=1,INDEX(techniques[detection rules for techique],MATCH(C179,techniques[name],0)),""),"")</f>
        <v/>
      </c>
      <c r="E179" s="45" t="n"/>
      <c r="F179" s="54">
        <f t="array" ref="F179">IF(E179&lt;&gt;"",IF(INDEX(techniques[detection rules for techique],MATCH(E179,techniques[name],0))&gt;=1,INDEX(techniques[detection rules for techique],MATCH(E179,techniques[name],0)),""),"")</f>
        <v/>
      </c>
      <c r="G179" s="45" t="n"/>
      <c r="H179" s="54">
        <f t="array" ref="H179">IF(G179&lt;&gt;"",IF(INDEX(techniques[detection rules for techique],MATCH(G179,techniques[name],0))&gt;=1,INDEX(techniques[detection rules for techique],MATCH(G179,techniques[name],0)),""),"")</f>
        <v/>
      </c>
      <c r="I179" s="45" t="n"/>
      <c r="J179" s="54">
        <f t="array" ref="J179">IF(I179&lt;&gt;"",IF(INDEX(techniques[detection rules for techique],MATCH(I179,techniques[name],0))&gt;=1,INDEX(techniques[detection rules for techique],MATCH(I179,techniques[name],0)),""),"")</f>
        <v/>
      </c>
      <c r="K179" s="45" t="n"/>
      <c r="L179" s="54">
        <f t="array" ref="L179">IF(K179&lt;&gt;"",IF(INDEX(techniques[detection rules for techique],MATCH(K179,techniques[name],0))&gt;=1,INDEX(techniques[detection rules for techique],MATCH(K179,techniques[name],0)),""),"")</f>
        <v/>
      </c>
      <c r="M179" s="45" t="n"/>
      <c r="N179" s="54">
        <f t="array" ref="N179">IF(M179&lt;&gt;"",IF(INDEX(techniques[detection rules for techique],MATCH(M179,techniques[name],0))&gt;=1,INDEX(techniques[detection rules for techique],MATCH(M179,techniques[name],0)),""),"")</f>
        <v/>
      </c>
      <c r="O179" s="45" t="n"/>
      <c r="P179" s="54">
        <f t="array" ref="P179">IF(O179&lt;&gt;"",IF(INDEX(techniques[detection rules for techique],MATCH(O179,techniques[name],0))&gt;=1,INDEX(techniques[detection rules for techique],MATCH(O179,techniques[name],0)),""),"")</f>
        <v/>
      </c>
      <c r="Q179" s="45" t="n"/>
      <c r="R179" s="54">
        <f t="array" ref="R179">IF(Q179&lt;&gt;"",IF(INDEX(techniques[detection rules for techique],MATCH(Q179,techniques[name],0))&gt;=1,INDEX(techniques[detection rules for techique],MATCH(Q179,techniques[name],0)),""),"")</f>
        <v/>
      </c>
      <c r="S179" s="45" t="n"/>
      <c r="T179" s="54">
        <f t="array" ref="T179">IF(S179&lt;&gt;"",IF(INDEX(techniques[detection rules for techique],MATCH(S179,techniques[name],0))&gt;=1,INDEX(techniques[detection rules for techique],MATCH(S179,techniques[name],0)),""),"")</f>
        <v/>
      </c>
      <c r="U179" s="45" t="n"/>
      <c r="V179" s="54">
        <f t="array" ref="V179">IF(U179&lt;&gt;"",IF(INDEX(techniques[detection rules for techique],MATCH(U179,techniques[name],0))&gt;=1,INDEX(techniques[detection rules for techique],MATCH(U179,techniques[name],0)),""),"")</f>
        <v/>
      </c>
      <c r="W179" s="45" t="n"/>
      <c r="X179" s="54">
        <f t="array" ref="X179">IF(W179&lt;&gt;"",IF(INDEX(techniques[detection rules for techique],MATCH(W179,techniques[name],0))&gt;=1,INDEX(techniques[detection rules for techique],MATCH(W179,techniques[name],0)),""),"")</f>
        <v/>
      </c>
      <c r="Y179" s="45" t="n"/>
      <c r="Z179" s="54">
        <f t="array" ref="Z179">IF(Y179&lt;&gt;"",IF(INDEX(techniques[detection rules for techique],MATCH(Y179,techniques[name],0))&gt;=1,INDEX(techniques[detection rules for techique],MATCH(Y179,techniques[name],0)),""),"")</f>
        <v/>
      </c>
      <c r="AA179" s="45" t="n"/>
      <c r="AB179" s="54">
        <f t="array" ref="AB179">IF(AA179&lt;&gt;"",IF(INDEX(techniques[detection rules for techique],MATCH(AA179,techniques[name],0))&gt;=1,INDEX(techniques[detection rules for techique],MATCH(AA179,techniques[name],0)),""),"")</f>
        <v/>
      </c>
      <c r="AC179" s="45" t="n"/>
      <c r="AD179" s="54">
        <f t="array" ref="AD179">IF(AC179&lt;&gt;"",IF(INDEX(techniques[detection rules for techique],MATCH(AC179,techniques[name],0))&gt;=1,INDEX(techniques[detection rules for techique],MATCH(AC179,techniques[name],0)),""),"")</f>
        <v/>
      </c>
    </row>
    <row r="180">
      <c r="A180" s="45" t="n"/>
      <c r="B180" s="54">
        <f t="array" ref="B180">IF(A180&lt;&gt;"",IF(INDEX(techniques[detection rules for techique],MATCH(A180,techniques[name],0))&gt;=1,INDEX(techniques[detection rules for techique],MATCH(A180,techniques[name],0)),""),"")</f>
        <v/>
      </c>
      <c r="C180" s="45" t="n"/>
      <c r="D180" s="54">
        <f t="array" ref="D180">IF(C180&lt;&gt;"",IF(INDEX(techniques[detection rules for techique],MATCH(C180,techniques[name],0))&gt;=1,INDEX(techniques[detection rules for techique],MATCH(C180,techniques[name],0)),""),"")</f>
        <v/>
      </c>
      <c r="E180" s="45" t="n"/>
      <c r="F180" s="54">
        <f t="array" ref="F180">IF(E180&lt;&gt;"",IF(INDEX(techniques[detection rules for techique],MATCH(E180,techniques[name],0))&gt;=1,INDEX(techniques[detection rules for techique],MATCH(E180,techniques[name],0)),""),"")</f>
        <v/>
      </c>
      <c r="G180" s="45" t="n"/>
      <c r="H180" s="54">
        <f t="array" ref="H180">IF(G180&lt;&gt;"",IF(INDEX(techniques[detection rules for techique],MATCH(G180,techniques[name],0))&gt;=1,INDEX(techniques[detection rules for techique],MATCH(G180,techniques[name],0)),""),"")</f>
        <v/>
      </c>
      <c r="I180" s="45" t="n"/>
      <c r="J180" s="54">
        <f t="array" ref="J180">IF(I180&lt;&gt;"",IF(INDEX(techniques[detection rules for techique],MATCH(I180,techniques[name],0))&gt;=1,INDEX(techniques[detection rules for techique],MATCH(I180,techniques[name],0)),""),"")</f>
        <v/>
      </c>
      <c r="K180" s="45" t="n"/>
      <c r="L180" s="54">
        <f t="array" ref="L180">IF(K180&lt;&gt;"",IF(INDEX(techniques[detection rules for techique],MATCH(K180,techniques[name],0))&gt;=1,INDEX(techniques[detection rules for techique],MATCH(K180,techniques[name],0)),""),"")</f>
        <v/>
      </c>
      <c r="M180" s="45" t="n"/>
      <c r="N180" s="54">
        <f t="array" ref="N180">IF(M180&lt;&gt;"",IF(INDEX(techniques[detection rules for techique],MATCH(M180,techniques[name],0))&gt;=1,INDEX(techniques[detection rules for techique],MATCH(M180,techniques[name],0)),""),"")</f>
        <v/>
      </c>
      <c r="O180" s="45" t="n"/>
      <c r="P180" s="54">
        <f t="array" ref="P180">IF(O180&lt;&gt;"",IF(INDEX(techniques[detection rules for techique],MATCH(O180,techniques[name],0))&gt;=1,INDEX(techniques[detection rules for techique],MATCH(O180,techniques[name],0)),""),"")</f>
        <v/>
      </c>
      <c r="Q180" s="45" t="n"/>
      <c r="R180" s="54">
        <f t="array" ref="R180">IF(Q180&lt;&gt;"",IF(INDEX(techniques[detection rules for techique],MATCH(Q180,techniques[name],0))&gt;=1,INDEX(techniques[detection rules for techique],MATCH(Q180,techniques[name],0)),""),"")</f>
        <v/>
      </c>
      <c r="S180" s="45" t="n"/>
      <c r="T180" s="54">
        <f t="array" ref="T180">IF(S180&lt;&gt;"",IF(INDEX(techniques[detection rules for techique],MATCH(S180,techniques[name],0))&gt;=1,INDEX(techniques[detection rules for techique],MATCH(S180,techniques[name],0)),""),"")</f>
        <v/>
      </c>
      <c r="U180" s="45" t="n"/>
      <c r="V180" s="54">
        <f t="array" ref="V180">IF(U180&lt;&gt;"",IF(INDEX(techniques[detection rules for techique],MATCH(U180,techniques[name],0))&gt;=1,INDEX(techniques[detection rules for techique],MATCH(U180,techniques[name],0)),""),"")</f>
        <v/>
      </c>
      <c r="W180" s="45" t="n"/>
      <c r="X180" s="54">
        <f t="array" ref="X180">IF(W180&lt;&gt;"",IF(INDEX(techniques[detection rules for techique],MATCH(W180,techniques[name],0))&gt;=1,INDEX(techniques[detection rules for techique],MATCH(W180,techniques[name],0)),""),"")</f>
        <v/>
      </c>
      <c r="Y180" s="45" t="n"/>
      <c r="Z180" s="54">
        <f t="array" ref="Z180">IF(Y180&lt;&gt;"",IF(INDEX(techniques[detection rules for techique],MATCH(Y180,techniques[name],0))&gt;=1,INDEX(techniques[detection rules for techique],MATCH(Y180,techniques[name],0)),""),"")</f>
        <v/>
      </c>
      <c r="AA180" s="45" t="n"/>
      <c r="AB180" s="54">
        <f t="array" ref="AB180">IF(AA180&lt;&gt;"",IF(INDEX(techniques[detection rules for techique],MATCH(AA180,techniques[name],0))&gt;=1,INDEX(techniques[detection rules for techique],MATCH(AA180,techniques[name],0)),""),"")</f>
        <v/>
      </c>
      <c r="AC180" s="45" t="n"/>
      <c r="AD180" s="54">
        <f t="array" ref="AD180">IF(AC180&lt;&gt;"",IF(INDEX(techniques[detection rules for techique],MATCH(AC180,techniques[name],0))&gt;=1,INDEX(techniques[detection rules for techique],MATCH(AC180,techniques[name],0)),""),"")</f>
        <v/>
      </c>
    </row>
    <row r="181">
      <c r="A181" s="45" t="n"/>
      <c r="B181" s="54">
        <f t="array" ref="B181">IF(A181&lt;&gt;"",IF(INDEX(techniques[detection rules for techique],MATCH(A181,techniques[name],0))&gt;=1,INDEX(techniques[detection rules for techique],MATCH(A181,techniques[name],0)),""),"")</f>
        <v/>
      </c>
      <c r="C181" s="45" t="n"/>
      <c r="D181" s="54">
        <f t="array" ref="D181">IF(C181&lt;&gt;"",IF(INDEX(techniques[detection rules for techique],MATCH(C181,techniques[name],0))&gt;=1,INDEX(techniques[detection rules for techique],MATCH(C181,techniques[name],0)),""),"")</f>
        <v/>
      </c>
      <c r="E181" s="45" t="n"/>
      <c r="F181" s="54">
        <f t="array" ref="F181">IF(E181&lt;&gt;"",IF(INDEX(techniques[detection rules for techique],MATCH(E181,techniques[name],0))&gt;=1,INDEX(techniques[detection rules for techique],MATCH(E181,techniques[name],0)),""),"")</f>
        <v/>
      </c>
      <c r="G181" s="45" t="n"/>
      <c r="H181" s="54">
        <f t="array" ref="H181">IF(G181&lt;&gt;"",IF(INDEX(techniques[detection rules for techique],MATCH(G181,techniques[name],0))&gt;=1,INDEX(techniques[detection rules for techique],MATCH(G181,techniques[name],0)),""),"")</f>
        <v/>
      </c>
      <c r="I181" s="45" t="n"/>
      <c r="J181" s="54">
        <f t="array" ref="J181">IF(I181&lt;&gt;"",IF(INDEX(techniques[detection rules for techique],MATCH(I181,techniques[name],0))&gt;=1,INDEX(techniques[detection rules for techique],MATCH(I181,techniques[name],0)),""),"")</f>
        <v/>
      </c>
      <c r="K181" s="45" t="n"/>
      <c r="L181" s="54">
        <f t="array" ref="L181">IF(K181&lt;&gt;"",IF(INDEX(techniques[detection rules for techique],MATCH(K181,techniques[name],0))&gt;=1,INDEX(techniques[detection rules for techique],MATCH(K181,techniques[name],0)),""),"")</f>
        <v/>
      </c>
      <c r="M181" s="45" t="n"/>
      <c r="N181" s="54">
        <f t="array" ref="N181">IF(M181&lt;&gt;"",IF(INDEX(techniques[detection rules for techique],MATCH(M181,techniques[name],0))&gt;=1,INDEX(techniques[detection rules for techique],MATCH(M181,techniques[name],0)),""),"")</f>
        <v/>
      </c>
      <c r="O181" s="45" t="n"/>
      <c r="P181" s="54">
        <f t="array" ref="P181">IF(O181&lt;&gt;"",IF(INDEX(techniques[detection rules for techique],MATCH(O181,techniques[name],0))&gt;=1,INDEX(techniques[detection rules for techique],MATCH(O181,techniques[name],0)),""),"")</f>
        <v/>
      </c>
      <c r="Q181" s="45" t="n"/>
      <c r="R181" s="54">
        <f t="array" ref="R181">IF(Q181&lt;&gt;"",IF(INDEX(techniques[detection rules for techique],MATCH(Q181,techniques[name],0))&gt;=1,INDEX(techniques[detection rules for techique],MATCH(Q181,techniques[name],0)),""),"")</f>
        <v/>
      </c>
      <c r="S181" s="45" t="n"/>
      <c r="T181" s="54">
        <f t="array" ref="T181">IF(S181&lt;&gt;"",IF(INDEX(techniques[detection rules for techique],MATCH(S181,techniques[name],0))&gt;=1,INDEX(techniques[detection rules for techique],MATCH(S181,techniques[name],0)),""),"")</f>
        <v/>
      </c>
      <c r="U181" s="45" t="n"/>
      <c r="V181" s="54">
        <f t="array" ref="V181">IF(U181&lt;&gt;"",IF(INDEX(techniques[detection rules for techique],MATCH(U181,techniques[name],0))&gt;=1,INDEX(techniques[detection rules for techique],MATCH(U181,techniques[name],0)),""),"")</f>
        <v/>
      </c>
      <c r="W181" s="45" t="n"/>
      <c r="X181" s="54">
        <f t="array" ref="X181">IF(W181&lt;&gt;"",IF(INDEX(techniques[detection rules for techique],MATCH(W181,techniques[name],0))&gt;=1,INDEX(techniques[detection rules for techique],MATCH(W181,techniques[name],0)),""),"")</f>
        <v/>
      </c>
      <c r="Y181" s="45" t="n"/>
      <c r="Z181" s="54">
        <f t="array" ref="Z181">IF(Y181&lt;&gt;"",IF(INDEX(techniques[detection rules for techique],MATCH(Y181,techniques[name],0))&gt;=1,INDEX(techniques[detection rules for techique],MATCH(Y181,techniques[name],0)),""),"")</f>
        <v/>
      </c>
      <c r="AA181" s="45" t="n"/>
      <c r="AB181" s="54">
        <f t="array" ref="AB181">IF(AA181&lt;&gt;"",IF(INDEX(techniques[detection rules for techique],MATCH(AA181,techniques[name],0))&gt;=1,INDEX(techniques[detection rules for techique],MATCH(AA181,techniques[name],0)),""),"")</f>
        <v/>
      </c>
      <c r="AC181" s="45" t="n"/>
      <c r="AD181" s="54">
        <f t="array" ref="AD181">IF(AC181&lt;&gt;"",IF(INDEX(techniques[detection rules for techique],MATCH(AC181,techniques[name],0))&gt;=1,INDEX(techniques[detection rules for techique],MATCH(AC181,techniques[name],0)),""),"")</f>
        <v/>
      </c>
    </row>
    <row r="182">
      <c r="A182" s="45" t="n"/>
      <c r="B182" s="54">
        <f t="array" ref="B182">IF(A182&lt;&gt;"",IF(INDEX(techniques[detection rules for techique],MATCH(A182,techniques[name],0))&gt;=1,INDEX(techniques[detection rules for techique],MATCH(A182,techniques[name],0)),""),"")</f>
        <v/>
      </c>
      <c r="C182" s="45" t="n"/>
      <c r="D182" s="54">
        <f t="array" ref="D182">IF(C182&lt;&gt;"",IF(INDEX(techniques[detection rules for techique],MATCH(C182,techniques[name],0))&gt;=1,INDEX(techniques[detection rules for techique],MATCH(C182,techniques[name],0)),""),"")</f>
        <v/>
      </c>
      <c r="E182" s="45" t="n"/>
      <c r="F182" s="54">
        <f t="array" ref="F182">IF(E182&lt;&gt;"",IF(INDEX(techniques[detection rules for techique],MATCH(E182,techniques[name],0))&gt;=1,INDEX(techniques[detection rules for techique],MATCH(E182,techniques[name],0)),""),"")</f>
        <v/>
      </c>
      <c r="G182" s="45" t="n"/>
      <c r="H182" s="54">
        <f t="array" ref="H182">IF(G182&lt;&gt;"",IF(INDEX(techniques[detection rules for techique],MATCH(G182,techniques[name],0))&gt;=1,INDEX(techniques[detection rules for techique],MATCH(G182,techniques[name],0)),""),"")</f>
        <v/>
      </c>
      <c r="I182" s="45" t="n"/>
      <c r="J182" s="54">
        <f t="array" ref="J182">IF(I182&lt;&gt;"",IF(INDEX(techniques[detection rules for techique],MATCH(I182,techniques[name],0))&gt;=1,INDEX(techniques[detection rules for techique],MATCH(I182,techniques[name],0)),""),"")</f>
        <v/>
      </c>
      <c r="K182" s="45" t="n"/>
      <c r="L182" s="54">
        <f t="array" ref="L182">IF(K182&lt;&gt;"",IF(INDEX(techniques[detection rules for techique],MATCH(K182,techniques[name],0))&gt;=1,INDEX(techniques[detection rules for techique],MATCH(K182,techniques[name],0)),""),"")</f>
        <v/>
      </c>
      <c r="M182" s="45" t="n"/>
      <c r="N182" s="54">
        <f t="array" ref="N182">IF(M182&lt;&gt;"",IF(INDEX(techniques[detection rules for techique],MATCH(M182,techniques[name],0))&gt;=1,INDEX(techniques[detection rules for techique],MATCH(M182,techniques[name],0)),""),"")</f>
        <v/>
      </c>
      <c r="O182" s="45" t="n"/>
      <c r="P182" s="54">
        <f t="array" ref="P182">IF(O182&lt;&gt;"",IF(INDEX(techniques[detection rules for techique],MATCH(O182,techniques[name],0))&gt;=1,INDEX(techniques[detection rules for techique],MATCH(O182,techniques[name],0)),""),"")</f>
        <v/>
      </c>
      <c r="Q182" s="45" t="n"/>
      <c r="R182" s="54">
        <f t="array" ref="R182">IF(Q182&lt;&gt;"",IF(INDEX(techniques[detection rules for techique],MATCH(Q182,techniques[name],0))&gt;=1,INDEX(techniques[detection rules for techique],MATCH(Q182,techniques[name],0)),""),"")</f>
        <v/>
      </c>
      <c r="S182" s="45" t="n"/>
      <c r="T182" s="54">
        <f t="array" ref="T182">IF(S182&lt;&gt;"",IF(INDEX(techniques[detection rules for techique],MATCH(S182,techniques[name],0))&gt;=1,INDEX(techniques[detection rules for techique],MATCH(S182,techniques[name],0)),""),"")</f>
        <v/>
      </c>
      <c r="U182" s="45" t="n"/>
      <c r="V182" s="54">
        <f t="array" ref="V182">IF(U182&lt;&gt;"",IF(INDEX(techniques[detection rules for techique],MATCH(U182,techniques[name],0))&gt;=1,INDEX(techniques[detection rules for techique],MATCH(U182,techniques[name],0)),""),"")</f>
        <v/>
      </c>
      <c r="W182" s="45" t="n"/>
      <c r="X182" s="54">
        <f t="array" ref="X182">IF(W182&lt;&gt;"",IF(INDEX(techniques[detection rules for techique],MATCH(W182,techniques[name],0))&gt;=1,INDEX(techniques[detection rules for techique],MATCH(W182,techniques[name],0)),""),"")</f>
        <v/>
      </c>
      <c r="Y182" s="45" t="n"/>
      <c r="Z182" s="54">
        <f t="array" ref="Z182">IF(Y182&lt;&gt;"",IF(INDEX(techniques[detection rules for techique],MATCH(Y182,techniques[name],0))&gt;=1,INDEX(techniques[detection rules for techique],MATCH(Y182,techniques[name],0)),""),"")</f>
        <v/>
      </c>
      <c r="AA182" s="45" t="n"/>
      <c r="AB182" s="54">
        <f t="array" ref="AB182">IF(AA182&lt;&gt;"",IF(INDEX(techniques[detection rules for techique],MATCH(AA182,techniques[name],0))&gt;=1,INDEX(techniques[detection rules for techique],MATCH(AA182,techniques[name],0)),""),"")</f>
        <v/>
      </c>
      <c r="AC182" s="45" t="n"/>
      <c r="AD182" s="54">
        <f t="array" ref="AD182">IF(AC182&lt;&gt;"",IF(INDEX(techniques[detection rules for techique],MATCH(AC182,techniques[name],0))&gt;=1,INDEX(techniques[detection rules for techique],MATCH(AC182,techniques[name],0)),""),"")</f>
        <v/>
      </c>
    </row>
    <row r="183">
      <c r="A183" s="45" t="n"/>
      <c r="B183" s="54">
        <f t="array" ref="B183">IF(A183&lt;&gt;"",IF(INDEX(techniques[detection rules for techique],MATCH(A183,techniques[name],0))&gt;=1,INDEX(techniques[detection rules for techique],MATCH(A183,techniques[name],0)),""),"")</f>
        <v/>
      </c>
      <c r="C183" s="45" t="n"/>
      <c r="D183" s="54">
        <f t="array" ref="D183">IF(C183&lt;&gt;"",IF(INDEX(techniques[detection rules for techique],MATCH(C183,techniques[name],0))&gt;=1,INDEX(techniques[detection rules for techique],MATCH(C183,techniques[name],0)),""),"")</f>
        <v/>
      </c>
      <c r="E183" s="45" t="n"/>
      <c r="F183" s="54">
        <f t="array" ref="F183">IF(E183&lt;&gt;"",IF(INDEX(techniques[detection rules for techique],MATCH(E183,techniques[name],0))&gt;=1,INDEX(techniques[detection rules for techique],MATCH(E183,techniques[name],0)),""),"")</f>
        <v/>
      </c>
      <c r="G183" s="45" t="n"/>
      <c r="H183" s="54">
        <f t="array" ref="H183">IF(G183&lt;&gt;"",IF(INDEX(techniques[detection rules for techique],MATCH(G183,techniques[name],0))&gt;=1,INDEX(techniques[detection rules for techique],MATCH(G183,techniques[name],0)),""),"")</f>
        <v/>
      </c>
      <c r="I183" s="45" t="n"/>
      <c r="J183" s="54">
        <f t="array" ref="J183">IF(I183&lt;&gt;"",IF(INDEX(techniques[detection rules for techique],MATCH(I183,techniques[name],0))&gt;=1,INDEX(techniques[detection rules for techique],MATCH(I183,techniques[name],0)),""),"")</f>
        <v/>
      </c>
      <c r="K183" s="45" t="n"/>
      <c r="L183" s="54">
        <f t="array" ref="L183">IF(K183&lt;&gt;"",IF(INDEX(techniques[detection rules for techique],MATCH(K183,techniques[name],0))&gt;=1,INDEX(techniques[detection rules for techique],MATCH(K183,techniques[name],0)),""),"")</f>
        <v/>
      </c>
      <c r="M183" s="45" t="n"/>
      <c r="N183" s="54">
        <f t="array" ref="N183">IF(M183&lt;&gt;"",IF(INDEX(techniques[detection rules for techique],MATCH(M183,techniques[name],0))&gt;=1,INDEX(techniques[detection rules for techique],MATCH(M183,techniques[name],0)),""),"")</f>
        <v/>
      </c>
      <c r="O183" s="45" t="n"/>
      <c r="P183" s="54">
        <f t="array" ref="P183">IF(O183&lt;&gt;"",IF(INDEX(techniques[detection rules for techique],MATCH(O183,techniques[name],0))&gt;=1,INDEX(techniques[detection rules for techique],MATCH(O183,techniques[name],0)),""),"")</f>
        <v/>
      </c>
      <c r="Q183" s="45" t="n"/>
      <c r="R183" s="54">
        <f t="array" ref="R183">IF(Q183&lt;&gt;"",IF(INDEX(techniques[detection rules for techique],MATCH(Q183,techniques[name],0))&gt;=1,INDEX(techniques[detection rules for techique],MATCH(Q183,techniques[name],0)),""),"")</f>
        <v/>
      </c>
      <c r="S183" s="45" t="n"/>
      <c r="T183" s="54">
        <f t="array" ref="T183">IF(S183&lt;&gt;"",IF(INDEX(techniques[detection rules for techique],MATCH(S183,techniques[name],0))&gt;=1,INDEX(techniques[detection rules for techique],MATCH(S183,techniques[name],0)),""),"")</f>
        <v/>
      </c>
      <c r="U183" s="45" t="n"/>
      <c r="V183" s="54">
        <f t="array" ref="V183">IF(U183&lt;&gt;"",IF(INDEX(techniques[detection rules for techique],MATCH(U183,techniques[name],0))&gt;=1,INDEX(techniques[detection rules for techique],MATCH(U183,techniques[name],0)),""),"")</f>
        <v/>
      </c>
      <c r="W183" s="45" t="n"/>
      <c r="X183" s="54">
        <f t="array" ref="X183">IF(W183&lt;&gt;"",IF(INDEX(techniques[detection rules for techique],MATCH(W183,techniques[name],0))&gt;=1,INDEX(techniques[detection rules for techique],MATCH(W183,techniques[name],0)),""),"")</f>
        <v/>
      </c>
      <c r="Y183" s="45" t="n"/>
      <c r="Z183" s="54">
        <f t="array" ref="Z183">IF(Y183&lt;&gt;"",IF(INDEX(techniques[detection rules for techique],MATCH(Y183,techniques[name],0))&gt;=1,INDEX(techniques[detection rules for techique],MATCH(Y183,techniques[name],0)),""),"")</f>
        <v/>
      </c>
      <c r="AA183" s="45" t="n"/>
      <c r="AB183" s="54">
        <f t="array" ref="AB183">IF(AA183&lt;&gt;"",IF(INDEX(techniques[detection rules for techique],MATCH(AA183,techniques[name],0))&gt;=1,INDEX(techniques[detection rules for techique],MATCH(AA183,techniques[name],0)),""),"")</f>
        <v/>
      </c>
      <c r="AC183" s="45" t="n"/>
      <c r="AD183" s="54">
        <f t="array" ref="AD183">IF(AC183&lt;&gt;"",IF(INDEX(techniques[detection rules for techique],MATCH(AC183,techniques[name],0))&gt;=1,INDEX(techniques[detection rules for techique],MATCH(AC183,techniques[name],0)),""),"")</f>
        <v/>
      </c>
    </row>
    <row r="184">
      <c r="A184" s="45" t="n"/>
      <c r="B184" s="54">
        <f t="array" ref="B184">IF(A184&lt;&gt;"",IF(INDEX(techniques[detection rules for techique],MATCH(A184,techniques[name],0))&gt;=1,INDEX(techniques[detection rules for techique],MATCH(A184,techniques[name],0)),""),"")</f>
        <v/>
      </c>
      <c r="C184" s="45" t="n"/>
      <c r="D184" s="54">
        <f t="array" ref="D184">IF(C184&lt;&gt;"",IF(INDEX(techniques[detection rules for techique],MATCH(C184,techniques[name],0))&gt;=1,INDEX(techniques[detection rules for techique],MATCH(C184,techniques[name],0)),""),"")</f>
        <v/>
      </c>
      <c r="E184" s="45" t="n"/>
      <c r="F184" s="54">
        <f t="array" ref="F184">IF(E184&lt;&gt;"",IF(INDEX(techniques[detection rules for techique],MATCH(E184,techniques[name],0))&gt;=1,INDEX(techniques[detection rules for techique],MATCH(E184,techniques[name],0)),""),"")</f>
        <v/>
      </c>
      <c r="G184" s="45" t="n"/>
      <c r="H184" s="54">
        <f t="array" ref="H184">IF(G184&lt;&gt;"",IF(INDEX(techniques[detection rules for techique],MATCH(G184,techniques[name],0))&gt;=1,INDEX(techniques[detection rules for techique],MATCH(G184,techniques[name],0)),""),"")</f>
        <v/>
      </c>
      <c r="I184" s="45" t="n"/>
      <c r="J184" s="54">
        <f t="array" ref="J184">IF(I184&lt;&gt;"",IF(INDEX(techniques[detection rules for techique],MATCH(I184,techniques[name],0))&gt;=1,INDEX(techniques[detection rules for techique],MATCH(I184,techniques[name],0)),""),"")</f>
        <v/>
      </c>
      <c r="K184" s="45" t="n"/>
      <c r="L184" s="54">
        <f t="array" ref="L184">IF(K184&lt;&gt;"",IF(INDEX(techniques[detection rules for techique],MATCH(K184,techniques[name],0))&gt;=1,INDEX(techniques[detection rules for techique],MATCH(K184,techniques[name],0)),""),"")</f>
        <v/>
      </c>
      <c r="M184" s="45" t="n"/>
      <c r="N184" s="54">
        <f t="array" ref="N184">IF(M184&lt;&gt;"",IF(INDEX(techniques[detection rules for techique],MATCH(M184,techniques[name],0))&gt;=1,INDEX(techniques[detection rules for techique],MATCH(M184,techniques[name],0)),""),"")</f>
        <v/>
      </c>
      <c r="O184" s="45" t="n"/>
      <c r="P184" s="54">
        <f t="array" ref="P184">IF(O184&lt;&gt;"",IF(INDEX(techniques[detection rules for techique],MATCH(O184,techniques[name],0))&gt;=1,INDEX(techniques[detection rules for techique],MATCH(O184,techniques[name],0)),""),"")</f>
        <v/>
      </c>
      <c r="Q184" s="45" t="n"/>
      <c r="R184" s="54">
        <f t="array" ref="R184">IF(Q184&lt;&gt;"",IF(INDEX(techniques[detection rules for techique],MATCH(Q184,techniques[name],0))&gt;=1,INDEX(techniques[detection rules for techique],MATCH(Q184,techniques[name],0)),""),"")</f>
        <v/>
      </c>
      <c r="S184" s="45" t="n"/>
      <c r="T184" s="54">
        <f t="array" ref="T184">IF(S184&lt;&gt;"",IF(INDEX(techniques[detection rules for techique],MATCH(S184,techniques[name],0))&gt;=1,INDEX(techniques[detection rules for techique],MATCH(S184,techniques[name],0)),""),"")</f>
        <v/>
      </c>
      <c r="U184" s="45" t="n"/>
      <c r="V184" s="54">
        <f t="array" ref="V184">IF(U184&lt;&gt;"",IF(INDEX(techniques[detection rules for techique],MATCH(U184,techniques[name],0))&gt;=1,INDEX(techniques[detection rules for techique],MATCH(U184,techniques[name],0)),""),"")</f>
        <v/>
      </c>
      <c r="W184" s="45" t="n"/>
      <c r="X184" s="54">
        <f t="array" ref="X184">IF(W184&lt;&gt;"",IF(INDEX(techniques[detection rules for techique],MATCH(W184,techniques[name],0))&gt;=1,INDEX(techniques[detection rules for techique],MATCH(W184,techniques[name],0)),""),"")</f>
        <v/>
      </c>
      <c r="Y184" s="45" t="n"/>
      <c r="Z184" s="54">
        <f t="array" ref="Z184">IF(Y184&lt;&gt;"",IF(INDEX(techniques[detection rules for techique],MATCH(Y184,techniques[name],0))&gt;=1,INDEX(techniques[detection rules for techique],MATCH(Y184,techniques[name],0)),""),"")</f>
        <v/>
      </c>
      <c r="AA184" s="45" t="n"/>
      <c r="AB184" s="54">
        <f t="array" ref="AB184">IF(AA184&lt;&gt;"",IF(INDEX(techniques[detection rules for techique],MATCH(AA184,techniques[name],0))&gt;=1,INDEX(techniques[detection rules for techique],MATCH(AA184,techniques[name],0)),""),"")</f>
        <v/>
      </c>
      <c r="AC184" s="45" t="n"/>
      <c r="AD184" s="54">
        <f t="array" ref="AD184">IF(AC184&lt;&gt;"",IF(INDEX(techniques[detection rules for techique],MATCH(AC184,techniques[name],0))&gt;=1,INDEX(techniques[detection rules for techique],MATCH(AC184,techniques[name],0)),""),"")</f>
        <v/>
      </c>
    </row>
    <row r="185">
      <c r="A185" s="45" t="n"/>
      <c r="B185" s="54">
        <f t="array" ref="B185">IF(A185&lt;&gt;"",IF(INDEX(techniques[detection rules for techique],MATCH(A185,techniques[name],0))&gt;=1,INDEX(techniques[detection rules for techique],MATCH(A185,techniques[name],0)),""),"")</f>
        <v/>
      </c>
      <c r="C185" s="45" t="n"/>
      <c r="D185" s="54">
        <f t="array" ref="D185">IF(C185&lt;&gt;"",IF(INDEX(techniques[detection rules for techique],MATCH(C185,techniques[name],0))&gt;=1,INDEX(techniques[detection rules for techique],MATCH(C185,techniques[name],0)),""),"")</f>
        <v/>
      </c>
      <c r="E185" s="45" t="n"/>
      <c r="F185" s="54">
        <f t="array" ref="F185">IF(E185&lt;&gt;"",IF(INDEX(techniques[detection rules for techique],MATCH(E185,techniques[name],0))&gt;=1,INDEX(techniques[detection rules for techique],MATCH(E185,techniques[name],0)),""),"")</f>
        <v/>
      </c>
      <c r="G185" s="45" t="n"/>
      <c r="H185" s="54">
        <f t="array" ref="H185">IF(G185&lt;&gt;"",IF(INDEX(techniques[detection rules for techique],MATCH(G185,techniques[name],0))&gt;=1,INDEX(techniques[detection rules for techique],MATCH(G185,techniques[name],0)),""),"")</f>
        <v/>
      </c>
      <c r="I185" s="45" t="n"/>
      <c r="J185" s="54">
        <f t="array" ref="J185">IF(I185&lt;&gt;"",IF(INDEX(techniques[detection rules for techique],MATCH(I185,techniques[name],0))&gt;=1,INDEX(techniques[detection rules for techique],MATCH(I185,techniques[name],0)),""),"")</f>
        <v/>
      </c>
      <c r="K185" s="45" t="n"/>
      <c r="L185" s="54">
        <f t="array" ref="L185">IF(K185&lt;&gt;"",IF(INDEX(techniques[detection rules for techique],MATCH(K185,techniques[name],0))&gt;=1,INDEX(techniques[detection rules for techique],MATCH(K185,techniques[name],0)),""),"")</f>
        <v/>
      </c>
      <c r="M185" s="45" t="n"/>
      <c r="N185" s="54">
        <f t="array" ref="N185">IF(M185&lt;&gt;"",IF(INDEX(techniques[detection rules for techique],MATCH(M185,techniques[name],0))&gt;=1,INDEX(techniques[detection rules for techique],MATCH(M185,techniques[name],0)),""),"")</f>
        <v/>
      </c>
      <c r="O185" s="45" t="n"/>
      <c r="P185" s="54">
        <f t="array" ref="P185">IF(O185&lt;&gt;"",IF(INDEX(techniques[detection rules for techique],MATCH(O185,techniques[name],0))&gt;=1,INDEX(techniques[detection rules for techique],MATCH(O185,techniques[name],0)),""),"")</f>
        <v/>
      </c>
      <c r="Q185" s="45" t="n"/>
      <c r="R185" s="54">
        <f t="array" ref="R185">IF(Q185&lt;&gt;"",IF(INDEX(techniques[detection rules for techique],MATCH(Q185,techniques[name],0))&gt;=1,INDEX(techniques[detection rules for techique],MATCH(Q185,techniques[name],0)),""),"")</f>
        <v/>
      </c>
      <c r="S185" s="45" t="n"/>
      <c r="T185" s="54">
        <f t="array" ref="T185">IF(S185&lt;&gt;"",IF(INDEX(techniques[detection rules for techique],MATCH(S185,techniques[name],0))&gt;=1,INDEX(techniques[detection rules for techique],MATCH(S185,techniques[name],0)),""),"")</f>
        <v/>
      </c>
      <c r="U185" s="45" t="n"/>
      <c r="V185" s="54">
        <f t="array" ref="V185">IF(U185&lt;&gt;"",IF(INDEX(techniques[detection rules for techique],MATCH(U185,techniques[name],0))&gt;=1,INDEX(techniques[detection rules for techique],MATCH(U185,techniques[name],0)),""),"")</f>
        <v/>
      </c>
      <c r="W185" s="45" t="n"/>
      <c r="X185" s="54">
        <f t="array" ref="X185">IF(W185&lt;&gt;"",IF(INDEX(techniques[detection rules for techique],MATCH(W185,techniques[name],0))&gt;=1,INDEX(techniques[detection rules for techique],MATCH(W185,techniques[name],0)),""),"")</f>
        <v/>
      </c>
      <c r="Y185" s="45" t="n"/>
      <c r="Z185" s="54">
        <f t="array" ref="Z185">IF(Y185&lt;&gt;"",IF(INDEX(techniques[detection rules for techique],MATCH(Y185,techniques[name],0))&gt;=1,INDEX(techniques[detection rules for techique],MATCH(Y185,techniques[name],0)),""),"")</f>
        <v/>
      </c>
      <c r="AA185" s="45" t="n"/>
      <c r="AB185" s="54">
        <f t="array" ref="AB185">IF(AA185&lt;&gt;"",IF(INDEX(techniques[detection rules for techique],MATCH(AA185,techniques[name],0))&gt;=1,INDEX(techniques[detection rules for techique],MATCH(AA185,techniques[name],0)),""),"")</f>
        <v/>
      </c>
      <c r="AC185" s="45" t="n"/>
      <c r="AD185" s="54">
        <f t="array" ref="AD185">IF(AC185&lt;&gt;"",IF(INDEX(techniques[detection rules for techique],MATCH(AC185,techniques[name],0))&gt;=1,INDEX(techniques[detection rules for techique],MATCH(AC185,techniques[name],0)),""),"")</f>
        <v/>
      </c>
    </row>
    <row r="186">
      <c r="A186" s="45" t="n"/>
      <c r="B186" s="54">
        <f t="array" ref="B186">IF(A186&lt;&gt;"",IF(INDEX(techniques[detection rules for techique],MATCH(A186,techniques[name],0))&gt;=1,INDEX(techniques[detection rules for techique],MATCH(A186,techniques[name],0)),""),"")</f>
        <v/>
      </c>
      <c r="C186" s="45" t="n"/>
      <c r="D186" s="54">
        <f t="array" ref="D186">IF(C186&lt;&gt;"",IF(INDEX(techniques[detection rules for techique],MATCH(C186,techniques[name],0))&gt;=1,INDEX(techniques[detection rules for techique],MATCH(C186,techniques[name],0)),""),"")</f>
        <v/>
      </c>
      <c r="E186" s="45" t="n"/>
      <c r="F186" s="54">
        <f t="array" ref="F186">IF(E186&lt;&gt;"",IF(INDEX(techniques[detection rules for techique],MATCH(E186,techniques[name],0))&gt;=1,INDEX(techniques[detection rules for techique],MATCH(E186,techniques[name],0)),""),"")</f>
        <v/>
      </c>
      <c r="G186" s="45" t="n"/>
      <c r="H186" s="54">
        <f t="array" ref="H186">IF(G186&lt;&gt;"",IF(INDEX(techniques[detection rules for techique],MATCH(G186,techniques[name],0))&gt;=1,INDEX(techniques[detection rules for techique],MATCH(G186,techniques[name],0)),""),"")</f>
        <v/>
      </c>
      <c r="I186" s="45" t="n"/>
      <c r="J186" s="54">
        <f t="array" ref="J186">IF(I186&lt;&gt;"",IF(INDEX(techniques[detection rules for techique],MATCH(I186,techniques[name],0))&gt;=1,INDEX(techniques[detection rules for techique],MATCH(I186,techniques[name],0)),""),"")</f>
        <v/>
      </c>
      <c r="K186" s="45" t="n"/>
      <c r="L186" s="54">
        <f t="array" ref="L186">IF(K186&lt;&gt;"",IF(INDEX(techniques[detection rules for techique],MATCH(K186,techniques[name],0))&gt;=1,INDEX(techniques[detection rules for techique],MATCH(K186,techniques[name],0)),""),"")</f>
        <v/>
      </c>
      <c r="M186" s="45" t="n"/>
      <c r="N186" s="54">
        <f t="array" ref="N186">IF(M186&lt;&gt;"",IF(INDEX(techniques[detection rules for techique],MATCH(M186,techniques[name],0))&gt;=1,INDEX(techniques[detection rules for techique],MATCH(M186,techniques[name],0)),""),"")</f>
        <v/>
      </c>
      <c r="O186" s="45" t="n"/>
      <c r="P186" s="54">
        <f t="array" ref="P186">IF(O186&lt;&gt;"",IF(INDEX(techniques[detection rules for techique],MATCH(O186,techniques[name],0))&gt;=1,INDEX(techniques[detection rules for techique],MATCH(O186,techniques[name],0)),""),"")</f>
        <v/>
      </c>
      <c r="Q186" s="45" t="n"/>
      <c r="R186" s="54">
        <f t="array" ref="R186">IF(Q186&lt;&gt;"",IF(INDEX(techniques[detection rules for techique],MATCH(Q186,techniques[name],0))&gt;=1,INDEX(techniques[detection rules for techique],MATCH(Q186,techniques[name],0)),""),"")</f>
        <v/>
      </c>
      <c r="S186" s="45" t="n"/>
      <c r="T186" s="54">
        <f t="array" ref="T186">IF(S186&lt;&gt;"",IF(INDEX(techniques[detection rules for techique],MATCH(S186,techniques[name],0))&gt;=1,INDEX(techniques[detection rules for techique],MATCH(S186,techniques[name],0)),""),"")</f>
        <v/>
      </c>
      <c r="U186" s="45" t="n"/>
      <c r="V186" s="54">
        <f t="array" ref="V186">IF(U186&lt;&gt;"",IF(INDEX(techniques[detection rules for techique],MATCH(U186,techniques[name],0))&gt;=1,INDEX(techniques[detection rules for techique],MATCH(U186,techniques[name],0)),""),"")</f>
        <v/>
      </c>
      <c r="W186" s="45" t="n"/>
      <c r="X186" s="54">
        <f t="array" ref="X186">IF(W186&lt;&gt;"",IF(INDEX(techniques[detection rules for techique],MATCH(W186,techniques[name],0))&gt;=1,INDEX(techniques[detection rules for techique],MATCH(W186,techniques[name],0)),""),"")</f>
        <v/>
      </c>
      <c r="Y186" s="45" t="n"/>
      <c r="Z186" s="54">
        <f t="array" ref="Z186">IF(Y186&lt;&gt;"",IF(INDEX(techniques[detection rules for techique],MATCH(Y186,techniques[name],0))&gt;=1,INDEX(techniques[detection rules for techique],MATCH(Y186,techniques[name],0)),""),"")</f>
        <v/>
      </c>
      <c r="AA186" s="45" t="n"/>
      <c r="AB186" s="54">
        <f t="array" ref="AB186">IF(AA186&lt;&gt;"",IF(INDEX(techniques[detection rules for techique],MATCH(AA186,techniques[name],0))&gt;=1,INDEX(techniques[detection rules for techique],MATCH(AA186,techniques[name],0)),""),"")</f>
        <v/>
      </c>
      <c r="AC186" s="45" t="n"/>
      <c r="AD186" s="54">
        <f t="array" ref="AD186">IF(AC186&lt;&gt;"",IF(INDEX(techniques[detection rules for techique],MATCH(AC186,techniques[name],0))&gt;=1,INDEX(techniques[detection rules for techique],MATCH(AC186,techniques[name],0)),""),"")</f>
        <v/>
      </c>
    </row>
    <row r="187">
      <c r="A187" s="45" t="n"/>
      <c r="B187" s="54">
        <f t="array" ref="B187">IF(A187&lt;&gt;"",IF(INDEX(techniques[detection rules for techique],MATCH(A187,techniques[name],0))&gt;=1,INDEX(techniques[detection rules for techique],MATCH(A187,techniques[name],0)),""),"")</f>
        <v/>
      </c>
      <c r="C187" s="45" t="n"/>
      <c r="D187" s="54">
        <f t="array" ref="D187">IF(C187&lt;&gt;"",IF(INDEX(techniques[detection rules for techique],MATCH(C187,techniques[name],0))&gt;=1,INDEX(techniques[detection rules for techique],MATCH(C187,techniques[name],0)),""),"")</f>
        <v/>
      </c>
      <c r="E187" s="45" t="n"/>
      <c r="F187" s="54">
        <f t="array" ref="F187">IF(E187&lt;&gt;"",IF(INDEX(techniques[detection rules for techique],MATCH(E187,techniques[name],0))&gt;=1,INDEX(techniques[detection rules for techique],MATCH(E187,techniques[name],0)),""),"")</f>
        <v/>
      </c>
      <c r="G187" s="45" t="n"/>
      <c r="H187" s="54">
        <f t="array" ref="H187">IF(G187&lt;&gt;"",IF(INDEX(techniques[detection rules for techique],MATCH(G187,techniques[name],0))&gt;=1,INDEX(techniques[detection rules for techique],MATCH(G187,techniques[name],0)),""),"")</f>
        <v/>
      </c>
      <c r="I187" s="45" t="n"/>
      <c r="J187" s="54">
        <f t="array" ref="J187">IF(I187&lt;&gt;"",IF(INDEX(techniques[detection rules for techique],MATCH(I187,techniques[name],0))&gt;=1,INDEX(techniques[detection rules for techique],MATCH(I187,techniques[name],0)),""),"")</f>
        <v/>
      </c>
      <c r="K187" s="45" t="n"/>
      <c r="L187" s="54">
        <f t="array" ref="L187">IF(K187&lt;&gt;"",IF(INDEX(techniques[detection rules for techique],MATCH(K187,techniques[name],0))&gt;=1,INDEX(techniques[detection rules for techique],MATCH(K187,techniques[name],0)),""),"")</f>
        <v/>
      </c>
      <c r="M187" s="45" t="n"/>
      <c r="N187" s="54">
        <f t="array" ref="N187">IF(M187&lt;&gt;"",IF(INDEX(techniques[detection rules for techique],MATCH(M187,techniques[name],0))&gt;=1,INDEX(techniques[detection rules for techique],MATCH(M187,techniques[name],0)),""),"")</f>
        <v/>
      </c>
      <c r="O187" s="45" t="n"/>
      <c r="P187" s="54">
        <f t="array" ref="P187">IF(O187&lt;&gt;"",IF(INDEX(techniques[detection rules for techique],MATCH(O187,techniques[name],0))&gt;=1,INDEX(techniques[detection rules for techique],MATCH(O187,techniques[name],0)),""),"")</f>
        <v/>
      </c>
      <c r="Q187" s="45" t="n"/>
      <c r="R187" s="54">
        <f t="array" ref="R187">IF(Q187&lt;&gt;"",IF(INDEX(techniques[detection rules for techique],MATCH(Q187,techniques[name],0))&gt;=1,INDEX(techniques[detection rules for techique],MATCH(Q187,techniques[name],0)),""),"")</f>
        <v/>
      </c>
      <c r="S187" s="45" t="n"/>
      <c r="T187" s="54">
        <f t="array" ref="T187">IF(S187&lt;&gt;"",IF(INDEX(techniques[detection rules for techique],MATCH(S187,techniques[name],0))&gt;=1,INDEX(techniques[detection rules for techique],MATCH(S187,techniques[name],0)),""),"")</f>
        <v/>
      </c>
      <c r="U187" s="45" t="n"/>
      <c r="V187" s="54">
        <f t="array" ref="V187">IF(U187&lt;&gt;"",IF(INDEX(techniques[detection rules for techique],MATCH(U187,techniques[name],0))&gt;=1,INDEX(techniques[detection rules for techique],MATCH(U187,techniques[name],0)),""),"")</f>
        <v/>
      </c>
      <c r="W187" s="45" t="n"/>
      <c r="X187" s="54">
        <f t="array" ref="X187">IF(W187&lt;&gt;"",IF(INDEX(techniques[detection rules for techique],MATCH(W187,techniques[name],0))&gt;=1,INDEX(techniques[detection rules for techique],MATCH(W187,techniques[name],0)),""),"")</f>
        <v/>
      </c>
      <c r="Y187" s="45" t="n"/>
      <c r="Z187" s="54">
        <f t="array" ref="Z187">IF(Y187&lt;&gt;"",IF(INDEX(techniques[detection rules for techique],MATCH(Y187,techniques[name],0))&gt;=1,INDEX(techniques[detection rules for techique],MATCH(Y187,techniques[name],0)),""),"")</f>
        <v/>
      </c>
      <c r="AA187" s="45" t="n"/>
      <c r="AB187" s="54">
        <f t="array" ref="AB187">IF(AA187&lt;&gt;"",IF(INDEX(techniques[detection rules for techique],MATCH(AA187,techniques[name],0))&gt;=1,INDEX(techniques[detection rules for techique],MATCH(AA187,techniques[name],0)),""),"")</f>
        <v/>
      </c>
      <c r="AC187" s="45" t="n"/>
      <c r="AD187" s="54">
        <f t="array" ref="AD187">IF(AC187&lt;&gt;"",IF(INDEX(techniques[detection rules for techique],MATCH(AC187,techniques[name],0))&gt;=1,INDEX(techniques[detection rules for techique],MATCH(AC187,techniques[name],0)),""),"")</f>
        <v/>
      </c>
    </row>
    <row r="188">
      <c r="A188" s="45" t="n"/>
      <c r="B188" s="54">
        <f t="array" ref="B188">IF(A188&lt;&gt;"",IF(INDEX(techniques[detection rules for techique],MATCH(A188,techniques[name],0))&gt;=1,INDEX(techniques[detection rules for techique],MATCH(A188,techniques[name],0)),""),"")</f>
        <v/>
      </c>
      <c r="C188" s="45" t="n"/>
      <c r="D188" s="54">
        <f t="array" ref="D188">IF(C188&lt;&gt;"",IF(INDEX(techniques[detection rules for techique],MATCH(C188,techniques[name],0))&gt;=1,INDEX(techniques[detection rules for techique],MATCH(C188,techniques[name],0)),""),"")</f>
        <v/>
      </c>
      <c r="E188" s="45" t="n"/>
      <c r="F188" s="54">
        <f t="array" ref="F188">IF(E188&lt;&gt;"",IF(INDEX(techniques[detection rules for techique],MATCH(E188,techniques[name],0))&gt;=1,INDEX(techniques[detection rules for techique],MATCH(E188,techniques[name],0)),""),"")</f>
        <v/>
      </c>
      <c r="G188" s="45" t="n"/>
      <c r="H188" s="54">
        <f t="array" ref="H188">IF(G188&lt;&gt;"",IF(INDEX(techniques[detection rules for techique],MATCH(G188,techniques[name],0))&gt;=1,INDEX(techniques[detection rules for techique],MATCH(G188,techniques[name],0)),""),"")</f>
        <v/>
      </c>
      <c r="I188" s="45" t="n"/>
      <c r="J188" s="54">
        <f t="array" ref="J188">IF(I188&lt;&gt;"",IF(INDEX(techniques[detection rules for techique],MATCH(I188,techniques[name],0))&gt;=1,INDEX(techniques[detection rules for techique],MATCH(I188,techniques[name],0)),""),"")</f>
        <v/>
      </c>
      <c r="K188" s="45" t="n"/>
      <c r="L188" s="54">
        <f t="array" ref="L188">IF(K188&lt;&gt;"",IF(INDEX(techniques[detection rules for techique],MATCH(K188,techniques[name],0))&gt;=1,INDEX(techniques[detection rules for techique],MATCH(K188,techniques[name],0)),""),"")</f>
        <v/>
      </c>
      <c r="M188" s="45" t="n"/>
      <c r="N188" s="54">
        <f t="array" ref="N188">IF(M188&lt;&gt;"",IF(INDEX(techniques[detection rules for techique],MATCH(M188,techniques[name],0))&gt;=1,INDEX(techniques[detection rules for techique],MATCH(M188,techniques[name],0)),""),"")</f>
        <v/>
      </c>
      <c r="O188" s="45" t="n"/>
      <c r="P188" s="54">
        <f t="array" ref="P188">IF(O188&lt;&gt;"",IF(INDEX(techniques[detection rules for techique],MATCH(O188,techniques[name],0))&gt;=1,INDEX(techniques[detection rules for techique],MATCH(O188,techniques[name],0)),""),"")</f>
        <v/>
      </c>
      <c r="Q188" s="45" t="n"/>
      <c r="R188" s="54">
        <f t="array" ref="R188">IF(Q188&lt;&gt;"",IF(INDEX(techniques[detection rules for techique],MATCH(Q188,techniques[name],0))&gt;=1,INDEX(techniques[detection rules for techique],MATCH(Q188,techniques[name],0)),""),"")</f>
        <v/>
      </c>
      <c r="S188" s="45" t="n"/>
      <c r="T188" s="54">
        <f t="array" ref="T188">IF(S188&lt;&gt;"",IF(INDEX(techniques[detection rules for techique],MATCH(S188,techniques[name],0))&gt;=1,INDEX(techniques[detection rules for techique],MATCH(S188,techniques[name],0)),""),"")</f>
        <v/>
      </c>
      <c r="U188" s="45" t="n"/>
      <c r="V188" s="54">
        <f t="array" ref="V188">IF(U188&lt;&gt;"",IF(INDEX(techniques[detection rules for techique],MATCH(U188,techniques[name],0))&gt;=1,INDEX(techniques[detection rules for techique],MATCH(U188,techniques[name],0)),""),"")</f>
        <v/>
      </c>
      <c r="W188" s="45" t="n"/>
      <c r="X188" s="54">
        <f t="array" ref="X188">IF(W188&lt;&gt;"",IF(INDEX(techniques[detection rules for techique],MATCH(W188,techniques[name],0))&gt;=1,INDEX(techniques[detection rules for techique],MATCH(W188,techniques[name],0)),""),"")</f>
        <v/>
      </c>
      <c r="Y188" s="45" t="n"/>
      <c r="Z188" s="54">
        <f t="array" ref="Z188">IF(Y188&lt;&gt;"",IF(INDEX(techniques[detection rules for techique],MATCH(Y188,techniques[name],0))&gt;=1,INDEX(techniques[detection rules for techique],MATCH(Y188,techniques[name],0)),""),"")</f>
        <v/>
      </c>
      <c r="AA188" s="45" t="n"/>
      <c r="AB188" s="54">
        <f t="array" ref="AB188">IF(AA188&lt;&gt;"",IF(INDEX(techniques[detection rules for techique],MATCH(AA188,techniques[name],0))&gt;=1,INDEX(techniques[detection rules for techique],MATCH(AA188,techniques[name],0)),""),"")</f>
        <v/>
      </c>
      <c r="AC188" s="45" t="n"/>
      <c r="AD188" s="54">
        <f t="array" ref="AD188">IF(AC188&lt;&gt;"",IF(INDEX(techniques[detection rules for techique],MATCH(AC188,techniques[name],0))&gt;=1,INDEX(techniques[detection rules for techique],MATCH(AC188,techniques[name],0)),""),"")</f>
        <v/>
      </c>
    </row>
    <row r="189">
      <c r="A189" s="45" t="n"/>
      <c r="B189" s="54">
        <f t="array" ref="B189">IF(A189&lt;&gt;"",IF(INDEX(techniques[detection rules for techique],MATCH(A189,techniques[name],0))&gt;=1,INDEX(techniques[detection rules for techique],MATCH(A189,techniques[name],0)),""),"")</f>
        <v/>
      </c>
      <c r="C189" s="45" t="n"/>
      <c r="D189" s="54">
        <f t="array" ref="D189">IF(C189&lt;&gt;"",IF(INDEX(techniques[detection rules for techique],MATCH(C189,techniques[name],0))&gt;=1,INDEX(techniques[detection rules for techique],MATCH(C189,techniques[name],0)),""),"")</f>
        <v/>
      </c>
      <c r="E189" s="45" t="n"/>
      <c r="F189" s="54">
        <f t="array" ref="F189">IF(E189&lt;&gt;"",IF(INDEX(techniques[detection rules for techique],MATCH(E189,techniques[name],0))&gt;=1,INDEX(techniques[detection rules for techique],MATCH(E189,techniques[name],0)),""),"")</f>
        <v/>
      </c>
      <c r="G189" s="45" t="n"/>
      <c r="H189" s="54">
        <f t="array" ref="H189">IF(G189&lt;&gt;"",IF(INDEX(techniques[detection rules for techique],MATCH(G189,techniques[name],0))&gt;=1,INDEX(techniques[detection rules for techique],MATCH(G189,techniques[name],0)),""),"")</f>
        <v/>
      </c>
      <c r="I189" s="45" t="n"/>
      <c r="J189" s="54">
        <f t="array" ref="J189">IF(I189&lt;&gt;"",IF(INDEX(techniques[detection rules for techique],MATCH(I189,techniques[name],0))&gt;=1,INDEX(techniques[detection rules for techique],MATCH(I189,techniques[name],0)),""),"")</f>
        <v/>
      </c>
      <c r="K189" s="45" t="n"/>
      <c r="L189" s="54">
        <f t="array" ref="L189">IF(K189&lt;&gt;"",IF(INDEX(techniques[detection rules for techique],MATCH(K189,techniques[name],0))&gt;=1,INDEX(techniques[detection rules for techique],MATCH(K189,techniques[name],0)),""),"")</f>
        <v/>
      </c>
      <c r="M189" s="45" t="n"/>
      <c r="N189" s="54">
        <f t="array" ref="N189">IF(M189&lt;&gt;"",IF(INDEX(techniques[detection rules for techique],MATCH(M189,techniques[name],0))&gt;=1,INDEX(techniques[detection rules for techique],MATCH(M189,techniques[name],0)),""),"")</f>
        <v/>
      </c>
      <c r="O189" s="45" t="n"/>
      <c r="P189" s="54">
        <f t="array" ref="P189">IF(O189&lt;&gt;"",IF(INDEX(techniques[detection rules for techique],MATCH(O189,techniques[name],0))&gt;=1,INDEX(techniques[detection rules for techique],MATCH(O189,techniques[name],0)),""),"")</f>
        <v/>
      </c>
      <c r="Q189" s="45" t="n"/>
      <c r="R189" s="54">
        <f t="array" ref="R189">IF(Q189&lt;&gt;"",IF(INDEX(techniques[detection rules for techique],MATCH(Q189,techniques[name],0))&gt;=1,INDEX(techniques[detection rules for techique],MATCH(Q189,techniques[name],0)),""),"")</f>
        <v/>
      </c>
      <c r="S189" s="45" t="n"/>
      <c r="T189" s="54">
        <f t="array" ref="T189">IF(S189&lt;&gt;"",IF(INDEX(techniques[detection rules for techique],MATCH(S189,techniques[name],0))&gt;=1,INDEX(techniques[detection rules for techique],MATCH(S189,techniques[name],0)),""),"")</f>
        <v/>
      </c>
      <c r="U189" s="45" t="n"/>
      <c r="V189" s="54">
        <f t="array" ref="V189">IF(U189&lt;&gt;"",IF(INDEX(techniques[detection rules for techique],MATCH(U189,techniques[name],0))&gt;=1,INDEX(techniques[detection rules for techique],MATCH(U189,techniques[name],0)),""),"")</f>
        <v/>
      </c>
      <c r="W189" s="45" t="n"/>
      <c r="X189" s="54">
        <f t="array" ref="X189">IF(W189&lt;&gt;"",IF(INDEX(techniques[detection rules for techique],MATCH(W189,techniques[name],0))&gt;=1,INDEX(techniques[detection rules for techique],MATCH(W189,techniques[name],0)),""),"")</f>
        <v/>
      </c>
      <c r="Y189" s="45" t="n"/>
      <c r="Z189" s="54">
        <f t="array" ref="Z189">IF(Y189&lt;&gt;"",IF(INDEX(techniques[detection rules for techique],MATCH(Y189,techniques[name],0))&gt;=1,INDEX(techniques[detection rules for techique],MATCH(Y189,techniques[name],0)),""),"")</f>
        <v/>
      </c>
      <c r="AA189" s="45" t="n"/>
      <c r="AB189" s="54">
        <f t="array" ref="AB189">IF(AA189&lt;&gt;"",IF(INDEX(techniques[detection rules for techique],MATCH(AA189,techniques[name],0))&gt;=1,INDEX(techniques[detection rules for techique],MATCH(AA189,techniques[name],0)),""),"")</f>
        <v/>
      </c>
      <c r="AC189" s="45" t="n"/>
      <c r="AD189" s="54">
        <f t="array" ref="AD189">IF(AC189&lt;&gt;"",IF(INDEX(techniques[detection rules for techique],MATCH(AC189,techniques[name],0))&gt;=1,INDEX(techniques[detection rules for techique],MATCH(AC189,techniques[name],0)),""),"")</f>
        <v/>
      </c>
    </row>
    <row r="190">
      <c r="A190" s="45" t="n"/>
      <c r="B190" s="54">
        <f t="array" ref="B190">IF(A190&lt;&gt;"",IF(INDEX(techniques[detection rules for techique],MATCH(A190,techniques[name],0))&gt;=1,INDEX(techniques[detection rules for techique],MATCH(A190,techniques[name],0)),""),"")</f>
        <v/>
      </c>
      <c r="C190" s="45" t="n"/>
      <c r="D190" s="54">
        <f t="array" ref="D190">IF(C190&lt;&gt;"",IF(INDEX(techniques[detection rules for techique],MATCH(C190,techniques[name],0))&gt;=1,INDEX(techniques[detection rules for techique],MATCH(C190,techniques[name],0)),""),"")</f>
        <v/>
      </c>
      <c r="E190" s="45" t="n"/>
      <c r="F190" s="54">
        <f t="array" ref="F190">IF(E190&lt;&gt;"",IF(INDEX(techniques[detection rules for techique],MATCH(E190,techniques[name],0))&gt;=1,INDEX(techniques[detection rules for techique],MATCH(E190,techniques[name],0)),""),"")</f>
        <v/>
      </c>
      <c r="G190" s="45" t="n"/>
      <c r="H190" s="54">
        <f t="array" ref="H190">IF(G190&lt;&gt;"",IF(INDEX(techniques[detection rules for techique],MATCH(G190,techniques[name],0))&gt;=1,INDEX(techniques[detection rules for techique],MATCH(G190,techniques[name],0)),""),"")</f>
        <v/>
      </c>
      <c r="I190" s="45" t="n"/>
      <c r="J190" s="54">
        <f t="array" ref="J190">IF(I190&lt;&gt;"",IF(INDEX(techniques[detection rules for techique],MATCH(I190,techniques[name],0))&gt;=1,INDEX(techniques[detection rules for techique],MATCH(I190,techniques[name],0)),""),"")</f>
        <v/>
      </c>
      <c r="K190" s="45" t="n"/>
      <c r="L190" s="54">
        <f t="array" ref="L190">IF(K190&lt;&gt;"",IF(INDEX(techniques[detection rules for techique],MATCH(K190,techniques[name],0))&gt;=1,INDEX(techniques[detection rules for techique],MATCH(K190,techniques[name],0)),""),"")</f>
        <v/>
      </c>
      <c r="M190" s="45" t="n"/>
      <c r="N190" s="54">
        <f t="array" ref="N190">IF(M190&lt;&gt;"",IF(INDEX(techniques[detection rules for techique],MATCH(M190,techniques[name],0))&gt;=1,INDEX(techniques[detection rules for techique],MATCH(M190,techniques[name],0)),""),"")</f>
        <v/>
      </c>
      <c r="O190" s="45" t="n"/>
      <c r="P190" s="54">
        <f t="array" ref="P190">IF(O190&lt;&gt;"",IF(INDEX(techniques[detection rules for techique],MATCH(O190,techniques[name],0))&gt;=1,INDEX(techniques[detection rules for techique],MATCH(O190,techniques[name],0)),""),"")</f>
        <v/>
      </c>
      <c r="Q190" s="45" t="n"/>
      <c r="R190" s="54">
        <f t="array" ref="R190">IF(Q190&lt;&gt;"",IF(INDEX(techniques[detection rules for techique],MATCH(Q190,techniques[name],0))&gt;=1,INDEX(techniques[detection rules for techique],MATCH(Q190,techniques[name],0)),""),"")</f>
        <v/>
      </c>
      <c r="S190" s="45" t="n"/>
      <c r="T190" s="54">
        <f t="array" ref="T190">IF(S190&lt;&gt;"",IF(INDEX(techniques[detection rules for techique],MATCH(S190,techniques[name],0))&gt;=1,INDEX(techniques[detection rules for techique],MATCH(S190,techniques[name],0)),""),"")</f>
        <v/>
      </c>
      <c r="U190" s="45" t="n"/>
      <c r="V190" s="54">
        <f t="array" ref="V190">IF(U190&lt;&gt;"",IF(INDEX(techniques[detection rules for techique],MATCH(U190,techniques[name],0))&gt;=1,INDEX(techniques[detection rules for techique],MATCH(U190,techniques[name],0)),""),"")</f>
        <v/>
      </c>
      <c r="W190" s="45" t="n"/>
      <c r="X190" s="54">
        <f t="array" ref="X190">IF(W190&lt;&gt;"",IF(INDEX(techniques[detection rules for techique],MATCH(W190,techniques[name],0))&gt;=1,INDEX(techniques[detection rules for techique],MATCH(W190,techniques[name],0)),""),"")</f>
        <v/>
      </c>
      <c r="Y190" s="45" t="n"/>
      <c r="Z190" s="54">
        <f t="array" ref="Z190">IF(Y190&lt;&gt;"",IF(INDEX(techniques[detection rules for techique],MATCH(Y190,techniques[name],0))&gt;=1,INDEX(techniques[detection rules for techique],MATCH(Y190,techniques[name],0)),""),"")</f>
        <v/>
      </c>
      <c r="AA190" s="45" t="n"/>
      <c r="AB190" s="54">
        <f t="array" ref="AB190">IF(AA190&lt;&gt;"",IF(INDEX(techniques[detection rules for techique],MATCH(AA190,techniques[name],0))&gt;=1,INDEX(techniques[detection rules for techique],MATCH(AA190,techniques[name],0)),""),"")</f>
        <v/>
      </c>
      <c r="AC190" s="45" t="n"/>
      <c r="AD190" s="54">
        <f t="array" ref="AD190">IF(AC190&lt;&gt;"",IF(INDEX(techniques[detection rules for techique],MATCH(AC190,techniques[name],0))&gt;=1,INDEX(techniques[detection rules for techique],MATCH(AC190,techniques[name],0)),""),"")</f>
        <v/>
      </c>
    </row>
    <row r="191">
      <c r="A191" s="45" t="n"/>
      <c r="B191" s="54">
        <f t="array" ref="B191">IF(A191&lt;&gt;"",IF(INDEX(techniques[detection rules for techique],MATCH(A191,techniques[name],0))&gt;=1,INDEX(techniques[detection rules for techique],MATCH(A191,techniques[name],0)),""),"")</f>
        <v/>
      </c>
      <c r="C191" s="45" t="n"/>
      <c r="D191" s="54">
        <f t="array" ref="D191">IF(C191&lt;&gt;"",IF(INDEX(techniques[detection rules for techique],MATCH(C191,techniques[name],0))&gt;=1,INDEX(techniques[detection rules for techique],MATCH(C191,techniques[name],0)),""),"")</f>
        <v/>
      </c>
      <c r="E191" s="45" t="n"/>
      <c r="F191" s="54">
        <f t="array" ref="F191">IF(E191&lt;&gt;"",IF(INDEX(techniques[detection rules for techique],MATCH(E191,techniques[name],0))&gt;=1,INDEX(techniques[detection rules for techique],MATCH(E191,techniques[name],0)),""),"")</f>
        <v/>
      </c>
      <c r="G191" s="45" t="n"/>
      <c r="H191" s="54">
        <f t="array" ref="H191">IF(G191&lt;&gt;"",IF(INDEX(techniques[detection rules for techique],MATCH(G191,techniques[name],0))&gt;=1,INDEX(techniques[detection rules for techique],MATCH(G191,techniques[name],0)),""),"")</f>
        <v/>
      </c>
      <c r="I191" s="45" t="n"/>
      <c r="J191" s="54">
        <f t="array" ref="J191">IF(I191&lt;&gt;"",IF(INDEX(techniques[detection rules for techique],MATCH(I191,techniques[name],0))&gt;=1,INDEX(techniques[detection rules for techique],MATCH(I191,techniques[name],0)),""),"")</f>
        <v/>
      </c>
      <c r="K191" s="45" t="n"/>
      <c r="L191" s="54">
        <f t="array" ref="L191">IF(K191&lt;&gt;"",IF(INDEX(techniques[detection rules for techique],MATCH(K191,techniques[name],0))&gt;=1,INDEX(techniques[detection rules for techique],MATCH(K191,techniques[name],0)),""),"")</f>
        <v/>
      </c>
      <c r="M191" s="45" t="n"/>
      <c r="N191" s="54">
        <f t="array" ref="N191">IF(M191&lt;&gt;"",IF(INDEX(techniques[detection rules for techique],MATCH(M191,techniques[name],0))&gt;=1,INDEX(techniques[detection rules for techique],MATCH(M191,techniques[name],0)),""),"")</f>
        <v/>
      </c>
      <c r="O191" s="45" t="n"/>
      <c r="P191" s="54">
        <f t="array" ref="P191">IF(O191&lt;&gt;"",IF(INDEX(techniques[detection rules for techique],MATCH(O191,techniques[name],0))&gt;=1,INDEX(techniques[detection rules for techique],MATCH(O191,techniques[name],0)),""),"")</f>
        <v/>
      </c>
      <c r="Q191" s="45" t="n"/>
      <c r="R191" s="54">
        <f t="array" ref="R191">IF(Q191&lt;&gt;"",IF(INDEX(techniques[detection rules for techique],MATCH(Q191,techniques[name],0))&gt;=1,INDEX(techniques[detection rules for techique],MATCH(Q191,techniques[name],0)),""),"")</f>
        <v/>
      </c>
      <c r="S191" s="45" t="n"/>
      <c r="T191" s="54">
        <f t="array" ref="T191">IF(S191&lt;&gt;"",IF(INDEX(techniques[detection rules for techique],MATCH(S191,techniques[name],0))&gt;=1,INDEX(techniques[detection rules for techique],MATCH(S191,techniques[name],0)),""),"")</f>
        <v/>
      </c>
      <c r="U191" s="45" t="n"/>
      <c r="V191" s="54">
        <f t="array" ref="V191">IF(U191&lt;&gt;"",IF(INDEX(techniques[detection rules for techique],MATCH(U191,techniques[name],0))&gt;=1,INDEX(techniques[detection rules for techique],MATCH(U191,techniques[name],0)),""),"")</f>
        <v/>
      </c>
      <c r="W191" s="45" t="n"/>
      <c r="X191" s="54">
        <f t="array" ref="X191">IF(W191&lt;&gt;"",IF(INDEX(techniques[detection rules for techique],MATCH(W191,techniques[name],0))&gt;=1,INDEX(techniques[detection rules for techique],MATCH(W191,techniques[name],0)),""),"")</f>
        <v/>
      </c>
      <c r="Y191" s="45" t="n"/>
      <c r="Z191" s="54">
        <f t="array" ref="Z191">IF(Y191&lt;&gt;"",IF(INDEX(techniques[detection rules for techique],MATCH(Y191,techniques[name],0))&gt;=1,INDEX(techniques[detection rules for techique],MATCH(Y191,techniques[name],0)),""),"")</f>
        <v/>
      </c>
      <c r="AA191" s="45" t="n"/>
      <c r="AB191" s="54">
        <f t="array" ref="AB191">IF(AA191&lt;&gt;"",IF(INDEX(techniques[detection rules for techique],MATCH(AA191,techniques[name],0))&gt;=1,INDEX(techniques[detection rules for techique],MATCH(AA191,techniques[name],0)),""),"")</f>
        <v/>
      </c>
      <c r="AC191" s="45" t="n"/>
      <c r="AD191" s="54">
        <f t="array" ref="AD191">IF(AC191&lt;&gt;"",IF(INDEX(techniques[detection rules for techique],MATCH(AC191,techniques[name],0))&gt;=1,INDEX(techniques[detection rules for techique],MATCH(AC191,techniques[name],0)),""),"")</f>
        <v/>
      </c>
    </row>
    <row r="192">
      <c r="A192" s="45" t="n"/>
      <c r="B192" s="54">
        <f t="array" ref="B192">IF(A192&lt;&gt;"",IF(INDEX(techniques[detection rules for techique],MATCH(A192,techniques[name],0))&gt;=1,INDEX(techniques[detection rules for techique],MATCH(A192,techniques[name],0)),""),"")</f>
        <v/>
      </c>
      <c r="C192" s="45" t="n"/>
      <c r="D192" s="54">
        <f t="array" ref="D192">IF(C192&lt;&gt;"",IF(INDEX(techniques[detection rules for techique],MATCH(C192,techniques[name],0))&gt;=1,INDEX(techniques[detection rules for techique],MATCH(C192,techniques[name],0)),""),"")</f>
        <v/>
      </c>
      <c r="E192" s="45" t="n"/>
      <c r="F192" s="54">
        <f t="array" ref="F192">IF(E192&lt;&gt;"",IF(INDEX(techniques[detection rules for techique],MATCH(E192,techniques[name],0))&gt;=1,INDEX(techniques[detection rules for techique],MATCH(E192,techniques[name],0)),""),"")</f>
        <v/>
      </c>
      <c r="G192" s="45" t="n"/>
      <c r="H192" s="54">
        <f t="array" ref="H192">IF(G192&lt;&gt;"",IF(INDEX(techniques[detection rules for techique],MATCH(G192,techniques[name],0))&gt;=1,INDEX(techniques[detection rules for techique],MATCH(G192,techniques[name],0)),""),"")</f>
        <v/>
      </c>
      <c r="I192" s="45" t="n"/>
      <c r="J192" s="54">
        <f t="array" ref="J192">IF(I192&lt;&gt;"",IF(INDEX(techniques[detection rules for techique],MATCH(I192,techniques[name],0))&gt;=1,INDEX(techniques[detection rules for techique],MATCH(I192,techniques[name],0)),""),"")</f>
        <v/>
      </c>
      <c r="K192" s="45" t="n"/>
      <c r="L192" s="54">
        <f t="array" ref="L192">IF(K192&lt;&gt;"",IF(INDEX(techniques[detection rules for techique],MATCH(K192,techniques[name],0))&gt;=1,INDEX(techniques[detection rules for techique],MATCH(K192,techniques[name],0)),""),"")</f>
        <v/>
      </c>
      <c r="M192" s="45" t="n"/>
      <c r="N192" s="54">
        <f t="array" ref="N192">IF(M192&lt;&gt;"",IF(INDEX(techniques[detection rules for techique],MATCH(M192,techniques[name],0))&gt;=1,INDEX(techniques[detection rules for techique],MATCH(M192,techniques[name],0)),""),"")</f>
        <v/>
      </c>
      <c r="O192" s="45" t="n"/>
      <c r="P192" s="54">
        <f t="array" ref="P192">IF(O192&lt;&gt;"",IF(INDEX(techniques[detection rules for techique],MATCH(O192,techniques[name],0))&gt;=1,INDEX(techniques[detection rules for techique],MATCH(O192,techniques[name],0)),""),"")</f>
        <v/>
      </c>
      <c r="Q192" s="45" t="n"/>
      <c r="R192" s="54">
        <f t="array" ref="R192">IF(Q192&lt;&gt;"",IF(INDEX(techniques[detection rules for techique],MATCH(Q192,techniques[name],0))&gt;=1,INDEX(techniques[detection rules for techique],MATCH(Q192,techniques[name],0)),""),"")</f>
        <v/>
      </c>
      <c r="S192" s="45" t="n"/>
      <c r="T192" s="54">
        <f t="array" ref="T192">IF(S192&lt;&gt;"",IF(INDEX(techniques[detection rules for techique],MATCH(S192,techniques[name],0))&gt;=1,INDEX(techniques[detection rules for techique],MATCH(S192,techniques[name],0)),""),"")</f>
        <v/>
      </c>
      <c r="U192" s="45" t="n"/>
      <c r="V192" s="54">
        <f t="array" ref="V192">IF(U192&lt;&gt;"",IF(INDEX(techniques[detection rules for techique],MATCH(U192,techniques[name],0))&gt;=1,INDEX(techniques[detection rules for techique],MATCH(U192,techniques[name],0)),""),"")</f>
        <v/>
      </c>
      <c r="W192" s="45" t="n"/>
      <c r="X192" s="54">
        <f t="array" ref="X192">IF(W192&lt;&gt;"",IF(INDEX(techniques[detection rules for techique],MATCH(W192,techniques[name],0))&gt;=1,INDEX(techniques[detection rules for techique],MATCH(W192,techniques[name],0)),""),"")</f>
        <v/>
      </c>
      <c r="Y192" s="45" t="n"/>
      <c r="Z192" s="54">
        <f t="array" ref="Z192">IF(Y192&lt;&gt;"",IF(INDEX(techniques[detection rules for techique],MATCH(Y192,techniques[name],0))&gt;=1,INDEX(techniques[detection rules for techique],MATCH(Y192,techniques[name],0)),""),"")</f>
        <v/>
      </c>
      <c r="AA192" s="45" t="n"/>
      <c r="AB192" s="54">
        <f t="array" ref="AB192">IF(AA192&lt;&gt;"",IF(INDEX(techniques[detection rules for techique],MATCH(AA192,techniques[name],0))&gt;=1,INDEX(techniques[detection rules for techique],MATCH(AA192,techniques[name],0)),""),"")</f>
        <v/>
      </c>
      <c r="AC192" s="45" t="n"/>
      <c r="AD192" s="54">
        <f t="array" ref="AD192">IF(AC192&lt;&gt;"",IF(INDEX(techniques[detection rules for techique],MATCH(AC192,techniques[name],0))&gt;=1,INDEX(techniques[detection rules for techique],MATCH(AC192,techniques[name],0)),""),"")</f>
        <v/>
      </c>
    </row>
    <row r="193">
      <c r="A193" s="45" t="n"/>
      <c r="B193" s="54">
        <f t="array" ref="B193">IF(A193&lt;&gt;"",IF(INDEX(techniques[detection rules for techique],MATCH(A193,techniques[name],0))&gt;=1,INDEX(techniques[detection rules for techique],MATCH(A193,techniques[name],0)),""),"")</f>
        <v/>
      </c>
      <c r="C193" s="45" t="n"/>
      <c r="D193" s="54">
        <f t="array" ref="D193">IF(C193&lt;&gt;"",IF(INDEX(techniques[detection rules for techique],MATCH(C193,techniques[name],0))&gt;=1,INDEX(techniques[detection rules for techique],MATCH(C193,techniques[name],0)),""),"")</f>
        <v/>
      </c>
      <c r="E193" s="45" t="n"/>
      <c r="F193" s="54">
        <f t="array" ref="F193">IF(E193&lt;&gt;"",IF(INDEX(techniques[detection rules for techique],MATCH(E193,techniques[name],0))&gt;=1,INDEX(techniques[detection rules for techique],MATCH(E193,techniques[name],0)),""),"")</f>
        <v/>
      </c>
      <c r="G193" s="45" t="n"/>
      <c r="H193" s="54">
        <f t="array" ref="H193">IF(G193&lt;&gt;"",IF(INDEX(techniques[detection rules for techique],MATCH(G193,techniques[name],0))&gt;=1,INDEX(techniques[detection rules for techique],MATCH(G193,techniques[name],0)),""),"")</f>
        <v/>
      </c>
      <c r="I193" s="45" t="n"/>
      <c r="J193" s="54">
        <f t="array" ref="J193">IF(I193&lt;&gt;"",IF(INDEX(techniques[detection rules for techique],MATCH(I193,techniques[name],0))&gt;=1,INDEX(techniques[detection rules for techique],MATCH(I193,techniques[name],0)),""),"")</f>
        <v/>
      </c>
      <c r="K193" s="45" t="n"/>
      <c r="L193" s="54">
        <f t="array" ref="L193">IF(K193&lt;&gt;"",IF(INDEX(techniques[detection rules for techique],MATCH(K193,techniques[name],0))&gt;=1,INDEX(techniques[detection rules for techique],MATCH(K193,techniques[name],0)),""),"")</f>
        <v/>
      </c>
      <c r="M193" s="45" t="n"/>
      <c r="N193" s="54">
        <f t="array" ref="N193">IF(M193&lt;&gt;"",IF(INDEX(techniques[detection rules for techique],MATCH(M193,techniques[name],0))&gt;=1,INDEX(techniques[detection rules for techique],MATCH(M193,techniques[name],0)),""),"")</f>
        <v/>
      </c>
      <c r="O193" s="45" t="n"/>
      <c r="P193" s="54">
        <f t="array" ref="P193">IF(O193&lt;&gt;"",IF(INDEX(techniques[detection rules for techique],MATCH(O193,techniques[name],0))&gt;=1,INDEX(techniques[detection rules for techique],MATCH(O193,techniques[name],0)),""),"")</f>
        <v/>
      </c>
      <c r="Q193" s="45" t="n"/>
      <c r="R193" s="54">
        <f t="array" ref="R193">IF(Q193&lt;&gt;"",IF(INDEX(techniques[detection rules for techique],MATCH(Q193,techniques[name],0))&gt;=1,INDEX(techniques[detection rules for techique],MATCH(Q193,techniques[name],0)),""),"")</f>
        <v/>
      </c>
      <c r="S193" s="45" t="n"/>
      <c r="T193" s="54">
        <f t="array" ref="T193">IF(S193&lt;&gt;"",IF(INDEX(techniques[detection rules for techique],MATCH(S193,techniques[name],0))&gt;=1,INDEX(techniques[detection rules for techique],MATCH(S193,techniques[name],0)),""),"")</f>
        <v/>
      </c>
      <c r="U193" s="45" t="n"/>
      <c r="V193" s="54">
        <f t="array" ref="V193">IF(U193&lt;&gt;"",IF(INDEX(techniques[detection rules for techique],MATCH(U193,techniques[name],0))&gt;=1,INDEX(techniques[detection rules for techique],MATCH(U193,techniques[name],0)),""),"")</f>
        <v/>
      </c>
      <c r="W193" s="45" t="n"/>
      <c r="X193" s="54">
        <f t="array" ref="X193">IF(W193&lt;&gt;"",IF(INDEX(techniques[detection rules for techique],MATCH(W193,techniques[name],0))&gt;=1,INDEX(techniques[detection rules for techique],MATCH(W193,techniques[name],0)),""),"")</f>
        <v/>
      </c>
      <c r="Y193" s="45" t="n"/>
      <c r="Z193" s="54">
        <f t="array" ref="Z193">IF(Y193&lt;&gt;"",IF(INDEX(techniques[detection rules for techique],MATCH(Y193,techniques[name],0))&gt;=1,INDEX(techniques[detection rules for techique],MATCH(Y193,techniques[name],0)),""),"")</f>
        <v/>
      </c>
      <c r="AA193" s="45" t="n"/>
      <c r="AB193" s="54">
        <f t="array" ref="AB193">IF(AA193&lt;&gt;"",IF(INDEX(techniques[detection rules for techique],MATCH(AA193,techniques[name],0))&gt;=1,INDEX(techniques[detection rules for techique],MATCH(AA193,techniques[name],0)),""),"")</f>
        <v/>
      </c>
      <c r="AC193" s="45" t="n"/>
      <c r="AD193" s="54">
        <f t="array" ref="AD193">IF(AC193&lt;&gt;"",IF(INDEX(techniques[detection rules for techique],MATCH(AC193,techniques[name],0))&gt;=1,INDEX(techniques[detection rules for techique],MATCH(AC193,techniques[name],0)),""),"")</f>
        <v/>
      </c>
    </row>
    <row r="194">
      <c r="A194" s="45" t="n"/>
      <c r="B194" s="54">
        <f t="array" ref="B194">IF(A194&lt;&gt;"",IF(INDEX(techniques[detection rules for techique],MATCH(A194,techniques[name],0))&gt;=1,INDEX(techniques[detection rules for techique],MATCH(A194,techniques[name],0)),""),"")</f>
        <v/>
      </c>
      <c r="C194" s="45" t="n"/>
      <c r="D194" s="54">
        <f t="array" ref="D194">IF(C194&lt;&gt;"",IF(INDEX(techniques[detection rules for techique],MATCH(C194,techniques[name],0))&gt;=1,INDEX(techniques[detection rules for techique],MATCH(C194,techniques[name],0)),""),"")</f>
        <v/>
      </c>
      <c r="E194" s="45" t="n"/>
      <c r="F194" s="54">
        <f t="array" ref="F194">IF(E194&lt;&gt;"",IF(INDEX(techniques[detection rules for techique],MATCH(E194,techniques[name],0))&gt;=1,INDEX(techniques[detection rules for techique],MATCH(E194,techniques[name],0)),""),"")</f>
        <v/>
      </c>
      <c r="G194" s="45" t="n"/>
      <c r="H194" s="54">
        <f t="array" ref="H194">IF(G194&lt;&gt;"",IF(INDEX(techniques[detection rules for techique],MATCH(G194,techniques[name],0))&gt;=1,INDEX(techniques[detection rules for techique],MATCH(G194,techniques[name],0)),""),"")</f>
        <v/>
      </c>
      <c r="I194" s="45" t="n"/>
      <c r="J194" s="54">
        <f t="array" ref="J194">IF(I194&lt;&gt;"",IF(INDEX(techniques[detection rules for techique],MATCH(I194,techniques[name],0))&gt;=1,INDEX(techniques[detection rules for techique],MATCH(I194,techniques[name],0)),""),"")</f>
        <v/>
      </c>
      <c r="K194" s="45" t="n"/>
      <c r="L194" s="54">
        <f t="array" ref="L194">IF(K194&lt;&gt;"",IF(INDEX(techniques[detection rules for techique],MATCH(K194,techniques[name],0))&gt;=1,INDEX(techniques[detection rules for techique],MATCH(K194,techniques[name],0)),""),"")</f>
        <v/>
      </c>
      <c r="M194" s="45" t="n"/>
      <c r="N194" s="54">
        <f t="array" ref="N194">IF(M194&lt;&gt;"",IF(INDEX(techniques[detection rules for techique],MATCH(M194,techniques[name],0))&gt;=1,INDEX(techniques[detection rules for techique],MATCH(M194,techniques[name],0)),""),"")</f>
        <v/>
      </c>
      <c r="O194" s="45" t="n"/>
      <c r="P194" s="54">
        <f t="array" ref="P194">IF(O194&lt;&gt;"",IF(INDEX(techniques[detection rules for techique],MATCH(O194,techniques[name],0))&gt;=1,INDEX(techniques[detection rules for techique],MATCH(O194,techniques[name],0)),""),"")</f>
        <v/>
      </c>
      <c r="Q194" s="45" t="n"/>
      <c r="R194" s="54">
        <f t="array" ref="R194">IF(Q194&lt;&gt;"",IF(INDEX(techniques[detection rules for techique],MATCH(Q194,techniques[name],0))&gt;=1,INDEX(techniques[detection rules for techique],MATCH(Q194,techniques[name],0)),""),"")</f>
        <v/>
      </c>
      <c r="S194" s="45" t="n"/>
      <c r="T194" s="54">
        <f t="array" ref="T194">IF(S194&lt;&gt;"",IF(INDEX(techniques[detection rules for techique],MATCH(S194,techniques[name],0))&gt;=1,INDEX(techniques[detection rules for techique],MATCH(S194,techniques[name],0)),""),"")</f>
        <v/>
      </c>
      <c r="U194" s="45" t="n"/>
      <c r="V194" s="54">
        <f t="array" ref="V194">IF(U194&lt;&gt;"",IF(INDEX(techniques[detection rules for techique],MATCH(U194,techniques[name],0))&gt;=1,INDEX(techniques[detection rules for techique],MATCH(U194,techniques[name],0)),""),"")</f>
        <v/>
      </c>
      <c r="W194" s="45" t="n"/>
      <c r="X194" s="54">
        <f t="array" ref="X194">IF(W194&lt;&gt;"",IF(INDEX(techniques[detection rules for techique],MATCH(W194,techniques[name],0))&gt;=1,INDEX(techniques[detection rules for techique],MATCH(W194,techniques[name],0)),""),"")</f>
        <v/>
      </c>
      <c r="Y194" s="45" t="n"/>
      <c r="Z194" s="54">
        <f t="array" ref="Z194">IF(Y194&lt;&gt;"",IF(INDEX(techniques[detection rules for techique],MATCH(Y194,techniques[name],0))&gt;=1,INDEX(techniques[detection rules for techique],MATCH(Y194,techniques[name],0)),""),"")</f>
        <v/>
      </c>
      <c r="AA194" s="45" t="n"/>
      <c r="AB194" s="54">
        <f t="array" ref="AB194">IF(AA194&lt;&gt;"",IF(INDEX(techniques[detection rules for techique],MATCH(AA194,techniques[name],0))&gt;=1,INDEX(techniques[detection rules for techique],MATCH(AA194,techniques[name],0)),""),"")</f>
        <v/>
      </c>
      <c r="AC194" s="45" t="n"/>
      <c r="AD194" s="54">
        <f t="array" ref="AD194">IF(AC194&lt;&gt;"",IF(INDEX(techniques[detection rules for techique],MATCH(AC194,techniques[name],0))&gt;=1,INDEX(techniques[detection rules for techique],MATCH(AC194,techniques[name],0)),""),"")</f>
        <v/>
      </c>
    </row>
    <row r="195">
      <c r="A195" s="45" t="n"/>
      <c r="B195" s="54">
        <f t="array" ref="B195">IF(A195&lt;&gt;"",IF(INDEX(techniques[detection rules for techique],MATCH(A195,techniques[name],0))&gt;=1,INDEX(techniques[detection rules for techique],MATCH(A195,techniques[name],0)),""),"")</f>
        <v/>
      </c>
      <c r="C195" s="45" t="n"/>
      <c r="D195" s="54">
        <f t="array" ref="D195">IF(C195&lt;&gt;"",IF(INDEX(techniques[detection rules for techique],MATCH(C195,techniques[name],0))&gt;=1,INDEX(techniques[detection rules for techique],MATCH(C195,techniques[name],0)),""),"")</f>
        <v/>
      </c>
      <c r="E195" s="45" t="n"/>
      <c r="F195" s="54">
        <f t="array" ref="F195">IF(E195&lt;&gt;"",IF(INDEX(techniques[detection rules for techique],MATCH(E195,techniques[name],0))&gt;=1,INDEX(techniques[detection rules for techique],MATCH(E195,techniques[name],0)),""),"")</f>
        <v/>
      </c>
      <c r="G195" s="45" t="n"/>
      <c r="H195" s="54">
        <f t="array" ref="H195">IF(G195&lt;&gt;"",IF(INDEX(techniques[detection rules for techique],MATCH(G195,techniques[name],0))&gt;=1,INDEX(techniques[detection rules for techique],MATCH(G195,techniques[name],0)),""),"")</f>
        <v/>
      </c>
      <c r="I195" s="45" t="n"/>
      <c r="J195" s="54">
        <f t="array" ref="J195">IF(I195&lt;&gt;"",IF(INDEX(techniques[detection rules for techique],MATCH(I195,techniques[name],0))&gt;=1,INDEX(techniques[detection rules for techique],MATCH(I195,techniques[name],0)),""),"")</f>
        <v/>
      </c>
      <c r="K195" s="45" t="n"/>
      <c r="L195" s="54">
        <f t="array" ref="L195">IF(K195&lt;&gt;"",IF(INDEX(techniques[detection rules for techique],MATCH(K195,techniques[name],0))&gt;=1,INDEX(techniques[detection rules for techique],MATCH(K195,techniques[name],0)),""),"")</f>
        <v/>
      </c>
      <c r="M195" s="45" t="n"/>
      <c r="N195" s="54">
        <f t="array" ref="N195">IF(M195&lt;&gt;"",IF(INDEX(techniques[detection rules for techique],MATCH(M195,techniques[name],0))&gt;=1,INDEX(techniques[detection rules for techique],MATCH(M195,techniques[name],0)),""),"")</f>
        <v/>
      </c>
      <c r="O195" s="45" t="n"/>
      <c r="P195" s="54">
        <f t="array" ref="P195">IF(O195&lt;&gt;"",IF(INDEX(techniques[detection rules for techique],MATCH(O195,techniques[name],0))&gt;=1,INDEX(techniques[detection rules for techique],MATCH(O195,techniques[name],0)),""),"")</f>
        <v/>
      </c>
      <c r="Q195" s="45" t="n"/>
      <c r="R195" s="54">
        <f t="array" ref="R195">IF(Q195&lt;&gt;"",IF(INDEX(techniques[detection rules for techique],MATCH(Q195,techniques[name],0))&gt;=1,INDEX(techniques[detection rules for techique],MATCH(Q195,techniques[name],0)),""),"")</f>
        <v/>
      </c>
      <c r="S195" s="45" t="n"/>
      <c r="T195" s="54">
        <f t="array" ref="T195">IF(S195&lt;&gt;"",IF(INDEX(techniques[detection rules for techique],MATCH(S195,techniques[name],0))&gt;=1,INDEX(techniques[detection rules for techique],MATCH(S195,techniques[name],0)),""),"")</f>
        <v/>
      </c>
      <c r="U195" s="45" t="n"/>
      <c r="V195" s="54">
        <f t="array" ref="V195">IF(U195&lt;&gt;"",IF(INDEX(techniques[detection rules for techique],MATCH(U195,techniques[name],0))&gt;=1,INDEX(techniques[detection rules for techique],MATCH(U195,techniques[name],0)),""),"")</f>
        <v/>
      </c>
      <c r="W195" s="45" t="n"/>
      <c r="X195" s="54">
        <f t="array" ref="X195">IF(W195&lt;&gt;"",IF(INDEX(techniques[detection rules for techique],MATCH(W195,techniques[name],0))&gt;=1,INDEX(techniques[detection rules for techique],MATCH(W195,techniques[name],0)),""),"")</f>
        <v/>
      </c>
      <c r="Y195" s="45" t="n"/>
      <c r="Z195" s="54">
        <f t="array" ref="Z195">IF(Y195&lt;&gt;"",IF(INDEX(techniques[detection rules for techique],MATCH(Y195,techniques[name],0))&gt;=1,INDEX(techniques[detection rules for techique],MATCH(Y195,techniques[name],0)),""),"")</f>
        <v/>
      </c>
      <c r="AA195" s="45" t="n"/>
      <c r="AB195" s="54">
        <f t="array" ref="AB195">IF(AA195&lt;&gt;"",IF(INDEX(techniques[detection rules for techique],MATCH(AA195,techniques[name],0))&gt;=1,INDEX(techniques[detection rules for techique],MATCH(AA195,techniques[name],0)),""),"")</f>
        <v/>
      </c>
      <c r="AC195" s="45" t="n"/>
      <c r="AD195" s="54">
        <f t="array" ref="AD195">IF(AC195&lt;&gt;"",IF(INDEX(techniques[detection rules for techique],MATCH(AC195,techniques[name],0))&gt;=1,INDEX(techniques[detection rules for techique],MATCH(AC195,techniques[name],0)),""),"")</f>
        <v/>
      </c>
    </row>
    <row r="196">
      <c r="A196" s="45" t="n"/>
      <c r="B196" s="54">
        <f t="array" ref="B196">IF(A196&lt;&gt;"",IF(INDEX(techniques[detection rules for techique],MATCH(A196,techniques[name],0))&gt;=1,INDEX(techniques[detection rules for techique],MATCH(A196,techniques[name],0)),""),"")</f>
        <v/>
      </c>
      <c r="C196" s="45" t="n"/>
      <c r="D196" s="54">
        <f t="array" ref="D196">IF(C196&lt;&gt;"",IF(INDEX(techniques[detection rules for techique],MATCH(C196,techniques[name],0))&gt;=1,INDEX(techniques[detection rules for techique],MATCH(C196,techniques[name],0)),""),"")</f>
        <v/>
      </c>
      <c r="E196" s="45" t="n"/>
      <c r="F196" s="54">
        <f t="array" ref="F196">IF(E196&lt;&gt;"",IF(INDEX(techniques[detection rules for techique],MATCH(E196,techniques[name],0))&gt;=1,INDEX(techniques[detection rules for techique],MATCH(E196,techniques[name],0)),""),"")</f>
        <v/>
      </c>
      <c r="G196" s="45" t="n"/>
      <c r="H196" s="54">
        <f t="array" ref="H196">IF(G196&lt;&gt;"",IF(INDEX(techniques[detection rules for techique],MATCH(G196,techniques[name],0))&gt;=1,INDEX(techniques[detection rules for techique],MATCH(G196,techniques[name],0)),""),"")</f>
        <v/>
      </c>
      <c r="I196" s="45" t="n"/>
      <c r="J196" s="54">
        <f t="array" ref="J196">IF(I196&lt;&gt;"",IF(INDEX(techniques[detection rules for techique],MATCH(I196,techniques[name],0))&gt;=1,INDEX(techniques[detection rules for techique],MATCH(I196,techniques[name],0)),""),"")</f>
        <v/>
      </c>
      <c r="K196" s="45" t="n"/>
      <c r="L196" s="54">
        <f t="array" ref="L196">IF(K196&lt;&gt;"",IF(INDEX(techniques[detection rules for techique],MATCH(K196,techniques[name],0))&gt;=1,INDEX(techniques[detection rules for techique],MATCH(K196,techniques[name],0)),""),"")</f>
        <v/>
      </c>
      <c r="M196" s="45" t="n"/>
      <c r="N196" s="54">
        <f t="array" ref="N196">IF(M196&lt;&gt;"",IF(INDEX(techniques[detection rules for techique],MATCH(M196,techniques[name],0))&gt;=1,INDEX(techniques[detection rules for techique],MATCH(M196,techniques[name],0)),""),"")</f>
        <v/>
      </c>
      <c r="O196" s="45" t="n"/>
      <c r="P196" s="54">
        <f t="array" ref="P196">IF(O196&lt;&gt;"",IF(INDEX(techniques[detection rules for techique],MATCH(O196,techniques[name],0))&gt;=1,INDEX(techniques[detection rules for techique],MATCH(O196,techniques[name],0)),""),"")</f>
        <v/>
      </c>
      <c r="Q196" s="45" t="n"/>
      <c r="R196" s="54">
        <f t="array" ref="R196">IF(Q196&lt;&gt;"",IF(INDEX(techniques[detection rules for techique],MATCH(Q196,techniques[name],0))&gt;=1,INDEX(techniques[detection rules for techique],MATCH(Q196,techniques[name],0)),""),"")</f>
        <v/>
      </c>
      <c r="S196" s="45" t="n"/>
      <c r="T196" s="54">
        <f t="array" ref="T196">IF(S196&lt;&gt;"",IF(INDEX(techniques[detection rules for techique],MATCH(S196,techniques[name],0))&gt;=1,INDEX(techniques[detection rules for techique],MATCH(S196,techniques[name],0)),""),"")</f>
        <v/>
      </c>
      <c r="U196" s="45" t="n"/>
      <c r="V196" s="54">
        <f t="array" ref="V196">IF(U196&lt;&gt;"",IF(INDEX(techniques[detection rules for techique],MATCH(U196,techniques[name],0))&gt;=1,INDEX(techniques[detection rules for techique],MATCH(U196,techniques[name],0)),""),"")</f>
        <v/>
      </c>
      <c r="W196" s="45" t="n"/>
      <c r="X196" s="54">
        <f t="array" ref="X196">IF(W196&lt;&gt;"",IF(INDEX(techniques[detection rules for techique],MATCH(W196,techniques[name],0))&gt;=1,INDEX(techniques[detection rules for techique],MATCH(W196,techniques[name],0)),""),"")</f>
        <v/>
      </c>
      <c r="Y196" s="45" t="n"/>
      <c r="Z196" s="54">
        <f t="array" ref="Z196">IF(Y196&lt;&gt;"",IF(INDEX(techniques[detection rules for techique],MATCH(Y196,techniques[name],0))&gt;=1,INDEX(techniques[detection rules for techique],MATCH(Y196,techniques[name],0)),""),"")</f>
        <v/>
      </c>
      <c r="AA196" s="45" t="n"/>
      <c r="AB196" s="54">
        <f t="array" ref="AB196">IF(AA196&lt;&gt;"",IF(INDEX(techniques[detection rules for techique],MATCH(AA196,techniques[name],0))&gt;=1,INDEX(techniques[detection rules for techique],MATCH(AA196,techniques[name],0)),""),"")</f>
        <v/>
      </c>
      <c r="AC196" s="45" t="n"/>
      <c r="AD196" s="54">
        <f t="array" ref="AD196">IF(AC196&lt;&gt;"",IF(INDEX(techniques[detection rules for techique],MATCH(AC196,techniques[name],0))&gt;=1,INDEX(techniques[detection rules for techique],MATCH(AC196,techniques[name],0)),""),"")</f>
        <v/>
      </c>
    </row>
    <row r="197">
      <c r="A197" s="45" t="n"/>
      <c r="B197" s="54">
        <f t="array" ref="B197">IF(A197&lt;&gt;"",IF(INDEX(techniques[detection rules for techique],MATCH(A197,techniques[name],0))&gt;=1,INDEX(techniques[detection rules for techique],MATCH(A197,techniques[name],0)),""),"")</f>
        <v/>
      </c>
      <c r="C197" s="45" t="n"/>
      <c r="D197" s="54">
        <f t="array" ref="D197">IF(C197&lt;&gt;"",IF(INDEX(techniques[detection rules for techique],MATCH(C197,techniques[name],0))&gt;=1,INDEX(techniques[detection rules for techique],MATCH(C197,techniques[name],0)),""),"")</f>
        <v/>
      </c>
      <c r="E197" s="45" t="n"/>
      <c r="F197" s="54">
        <f t="array" ref="F197">IF(E197&lt;&gt;"",IF(INDEX(techniques[detection rules for techique],MATCH(E197,techniques[name],0))&gt;=1,INDEX(techniques[detection rules for techique],MATCH(E197,techniques[name],0)),""),"")</f>
        <v/>
      </c>
      <c r="G197" s="45" t="n"/>
      <c r="H197" s="54">
        <f t="array" ref="H197">IF(G197&lt;&gt;"",IF(INDEX(techniques[detection rules for techique],MATCH(G197,techniques[name],0))&gt;=1,INDEX(techniques[detection rules for techique],MATCH(G197,techniques[name],0)),""),"")</f>
        <v/>
      </c>
      <c r="I197" s="45" t="n"/>
      <c r="J197" s="54">
        <f t="array" ref="J197">IF(I197&lt;&gt;"",IF(INDEX(techniques[detection rules for techique],MATCH(I197,techniques[name],0))&gt;=1,INDEX(techniques[detection rules for techique],MATCH(I197,techniques[name],0)),""),"")</f>
        <v/>
      </c>
      <c r="K197" s="45" t="n"/>
      <c r="L197" s="54">
        <f t="array" ref="L197">IF(K197&lt;&gt;"",IF(INDEX(techniques[detection rules for techique],MATCH(K197,techniques[name],0))&gt;=1,INDEX(techniques[detection rules for techique],MATCH(K197,techniques[name],0)),""),"")</f>
        <v/>
      </c>
      <c r="M197" s="45" t="n"/>
      <c r="N197" s="54">
        <f t="array" ref="N197">IF(M197&lt;&gt;"",IF(INDEX(techniques[detection rules for techique],MATCH(M197,techniques[name],0))&gt;=1,INDEX(techniques[detection rules for techique],MATCH(M197,techniques[name],0)),""),"")</f>
        <v/>
      </c>
      <c r="O197" s="45" t="n"/>
      <c r="P197" s="54">
        <f t="array" ref="P197">IF(O197&lt;&gt;"",IF(INDEX(techniques[detection rules for techique],MATCH(O197,techniques[name],0))&gt;=1,INDEX(techniques[detection rules for techique],MATCH(O197,techniques[name],0)),""),"")</f>
        <v/>
      </c>
      <c r="Q197" s="45" t="n"/>
      <c r="R197" s="54">
        <f t="array" ref="R197">IF(Q197&lt;&gt;"",IF(INDEX(techniques[detection rules for techique],MATCH(Q197,techniques[name],0))&gt;=1,INDEX(techniques[detection rules for techique],MATCH(Q197,techniques[name],0)),""),"")</f>
        <v/>
      </c>
      <c r="S197" s="45" t="n"/>
      <c r="T197" s="54">
        <f t="array" ref="T197">IF(S197&lt;&gt;"",IF(INDEX(techniques[detection rules for techique],MATCH(S197,techniques[name],0))&gt;=1,INDEX(techniques[detection rules for techique],MATCH(S197,techniques[name],0)),""),"")</f>
        <v/>
      </c>
      <c r="U197" s="45" t="n"/>
      <c r="V197" s="54">
        <f t="array" ref="V197">IF(U197&lt;&gt;"",IF(INDEX(techniques[detection rules for techique],MATCH(U197,techniques[name],0))&gt;=1,INDEX(techniques[detection rules for techique],MATCH(U197,techniques[name],0)),""),"")</f>
        <v/>
      </c>
      <c r="W197" s="45" t="n"/>
      <c r="X197" s="54">
        <f t="array" ref="X197">IF(W197&lt;&gt;"",IF(INDEX(techniques[detection rules for techique],MATCH(W197,techniques[name],0))&gt;=1,INDEX(techniques[detection rules for techique],MATCH(W197,techniques[name],0)),""),"")</f>
        <v/>
      </c>
      <c r="Y197" s="45" t="n"/>
      <c r="Z197" s="54">
        <f t="array" ref="Z197">IF(Y197&lt;&gt;"",IF(INDEX(techniques[detection rules for techique],MATCH(Y197,techniques[name],0))&gt;=1,INDEX(techniques[detection rules for techique],MATCH(Y197,techniques[name],0)),""),"")</f>
        <v/>
      </c>
      <c r="AA197" s="45" t="n"/>
      <c r="AB197" s="54">
        <f t="array" ref="AB197">IF(AA197&lt;&gt;"",IF(INDEX(techniques[detection rules for techique],MATCH(AA197,techniques[name],0))&gt;=1,INDEX(techniques[detection rules for techique],MATCH(AA197,techniques[name],0)),""),"")</f>
        <v/>
      </c>
      <c r="AC197" s="45" t="n"/>
      <c r="AD197" s="54">
        <f t="array" ref="AD197">IF(AC197&lt;&gt;"",IF(INDEX(techniques[detection rules for techique],MATCH(AC197,techniques[name],0))&gt;=1,INDEX(techniques[detection rules for techique],MATCH(AC197,techniques[name],0)),""),"")</f>
        <v/>
      </c>
    </row>
    <row r="198">
      <c r="A198" s="45" t="n"/>
      <c r="B198" s="54">
        <f t="array" ref="B198">IF(A198&lt;&gt;"",IF(INDEX(techniques[detection rules for techique],MATCH(A198,techniques[name],0))&gt;=1,INDEX(techniques[detection rules for techique],MATCH(A198,techniques[name],0)),""),"")</f>
        <v/>
      </c>
      <c r="C198" s="45" t="n"/>
      <c r="D198" s="54">
        <f t="array" ref="D198">IF(C198&lt;&gt;"",IF(INDEX(techniques[detection rules for techique],MATCH(C198,techniques[name],0))&gt;=1,INDEX(techniques[detection rules for techique],MATCH(C198,techniques[name],0)),""),"")</f>
        <v/>
      </c>
      <c r="E198" s="45" t="n"/>
      <c r="F198" s="54">
        <f t="array" ref="F198">IF(E198&lt;&gt;"",IF(INDEX(techniques[detection rules for techique],MATCH(E198,techniques[name],0))&gt;=1,INDEX(techniques[detection rules for techique],MATCH(E198,techniques[name],0)),""),"")</f>
        <v/>
      </c>
      <c r="G198" s="45" t="n"/>
      <c r="H198" s="54">
        <f t="array" ref="H198">IF(G198&lt;&gt;"",IF(INDEX(techniques[detection rules for techique],MATCH(G198,techniques[name],0))&gt;=1,INDEX(techniques[detection rules for techique],MATCH(G198,techniques[name],0)),""),"")</f>
        <v/>
      </c>
      <c r="I198" s="45" t="n"/>
      <c r="J198" s="54">
        <f t="array" ref="J198">IF(I198&lt;&gt;"",IF(INDEX(techniques[detection rules for techique],MATCH(I198,techniques[name],0))&gt;=1,INDEX(techniques[detection rules for techique],MATCH(I198,techniques[name],0)),""),"")</f>
        <v/>
      </c>
      <c r="K198" s="45" t="n"/>
      <c r="L198" s="54">
        <f t="array" ref="L198">IF(K198&lt;&gt;"",IF(INDEX(techniques[detection rules for techique],MATCH(K198,techniques[name],0))&gt;=1,INDEX(techniques[detection rules for techique],MATCH(K198,techniques[name],0)),""),"")</f>
        <v/>
      </c>
      <c r="M198" s="45" t="n"/>
      <c r="N198" s="54">
        <f t="array" ref="N198">IF(M198&lt;&gt;"",IF(INDEX(techniques[detection rules for techique],MATCH(M198,techniques[name],0))&gt;=1,INDEX(techniques[detection rules for techique],MATCH(M198,techniques[name],0)),""),"")</f>
        <v/>
      </c>
      <c r="O198" s="45" t="n"/>
      <c r="P198" s="54">
        <f t="array" ref="P198">IF(O198&lt;&gt;"",IF(INDEX(techniques[detection rules for techique],MATCH(O198,techniques[name],0))&gt;=1,INDEX(techniques[detection rules for techique],MATCH(O198,techniques[name],0)),""),"")</f>
        <v/>
      </c>
      <c r="Q198" s="45" t="n"/>
      <c r="R198" s="54">
        <f t="array" ref="R198">IF(Q198&lt;&gt;"",IF(INDEX(techniques[detection rules for techique],MATCH(Q198,techniques[name],0))&gt;=1,INDEX(techniques[detection rules for techique],MATCH(Q198,techniques[name],0)),""),"")</f>
        <v/>
      </c>
      <c r="S198" s="45" t="n"/>
      <c r="T198" s="54">
        <f t="array" ref="T198">IF(S198&lt;&gt;"",IF(INDEX(techniques[detection rules for techique],MATCH(S198,techniques[name],0))&gt;=1,INDEX(techniques[detection rules for techique],MATCH(S198,techniques[name],0)),""),"")</f>
        <v/>
      </c>
      <c r="U198" s="45" t="n"/>
      <c r="V198" s="54">
        <f t="array" ref="V198">IF(U198&lt;&gt;"",IF(INDEX(techniques[detection rules for techique],MATCH(U198,techniques[name],0))&gt;=1,INDEX(techniques[detection rules for techique],MATCH(U198,techniques[name],0)),""),"")</f>
        <v/>
      </c>
      <c r="W198" s="45" t="n"/>
      <c r="X198" s="54">
        <f t="array" ref="X198">IF(W198&lt;&gt;"",IF(INDEX(techniques[detection rules for techique],MATCH(W198,techniques[name],0))&gt;=1,INDEX(techniques[detection rules for techique],MATCH(W198,techniques[name],0)),""),"")</f>
        <v/>
      </c>
      <c r="Y198" s="45" t="n"/>
      <c r="Z198" s="54">
        <f t="array" ref="Z198">IF(Y198&lt;&gt;"",IF(INDEX(techniques[detection rules for techique],MATCH(Y198,techniques[name],0))&gt;=1,INDEX(techniques[detection rules for techique],MATCH(Y198,techniques[name],0)),""),"")</f>
        <v/>
      </c>
      <c r="AA198" s="45" t="n"/>
      <c r="AB198" s="54">
        <f t="array" ref="AB198">IF(AA198&lt;&gt;"",IF(INDEX(techniques[detection rules for techique],MATCH(AA198,techniques[name],0))&gt;=1,INDEX(techniques[detection rules for techique],MATCH(AA198,techniques[name],0)),""),"")</f>
        <v/>
      </c>
      <c r="AC198" s="45" t="n"/>
      <c r="AD198" s="54">
        <f t="array" ref="AD198">IF(AC198&lt;&gt;"",IF(INDEX(techniques[detection rules for techique],MATCH(AC198,techniques[name],0))&gt;=1,INDEX(techniques[detection rules for techique],MATCH(AC198,techniques[name],0)),""),"")</f>
        <v/>
      </c>
    </row>
    <row r="199">
      <c r="A199" s="45" t="n"/>
      <c r="B199" s="54">
        <f t="array" ref="B199">IF(A199&lt;&gt;"",IF(INDEX(techniques[detection rules for techique],MATCH(A199,techniques[name],0))&gt;=1,INDEX(techniques[detection rules for techique],MATCH(A199,techniques[name],0)),""),"")</f>
        <v/>
      </c>
      <c r="C199" s="45" t="n"/>
      <c r="D199" s="54">
        <f t="array" ref="D199">IF(C199&lt;&gt;"",IF(INDEX(techniques[detection rules for techique],MATCH(C199,techniques[name],0))&gt;=1,INDEX(techniques[detection rules for techique],MATCH(C199,techniques[name],0)),""),"")</f>
        <v/>
      </c>
      <c r="E199" s="45" t="n"/>
      <c r="F199" s="54">
        <f t="array" ref="F199">IF(E199&lt;&gt;"",IF(INDEX(techniques[detection rules for techique],MATCH(E199,techniques[name],0))&gt;=1,INDEX(techniques[detection rules for techique],MATCH(E199,techniques[name],0)),""),"")</f>
        <v/>
      </c>
      <c r="G199" s="45" t="n"/>
      <c r="H199" s="54">
        <f t="array" ref="H199">IF(G199&lt;&gt;"",IF(INDEX(techniques[detection rules for techique],MATCH(G199,techniques[name],0))&gt;=1,INDEX(techniques[detection rules for techique],MATCH(G199,techniques[name],0)),""),"")</f>
        <v/>
      </c>
      <c r="I199" s="45" t="n"/>
      <c r="J199" s="54">
        <f t="array" ref="J199">IF(I199&lt;&gt;"",IF(INDEX(techniques[detection rules for techique],MATCH(I199,techniques[name],0))&gt;=1,INDEX(techniques[detection rules for techique],MATCH(I199,techniques[name],0)),""),"")</f>
        <v/>
      </c>
      <c r="K199" s="45" t="n"/>
      <c r="L199" s="54">
        <f t="array" ref="L199">IF(K199&lt;&gt;"",IF(INDEX(techniques[detection rules for techique],MATCH(K199,techniques[name],0))&gt;=1,INDEX(techniques[detection rules for techique],MATCH(K199,techniques[name],0)),""),"")</f>
        <v/>
      </c>
      <c r="M199" s="45" t="n"/>
      <c r="N199" s="54">
        <f t="array" ref="N199">IF(M199&lt;&gt;"",IF(INDEX(techniques[detection rules for techique],MATCH(M199,techniques[name],0))&gt;=1,INDEX(techniques[detection rules for techique],MATCH(M199,techniques[name],0)),""),"")</f>
        <v/>
      </c>
      <c r="O199" s="45" t="n"/>
      <c r="P199" s="54">
        <f t="array" ref="P199">IF(O199&lt;&gt;"",IF(INDEX(techniques[detection rules for techique],MATCH(O199,techniques[name],0))&gt;=1,INDEX(techniques[detection rules for techique],MATCH(O199,techniques[name],0)),""),"")</f>
        <v/>
      </c>
      <c r="Q199" s="45" t="n"/>
      <c r="R199" s="54">
        <f t="array" ref="R199">IF(Q199&lt;&gt;"",IF(INDEX(techniques[detection rules for techique],MATCH(Q199,techniques[name],0))&gt;=1,INDEX(techniques[detection rules for techique],MATCH(Q199,techniques[name],0)),""),"")</f>
        <v/>
      </c>
      <c r="S199" s="45" t="n"/>
      <c r="T199" s="54">
        <f t="array" ref="T199">IF(S199&lt;&gt;"",IF(INDEX(techniques[detection rules for techique],MATCH(S199,techniques[name],0))&gt;=1,INDEX(techniques[detection rules for techique],MATCH(S199,techniques[name],0)),""),"")</f>
        <v/>
      </c>
      <c r="U199" s="45" t="n"/>
      <c r="V199" s="54">
        <f t="array" ref="V199">IF(U199&lt;&gt;"",IF(INDEX(techniques[detection rules for techique],MATCH(U199,techniques[name],0))&gt;=1,INDEX(techniques[detection rules for techique],MATCH(U199,techniques[name],0)),""),"")</f>
        <v/>
      </c>
      <c r="W199" s="45" t="n"/>
      <c r="X199" s="54">
        <f t="array" ref="X199">IF(W199&lt;&gt;"",IF(INDEX(techniques[detection rules for techique],MATCH(W199,techniques[name],0))&gt;=1,INDEX(techniques[detection rules for techique],MATCH(W199,techniques[name],0)),""),"")</f>
        <v/>
      </c>
      <c r="Y199" s="45" t="n"/>
      <c r="Z199" s="54">
        <f t="array" ref="Z199">IF(Y199&lt;&gt;"",IF(INDEX(techniques[detection rules for techique],MATCH(Y199,techniques[name],0))&gt;=1,INDEX(techniques[detection rules for techique],MATCH(Y199,techniques[name],0)),""),"")</f>
        <v/>
      </c>
      <c r="AA199" s="45" t="n"/>
      <c r="AB199" s="54">
        <f t="array" ref="AB199">IF(AA199&lt;&gt;"",IF(INDEX(techniques[detection rules for techique],MATCH(AA199,techniques[name],0))&gt;=1,INDEX(techniques[detection rules for techique],MATCH(AA199,techniques[name],0)),""),"")</f>
        <v/>
      </c>
      <c r="AC199" s="45" t="n"/>
      <c r="AD199" s="54">
        <f t="array" ref="AD199">IF(AC199&lt;&gt;"",IF(INDEX(techniques[detection rules for techique],MATCH(AC199,techniques[name],0))&gt;=1,INDEX(techniques[detection rules for techique],MATCH(AC199,techniques[name],0)),""),"")</f>
        <v/>
      </c>
    </row>
    <row r="200">
      <c r="A200" s="46" t="n"/>
      <c r="B200" s="55">
        <f t="array" ref="B200">IF(A200&lt;&gt;"",IF(INDEX(techniques[detection rules for techique],MATCH(A200,techniques[name],0))&gt;=1,INDEX(techniques[detection rules for techique],MATCH(A200,techniques[name],0)),""),"")</f>
        <v/>
      </c>
      <c r="C200" s="46" t="n"/>
      <c r="D200" s="55">
        <f t="array" ref="D200">IF(C200&lt;&gt;"",IF(INDEX(techniques[detection rules for techique],MATCH(C200,techniques[name],0))&gt;=1,INDEX(techniques[detection rules for techique],MATCH(C200,techniques[name],0)),""),"")</f>
        <v/>
      </c>
      <c r="E200" s="46" t="n"/>
      <c r="F200" s="55">
        <f t="array" ref="F200">IF(E200&lt;&gt;"",IF(INDEX(techniques[detection rules for techique],MATCH(E200,techniques[name],0))&gt;=1,INDEX(techniques[detection rules for techique],MATCH(E200,techniques[name],0)),""),"")</f>
        <v/>
      </c>
      <c r="G200" s="46" t="n"/>
      <c r="H200" s="55">
        <f t="array" ref="H200">IF(G200&lt;&gt;"",IF(INDEX(techniques[detection rules for techique],MATCH(G200,techniques[name],0))&gt;=1,INDEX(techniques[detection rules for techique],MATCH(G200,techniques[name],0)),""),"")</f>
        <v/>
      </c>
      <c r="I200" s="46" t="n"/>
      <c r="J200" s="55">
        <f t="array" ref="J200">IF(I200&lt;&gt;"",IF(INDEX(techniques[detection rules for techique],MATCH(I200,techniques[name],0))&gt;=1,INDEX(techniques[detection rules for techique],MATCH(I200,techniques[name],0)),""),"")</f>
        <v/>
      </c>
      <c r="K200" s="46" t="n"/>
      <c r="L200" s="55">
        <f t="array" ref="L200">IF(K200&lt;&gt;"",IF(INDEX(techniques[detection rules for techique],MATCH(K200,techniques[name],0))&gt;=1,INDEX(techniques[detection rules for techique],MATCH(K200,techniques[name],0)),""),"")</f>
        <v/>
      </c>
      <c r="M200" s="46" t="n"/>
      <c r="N200" s="55">
        <f t="array" ref="N200">IF(M200&lt;&gt;"",IF(INDEX(techniques[detection rules for techique],MATCH(M200,techniques[name],0))&gt;=1,INDEX(techniques[detection rules for techique],MATCH(M200,techniques[name],0)),""),"")</f>
        <v/>
      </c>
      <c r="O200" s="46" t="n"/>
      <c r="P200" s="55">
        <f t="array" ref="P200">IF(O200&lt;&gt;"",IF(INDEX(techniques[detection rules for techique],MATCH(O200,techniques[name],0))&gt;=1,INDEX(techniques[detection rules for techique],MATCH(O200,techniques[name],0)),""),"")</f>
        <v/>
      </c>
      <c r="Q200" s="46" t="n"/>
      <c r="R200" s="55">
        <f t="array" ref="R200">IF(Q200&lt;&gt;"",IF(INDEX(techniques[detection rules for techique],MATCH(Q200,techniques[name],0))&gt;=1,INDEX(techniques[detection rules for techique],MATCH(Q200,techniques[name],0)),""),"")</f>
        <v/>
      </c>
      <c r="S200" s="46" t="n"/>
      <c r="T200" s="55">
        <f t="array" ref="T200">IF(S200&lt;&gt;"",IF(INDEX(techniques[detection rules for techique],MATCH(S200,techniques[name],0))&gt;=1,INDEX(techniques[detection rules for techique],MATCH(S200,techniques[name],0)),""),"")</f>
        <v/>
      </c>
      <c r="U200" s="46" t="n"/>
      <c r="V200" s="55">
        <f t="array" ref="V200">IF(U200&lt;&gt;"",IF(INDEX(techniques[detection rules for techique],MATCH(U200,techniques[name],0))&gt;=1,INDEX(techniques[detection rules for techique],MATCH(U200,techniques[name],0)),""),"")</f>
        <v/>
      </c>
      <c r="W200" s="46" t="n"/>
      <c r="X200" s="55">
        <f t="array" ref="X200">IF(W200&lt;&gt;"",IF(INDEX(techniques[detection rules for techique],MATCH(W200,techniques[name],0))&gt;=1,INDEX(techniques[detection rules for techique],MATCH(W200,techniques[name],0)),""),"")</f>
        <v/>
      </c>
      <c r="Y200" s="46" t="n"/>
      <c r="Z200" s="55">
        <f t="array" ref="Z200">IF(Y200&lt;&gt;"",IF(INDEX(techniques[detection rules for techique],MATCH(Y200,techniques[name],0))&gt;=1,INDEX(techniques[detection rules for techique],MATCH(Y200,techniques[name],0)),""),"")</f>
        <v/>
      </c>
      <c r="AA200" s="46" t="n"/>
      <c r="AB200" s="55">
        <f t="array" ref="AB200">IF(AA200&lt;&gt;"",IF(INDEX(techniques[detection rules for techique],MATCH(AA200,techniques[name],0))&gt;=1,INDEX(techniques[detection rules for techique],MATCH(AA200,techniques[name],0)),""),"")</f>
        <v/>
      </c>
      <c r="AC200" s="46" t="n"/>
      <c r="AD200" s="55">
        <f t="array" ref="AD200">IF(AC200&lt;&gt;"",IF(INDEX(techniques[detection rules for techique],MATCH(AC200,techniques[name],0))&gt;=1,INDEX(techniques[detection rules for techique],MATCH(AC200,techniques[name],0)),""),"")</f>
        <v/>
      </c>
    </row>
  </sheetData>
  <conditionalFormatting sqref="A2:A200 C2:C200 E2:E200 G2:G200 I2:I200 K2:K200 M2:M200 O2:O200 Q2:Q200 S2:S200 U2:U200 W2:W200 Y2:Y200 AA2:AA200 AC2:AC200">
    <cfRule type="expression" priority="10" dxfId="33" stopIfTrue="1">
      <formula>IF(INDEX(INDIRECT("techniques[technique status]"),MATCH(A2,INDIRECT("techniques[name]"),0))="no detect",1,0)</formula>
    </cfRule>
    <cfRule type="expression" priority="12" dxfId="52" stopIfTrue="1">
      <formula>IF(INDEX(INDIRECT("techniques[technique status]"),MATCH(A2,INDIRECT("techniques[name]"),0))="disabled",1,0)</formula>
    </cfRule>
    <cfRule type="expression" priority="1" dxfId="32" stopIfTrue="1">
      <formula>IF(INDEX(INDIRECT("techniques[technique status]"),MATCH(A2,INDIRECT("techniques[name]"),0))="inconsistent",1,0)</formula>
    </cfRule>
    <cfRule type="expression" priority="4" dxfId="34" stopIfTrue="1">
      <formula>IF(INDEX(INDIRECT("techniques[technique status]"),MATCH(A2,INDIRECT("techniques[name]"),0))="detect",1,0)</formula>
    </cfRule>
  </conditionalFormatting>
  <conditionalFormatting sqref="B2:B200 D2:D200 F2:F200 H2:H200 J2:J200 L2:L200 N2:N200 P2:P200 R2:R200 T2:T200 V2:V200 X2:X200 Z2:Z200 AB2:AB200 AD2:AD200">
    <cfRule type="expression" priority="9" dxfId="33" stopIfTrue="1">
      <formula>IF(INDEX(INDIRECT("techniques[technique status]"),MATCH(A2,INDIRECT("techniques[name]"),0))="no detect",1,0)</formula>
    </cfRule>
    <cfRule type="expression" priority="11" dxfId="52" stopIfTrue="1">
      <formula>IF(INDEX(INDIRECT("techniques[technique status]"),MATCH(A2,INDIRECT("techniques[name]"),0))="disabled",1,0)</formula>
    </cfRule>
    <cfRule type="expression" priority="2" dxfId="32" stopIfTrue="1">
      <formula>IF(INDEX(INDIRECT("techniques[technique status]"),MATCH(A2,INDIRECT("techniques[name]"),0))="inconsistent",1,0)</formula>
    </cfRule>
    <cfRule type="expression" priority="3" dxfId="34" stopIfTrue="1">
      <formula>IF(INDEX(INDIRECT("techniques[technique status]"),MATCH(A2,INDIRECT("techniques[name]"),0))="detect",1,0)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pane ySplit="1" topLeftCell="A2" activePane="bottomLeft" state="frozen"/>
      <selection pane="bottomLeft" activeCell="H2" sqref="H2"/>
    </sheetView>
  </sheetViews>
  <sheetFormatPr baseColWidth="8" defaultRowHeight="12.75"/>
  <cols>
    <col width="12.42578125" customWidth="1" style="74" min="1" max="1"/>
    <col width="12.7109375" customWidth="1" style="74" min="2" max="2"/>
    <col width="13.85546875" customWidth="1" style="74" min="3" max="3"/>
    <col width="20" customWidth="1" style="78" min="4" max="4"/>
    <col width="11.28515625" customWidth="1" style="74" min="5" max="5"/>
    <col width="32" bestFit="1" customWidth="1" style="78" min="6" max="6"/>
    <col width="28.5703125" customWidth="1" style="78" min="7" max="8"/>
    <col width="9.140625" customWidth="1" style="78" min="9" max="16384"/>
  </cols>
  <sheetData>
    <row r="1">
      <c r="A1" s="3" t="inlineStr">
        <is>
          <t>use case id</t>
        </is>
      </c>
      <c r="B1" s="3" t="inlineStr">
        <is>
          <t>use case</t>
        </is>
      </c>
      <c r="C1" s="3" t="inlineStr">
        <is>
          <t>rule id</t>
        </is>
      </c>
      <c r="D1" s="2" t="inlineStr">
        <is>
          <t>rule description</t>
        </is>
      </c>
      <c r="E1" s="22" t="inlineStr">
        <is>
          <t>is active</t>
        </is>
      </c>
      <c r="F1" s="21" t="inlineStr">
        <is>
          <t>attack1</t>
        </is>
      </c>
      <c r="G1" s="21" t="inlineStr">
        <is>
          <t>attack2</t>
        </is>
      </c>
      <c r="H1" s="21" t="inlineStr">
        <is>
          <t>attack3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ataValidations count="2">
    <dataValidation sqref="E2:E999" showDropDown="0" showInputMessage="1" showErrorMessage="1" allowBlank="1" type="custom">
      <formula1>IF($E2="yes",1,0)</formula1>
    </dataValidation>
    <dataValidation sqref="F2:F999 G2:H999" showDropDown="0" showInputMessage="1" showErrorMessage="1" allowBlank="1" type="list">
      <formula1>INDIRECT("techniques[name]")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98"/>
  <sheetViews>
    <sheetView workbookViewId="0">
      <pane ySplit="1" topLeftCell="A540" activePane="bottomLeft" state="frozen"/>
      <selection pane="bottomLeft" activeCell="D568" sqref="D568"/>
    </sheetView>
  </sheetViews>
  <sheetFormatPr baseColWidth="8" defaultRowHeight="15"/>
  <cols>
    <col width="11" customWidth="1" style="74" min="1" max="1"/>
    <col width="11.28515625" customWidth="1" style="74" min="2" max="2"/>
    <col width="28.28515625" customWidth="1" style="13" min="3" max="3"/>
    <col width="19.7109375" customWidth="1" style="13" min="4" max="4"/>
    <col width="17.28515625" customWidth="1" style="13" min="5" max="5"/>
    <col width="9.140625" customWidth="1" style="74" min="6" max="6"/>
    <col width="10" bestFit="1" customWidth="1" style="74" min="7" max="7"/>
    <col width="9.5703125" bestFit="1" customWidth="1" style="74" min="8" max="8"/>
    <col width="11.5703125" customWidth="1" style="74" min="9" max="9"/>
    <col width="9.42578125" customWidth="1" style="74" min="10" max="10"/>
    <col width="10.140625" customWidth="1" style="74" min="11" max="11"/>
    <col width="9.85546875" customWidth="1" style="74" min="12" max="12"/>
    <col width="9.140625" customWidth="1" style="23" min="13" max="13"/>
    <col width="11" customWidth="1" style="74" min="14" max="14"/>
    <col width="8.5703125" customWidth="1" style="26" min="15" max="15"/>
    <col width="10.7109375" bestFit="1" customWidth="1" style="78" min="16" max="16"/>
    <col width="40.5703125" customWidth="1" style="78" min="17" max="17"/>
    <col width="7.7109375" customWidth="1" style="74" min="18" max="18"/>
    <col width="38.140625" customWidth="1" style="13" min="19" max="19"/>
    <col width="9.140625" customWidth="1" style="78" min="20" max="16384"/>
  </cols>
  <sheetData>
    <row r="1" ht="38.25" customFormat="1" customHeight="1" s="8">
      <c r="A1" s="10" t="inlineStr">
        <is>
          <t>technique</t>
        </is>
      </c>
      <c r="B1" s="10" t="inlineStr">
        <is>
          <t>id</t>
        </is>
      </c>
      <c r="C1" s="11" t="inlineStr">
        <is>
          <t>name</t>
        </is>
      </c>
      <c r="D1" s="11" t="inlineStr">
        <is>
          <t>tactics</t>
        </is>
      </c>
      <c r="E1" s="11" t="inlineStr">
        <is>
          <t>data sources</t>
        </is>
      </c>
      <c r="F1" s="10" t="inlineStr">
        <is>
          <t>data sources
number</t>
        </is>
      </c>
      <c r="G1" s="16" t="inlineStr">
        <is>
          <t>data source available</t>
        </is>
      </c>
      <c r="H1" s="14" t="inlineStr">
        <is>
          <t>number of sub techniques</t>
        </is>
      </c>
      <c r="I1" s="12" t="inlineStr">
        <is>
          <t>detection rules for techique</t>
        </is>
      </c>
      <c r="J1" s="12" t="inlineStr">
        <is>
          <t>detection rules for subtech</t>
        </is>
      </c>
      <c r="K1" s="12" t="inlineStr">
        <is>
          <t>minimum detection rules</t>
        </is>
      </c>
      <c r="L1" s="20" t="inlineStr">
        <is>
          <t>detection rules modifier</t>
        </is>
      </c>
      <c r="M1" s="12" t="inlineStr">
        <is>
          <t>expected detection rules</t>
        </is>
      </c>
      <c r="N1" s="12" t="inlineStr">
        <is>
          <t>detection rules</t>
        </is>
      </c>
      <c r="O1" s="24" t="inlineStr">
        <is>
          <t>coverage</t>
        </is>
      </c>
      <c r="P1" s="12" t="inlineStr">
        <is>
          <t>technique status</t>
        </is>
      </c>
      <c r="Q1" s="27" t="inlineStr">
        <is>
          <t>Notes</t>
        </is>
      </c>
      <c r="R1" s="28" t="inlineStr">
        <is>
          <t>id check</t>
        </is>
      </c>
      <c r="S1" s="30" t="inlineStr">
        <is>
          <t>Errors checks</t>
        </is>
      </c>
    </row>
    <row r="2" ht="12.75" customHeight="1">
      <c r="A2" s="74" t="inlineStr">
        <is>
          <t>T1001</t>
        </is>
      </c>
      <c r="B2" s="74" t="inlineStr">
        <is>
          <t>T1001</t>
        </is>
      </c>
      <c r="C2" s="13" t="inlineStr">
        <is>
          <t>Data Obfuscation (T1001)</t>
        </is>
      </c>
      <c r="D2" s="13" t="inlineStr">
        <is>
          <t>command-and-control</t>
        </is>
      </c>
      <c r="E2" s="13" t="inlineStr">
        <is>
          <t>Network Traffic: Network Connection Creation|Network Traffic: Network Traffic Content|Process: Process Creation</t>
        </is>
      </c>
      <c r="F2" s="74" t="n">
        <v>3</v>
      </c>
      <c r="G2" s="72">
        <f t="array" ref="G2">SUM(IF(ISERROR(FIND(sources[data source],techniques[[#This Row],[data sources]])),0,1)*IF(sources[available]="yes",1,0))</f>
        <v/>
      </c>
      <c r="H2" s="73">
        <f t="array" ref="H2">IF(techniques[[#This Row],[technique]]=techniques[[#This Row],[id]],SUM(IF(techniques[[#This Row],[id]]=techniques[technique],1,0))-1,"")</f>
        <v/>
      </c>
      <c r="I2" s="74">
        <f t="array" ref="I2">IF(SUM(IF($C2=detections[],IF(detections[is active]="yes",1,0),0))&gt;0,SUM(IF($C2=detections[],IF(detections[is active]="yes",1,0),0)),"")</f>
        <v/>
      </c>
      <c r="J2" s="74">
        <f t="array" ref="J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" s="74">
        <f>IF(AND(ISNUMBER(techniques[[#This Row],[number of sub techniques]]),techniques[[#This Row],[number of sub techniques]]&gt;1),techniques[number of sub techniques],1)</f>
        <v/>
      </c>
      <c r="L2" s="72" t="n"/>
      <c r="M2" s="74">
        <f t="array" ref="M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" s="26">
        <f>IF(techniques[[#This Row],[detection rules]]&gt;=techniques[[#This Row],[expected detection rules]],1,techniques[[#This Row],[detection rules]]/techniques[[#This Row],[expected detection rules]])</f>
        <v/>
      </c>
      <c r="P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" s="29">
        <f>IF(ISERROR(SEARCH(techniques[[#This Row],[id]],techniques[[#This Row],[name]])),"ERROR","")</f>
        <v/>
      </c>
      <c r="S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" ht="12.75" customHeight="1">
      <c r="A3" s="74" t="inlineStr">
        <is>
          <t>T1001</t>
        </is>
      </c>
      <c r="B3" s="74" t="inlineStr">
        <is>
          <t>T1001.001</t>
        </is>
      </c>
      <c r="C3" s="13" t="inlineStr">
        <is>
          <t>Junk Data (T1001.001)</t>
        </is>
      </c>
      <c r="D3" s="13" t="inlineStr">
        <is>
          <t>command-and-control</t>
        </is>
      </c>
      <c r="E3" s="13" t="inlineStr">
        <is>
          <t>Network Traffic: Network Connection Creation|Network Traffic: Network Traffic Content|Process: Process Access|Process: Process Creation</t>
        </is>
      </c>
      <c r="F3" s="74" t="n">
        <v>4</v>
      </c>
      <c r="G3" s="72">
        <f t="array" ref="G3">SUM(IF(ISERROR(FIND(sources[data source],techniques[[#This Row],[data sources]])),0,1)*IF(sources[available]="yes",1,0))</f>
        <v/>
      </c>
      <c r="H3" s="73">
        <f t="array" ref="H3">IF(techniques[[#This Row],[technique]]=techniques[[#This Row],[id]],SUM(IF(techniques[[#This Row],[id]]=techniques[technique],1,0))-1,"")</f>
        <v/>
      </c>
      <c r="I3" s="74">
        <f t="array" ref="I3">IF(SUM(IF($C3=detections[],IF(detections[is active]="yes",1,0),0))&gt;0,SUM(IF($C3=detections[],IF(detections[is active]="yes",1,0),0)),"")</f>
        <v/>
      </c>
      <c r="J3" s="74">
        <f t="array" ref="J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" s="74">
        <f>IF(AND(ISNUMBER(techniques[[#This Row],[number of sub techniques]]),techniques[[#This Row],[number of sub techniques]]&gt;1),techniques[number of sub techniques],1)</f>
        <v/>
      </c>
      <c r="L3" s="72" t="n"/>
      <c r="M3" s="74">
        <f t="array" ref="M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" s="26">
        <f>IF(techniques[[#This Row],[detection rules]]&gt;=techniques[[#This Row],[expected detection rules]],1,techniques[[#This Row],[detection rules]]/techniques[[#This Row],[expected detection rules]])</f>
        <v/>
      </c>
      <c r="P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" s="29">
        <f>IF(ISERROR(SEARCH(techniques[[#This Row],[id]],techniques[[#This Row],[name]])),"ERROR","")</f>
        <v/>
      </c>
      <c r="S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" ht="12.75" customHeight="1">
      <c r="A4" s="74" t="inlineStr">
        <is>
          <t>T1001</t>
        </is>
      </c>
      <c r="B4" s="74" t="inlineStr">
        <is>
          <t>T1001.002</t>
        </is>
      </c>
      <c r="C4" s="13" t="inlineStr">
        <is>
          <t>Steganography (T1001.002)</t>
        </is>
      </c>
      <c r="D4" s="13" t="inlineStr">
        <is>
          <t>command-and-control</t>
        </is>
      </c>
      <c r="E4" s="13" t="inlineStr">
        <is>
          <t>File: File Creation|File: File Metadata|Network Traffic: Network Connection Creation|Network Traffic: Network Traffic Content|Process: Process Creation</t>
        </is>
      </c>
      <c r="F4" s="74" t="n">
        <v>5</v>
      </c>
      <c r="G4" s="72">
        <f t="array" ref="G4">SUM(IF(ISERROR(FIND(sources[data source],techniques[[#This Row],[data sources]])),0,1)*IF(sources[available]="yes",1,0))</f>
        <v/>
      </c>
      <c r="H4" s="73">
        <f t="array" ref="H4">IF(techniques[[#This Row],[technique]]=techniques[[#This Row],[id]],SUM(IF(techniques[[#This Row],[id]]=techniques[technique],1,0))-1,"")</f>
        <v/>
      </c>
      <c r="I4" s="74">
        <f t="array" ref="I4">IF(SUM(IF($C4=detections[],IF(detections[is active]="yes",1,0),0))&gt;0,SUM(IF($C4=detections[],IF(detections[is active]="yes",1,0),0)),"")</f>
        <v/>
      </c>
      <c r="J4" s="74">
        <f t="array" ref="J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" s="74">
        <f>IF(AND(ISNUMBER(techniques[[#This Row],[number of sub techniques]]),techniques[[#This Row],[number of sub techniques]]&gt;1),techniques[number of sub techniques],1)</f>
        <v/>
      </c>
      <c r="L4" s="72" t="n"/>
      <c r="M4" s="74">
        <f t="array" ref="M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" s="26">
        <f>IF(techniques[[#This Row],[detection rules]]&gt;=techniques[[#This Row],[expected detection rules]],1,techniques[[#This Row],[detection rules]]/techniques[[#This Row],[expected detection rules]])</f>
        <v/>
      </c>
      <c r="P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" s="29">
        <f>IF(ISERROR(SEARCH(techniques[[#This Row],[id]],techniques[[#This Row],[name]])),"ERROR","")</f>
        <v/>
      </c>
      <c r="S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" ht="12.75" customHeight="1">
      <c r="A5" s="74" t="inlineStr">
        <is>
          <t>T1001</t>
        </is>
      </c>
      <c r="B5" s="74" t="inlineStr">
        <is>
          <t>T1001.003</t>
        </is>
      </c>
      <c r="C5" s="13" t="inlineStr">
        <is>
          <t>Protocol or Service Impersonation (T1001.003)</t>
        </is>
      </c>
      <c r="D5" s="13" t="inlineStr">
        <is>
          <t>command-and-control</t>
        </is>
      </c>
      <c r="E5" s="13" t="inlineStr">
        <is>
          <t>Network Traffic: Network Connection Creation|Network Traffic: Network Traffic Content|Process: Process Creation|Process: Process Metadata</t>
        </is>
      </c>
      <c r="F5" s="74" t="n">
        <v>4</v>
      </c>
      <c r="G5" s="72">
        <f t="array" ref="G5">SUM(IF(ISERROR(FIND(sources[data source],techniques[[#This Row],[data sources]])),0,1)*IF(sources[available]="yes",1,0))</f>
        <v/>
      </c>
      <c r="H5" s="73">
        <f t="array" ref="H5">IF(techniques[[#This Row],[technique]]=techniques[[#This Row],[id]],SUM(IF(techniques[[#This Row],[id]]=techniques[technique],1,0))-1,"")</f>
        <v/>
      </c>
      <c r="I5" s="74">
        <f t="array" ref="I5">IF(SUM(IF($C5=detections[],IF(detections[is active]="yes",1,0),0))&gt;0,SUM(IF($C5=detections[],IF(detections[is active]="yes",1,0),0)),"")</f>
        <v/>
      </c>
      <c r="J5" s="74">
        <f t="array" ref="J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" s="74">
        <f>IF(AND(ISNUMBER(techniques[[#This Row],[number of sub techniques]]),techniques[[#This Row],[number of sub techniques]]&gt;1),techniques[number of sub techniques],1)</f>
        <v/>
      </c>
      <c r="L5" s="72" t="n"/>
      <c r="M5" s="74">
        <f t="array" ref="M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" s="26">
        <f>IF(techniques[[#This Row],[detection rules]]&gt;=techniques[[#This Row],[expected detection rules]],1,techniques[[#This Row],[detection rules]]/techniques[[#This Row],[expected detection rules]])</f>
        <v/>
      </c>
      <c r="P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" s="29">
        <f>IF(ISERROR(SEARCH(techniques[[#This Row],[id]],techniques[[#This Row],[name]])),"ERROR","")</f>
        <v/>
      </c>
      <c r="S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" ht="12.75" customHeight="1">
      <c r="A6" s="74" t="inlineStr">
        <is>
          <t>T1003</t>
        </is>
      </c>
      <c r="B6" s="74" t="inlineStr">
        <is>
          <t>T1003</t>
        </is>
      </c>
      <c r="C6" s="13" t="inlineStr">
        <is>
          <t>OS Credential Dumping (T1003)</t>
        </is>
      </c>
      <c r="D6" s="13" t="inlineStr">
        <is>
          <t>credential-access</t>
        </is>
      </c>
      <c r="E6" s="13" t="inlineStr">
        <is>
          <t>Active Directory: Active Directory Object Access|File: File Access|Process: Process Access|Process: Process Creation|Process: Process Metadata</t>
        </is>
      </c>
      <c r="F6" s="74" t="n">
        <v>5</v>
      </c>
      <c r="G6" s="72">
        <f t="array" ref="G6">SUM(IF(ISERROR(FIND(sources[data source],techniques[[#This Row],[data sources]])),0,1)*IF(sources[available]="yes",1,0))</f>
        <v/>
      </c>
      <c r="H6" s="73">
        <f t="array" ref="H6">IF(techniques[[#This Row],[technique]]=techniques[[#This Row],[id]],SUM(IF(techniques[[#This Row],[id]]=techniques[technique],1,0))-1,"")</f>
        <v/>
      </c>
      <c r="I6" s="74">
        <f t="array" ref="I6">IF(SUM(IF($C6=detections[],IF(detections[is active]="yes",1,0),0))&gt;0,SUM(IF($C6=detections[],IF(detections[is active]="yes",1,0),0)),"")</f>
        <v/>
      </c>
      <c r="J6" s="74">
        <f t="array" ref="J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" s="74">
        <f>IF(AND(ISNUMBER(techniques[[#This Row],[number of sub techniques]]),techniques[[#This Row],[number of sub techniques]]&gt;1),techniques[number of sub techniques],1)</f>
        <v/>
      </c>
      <c r="L6" s="72" t="n"/>
      <c r="M6" s="74">
        <f t="array" ref="M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" s="26">
        <f>IF(techniques[[#This Row],[detection rules]]&gt;=techniques[[#This Row],[expected detection rules]],1,techniques[[#This Row],[detection rules]]/techniques[[#This Row],[expected detection rules]])</f>
        <v/>
      </c>
      <c r="P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" s="29">
        <f>IF(ISERROR(SEARCH(techniques[[#This Row],[id]],techniques[[#This Row],[name]])),"ERROR","")</f>
        <v/>
      </c>
      <c r="S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7" ht="12.75" customHeight="1">
      <c r="A7" s="74" t="inlineStr">
        <is>
          <t>T1003</t>
        </is>
      </c>
      <c r="B7" s="74" t="inlineStr">
        <is>
          <t>T1003.001</t>
        </is>
      </c>
      <c r="C7" s="13" t="inlineStr">
        <is>
          <t>LSASS Memory (T1003.001)</t>
        </is>
      </c>
      <c r="D7" s="13" t="inlineStr">
        <is>
          <t>credential-access</t>
        </is>
      </c>
      <c r="E7" s="13" t="inlineStr">
        <is>
          <t>File: File Creation|Process: Process Access|Process: Process Creation|User Account: User Account Metadata|Windows Registry: Windows Registry Key Modification</t>
        </is>
      </c>
      <c r="F7" s="74" t="n">
        <v>5</v>
      </c>
      <c r="G7" s="72">
        <f t="array" ref="G7">SUM(IF(ISERROR(FIND(sources[data source],techniques[[#This Row],[data sources]])),0,1)*IF(sources[available]="yes",1,0))</f>
        <v/>
      </c>
      <c r="H7" s="73">
        <f t="array" ref="H7">IF(techniques[[#This Row],[technique]]=techniques[[#This Row],[id]],SUM(IF(techniques[[#This Row],[id]]=techniques[technique],1,0))-1,"")</f>
        <v/>
      </c>
      <c r="I7" s="74">
        <f t="array" ref="I7">IF(SUM(IF($C7=detections[],IF(detections[is active]="yes",1,0),0))&gt;0,SUM(IF($C7=detections[],IF(detections[is active]="yes",1,0),0)),"")</f>
        <v/>
      </c>
      <c r="J7" s="74">
        <f t="array" ref="J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7" s="74">
        <f>IF(AND(ISNUMBER(techniques[[#This Row],[number of sub techniques]]),techniques[[#This Row],[number of sub techniques]]&gt;1),techniques[number of sub techniques],1)</f>
        <v/>
      </c>
      <c r="L7" s="72" t="n"/>
      <c r="M7" s="74">
        <f t="array" ref="M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7" s="26">
        <f>IF(techniques[[#This Row],[detection rules]]&gt;=techniques[[#This Row],[expected detection rules]],1,techniques[[#This Row],[detection rules]]/techniques[[#This Row],[expected detection rules]])</f>
        <v/>
      </c>
      <c r="P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7" s="29">
        <f>IF(ISERROR(SEARCH(techniques[[#This Row],[id]],techniques[[#This Row],[name]])),"ERROR","")</f>
        <v/>
      </c>
      <c r="S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8" ht="12.75" customHeight="1">
      <c r="A8" s="74" t="inlineStr">
        <is>
          <t>T1003</t>
        </is>
      </c>
      <c r="B8" s="74" t="inlineStr">
        <is>
          <t>T1003.002</t>
        </is>
      </c>
      <c r="C8" s="13" t="inlineStr">
        <is>
          <t>Security Account Manager (T1003.002)</t>
        </is>
      </c>
      <c r="D8" s="13" t="inlineStr">
        <is>
          <t>credential-access</t>
        </is>
      </c>
      <c r="E8" s="13" t="inlineStr">
        <is>
          <t>File: File Creation|File: File Modification|Process: Process Creation|Windows Registry: Windows Registry Key Modification</t>
        </is>
      </c>
      <c r="F8" s="74" t="n">
        <v>4</v>
      </c>
      <c r="G8" s="72">
        <f t="array" ref="G8">SUM(IF(ISERROR(FIND(sources[data source],techniques[[#This Row],[data sources]])),0,1)*IF(sources[available]="yes",1,0))</f>
        <v/>
      </c>
      <c r="H8" s="73">
        <f t="array" ref="H8">IF(techniques[[#This Row],[technique]]=techniques[[#This Row],[id]],SUM(IF(techniques[[#This Row],[id]]=techniques[technique],1,0))-1,"")</f>
        <v/>
      </c>
      <c r="I8" s="74">
        <f t="array" ref="I8">IF(SUM(IF($C8=detections[],IF(detections[is active]="yes",1,0),0))&gt;0,SUM(IF($C8=detections[],IF(detections[is active]="yes",1,0),0)),"")</f>
        <v/>
      </c>
      <c r="J8" s="74">
        <f t="array" ref="J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8" s="74">
        <f>IF(AND(ISNUMBER(techniques[[#This Row],[number of sub techniques]]),techniques[[#This Row],[number of sub techniques]]&gt;1),techniques[number of sub techniques],1)</f>
        <v/>
      </c>
      <c r="L8" s="72" t="n"/>
      <c r="M8" s="74">
        <f t="array" ref="M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8" s="26">
        <f>IF(techniques[[#This Row],[detection rules]]&gt;=techniques[[#This Row],[expected detection rules]],1,techniques[[#This Row],[detection rules]]/techniques[[#This Row],[expected detection rules]])</f>
        <v/>
      </c>
      <c r="P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8" s="29">
        <f>IF(ISERROR(SEARCH(techniques[[#This Row],[id]],techniques[[#This Row],[name]])),"ERROR","")</f>
        <v/>
      </c>
      <c r="S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9" ht="12.75" customHeight="1">
      <c r="A9" s="74" t="inlineStr">
        <is>
          <t>T1003</t>
        </is>
      </c>
      <c r="B9" s="74" t="inlineStr">
        <is>
          <t>T1003.003</t>
        </is>
      </c>
      <c r="C9" s="13" t="inlineStr">
        <is>
          <t>NTDS (T1003.003)</t>
        </is>
      </c>
      <c r="D9" s="13" t="inlineStr">
        <is>
          <t>credential-access</t>
        </is>
      </c>
      <c r="E9" s="13" t="inlineStr">
        <is>
          <t>File: File Creation|File: File Modification|Process: Process Creation|Volume: Volume Creation</t>
        </is>
      </c>
      <c r="F9" s="74" t="n">
        <v>4</v>
      </c>
      <c r="G9" s="72">
        <f t="array" ref="G9">SUM(IF(ISERROR(FIND(sources[data source],techniques[[#This Row],[data sources]])),0,1)*IF(sources[available]="yes",1,0))</f>
        <v/>
      </c>
      <c r="H9" s="73">
        <f t="array" ref="H9">IF(techniques[[#This Row],[technique]]=techniques[[#This Row],[id]],SUM(IF(techniques[[#This Row],[id]]=techniques[technique],1,0))-1,"")</f>
        <v/>
      </c>
      <c r="I9" s="74">
        <f t="array" ref="I9">IF(SUM(IF($C9=detections[],IF(detections[is active]="yes",1,0),0))&gt;0,SUM(IF($C9=detections[],IF(detections[is active]="yes",1,0),0)),"")</f>
        <v/>
      </c>
      <c r="J9" s="74">
        <f t="array" ref="J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9" s="74">
        <f>IF(AND(ISNUMBER(techniques[[#This Row],[number of sub techniques]]),techniques[[#This Row],[number of sub techniques]]&gt;1),techniques[number of sub techniques],1)</f>
        <v/>
      </c>
      <c r="L9" s="72" t="n"/>
      <c r="M9" s="74">
        <f t="array" ref="M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9" s="26">
        <f>IF(techniques[[#This Row],[detection rules]]&gt;=techniques[[#This Row],[expected detection rules]],1,techniques[[#This Row],[detection rules]]/techniques[[#This Row],[expected detection rules]])</f>
        <v/>
      </c>
      <c r="P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9" s="29">
        <f>IF(ISERROR(SEARCH(techniques[[#This Row],[id]],techniques[[#This Row],[name]])),"ERROR","")</f>
        <v/>
      </c>
      <c r="S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0" ht="12.75" customHeight="1">
      <c r="A10" s="74" t="inlineStr">
        <is>
          <t>T1003</t>
        </is>
      </c>
      <c r="B10" s="74" t="inlineStr">
        <is>
          <t>T1003.004</t>
        </is>
      </c>
      <c r="C10" s="13" t="inlineStr">
        <is>
          <t>LSA Secrets (T1003.004)</t>
        </is>
      </c>
      <c r="D10" s="13" t="inlineStr">
        <is>
          <t>credential-access</t>
        </is>
      </c>
      <c r="E10" s="13" t="inlineStr">
        <is>
          <t>File: File Modification|Module: Module Load|Process: Process Access|Process: Process Creation</t>
        </is>
      </c>
      <c r="F10" s="74" t="n">
        <v>4</v>
      </c>
      <c r="G10" s="72">
        <f t="array" ref="G10">SUM(IF(ISERROR(FIND(sources[data source],techniques[[#This Row],[data sources]])),0,1)*IF(sources[available]="yes",1,0))</f>
        <v/>
      </c>
      <c r="H10" s="73">
        <f t="array" ref="H10">IF(techniques[[#This Row],[technique]]=techniques[[#This Row],[id]],SUM(IF(techniques[[#This Row],[id]]=techniques[technique],1,0))-1,"")</f>
        <v/>
      </c>
      <c r="I10" s="74">
        <f t="array" ref="I10">IF(SUM(IF($C10=detections[],IF(detections[is active]="yes",1,0),0))&gt;0,SUM(IF($C10=detections[],IF(detections[is active]="yes",1,0),0)),"")</f>
        <v/>
      </c>
      <c r="J10" s="74">
        <f t="array" ref="J1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0" s="74">
        <f>IF(AND(ISNUMBER(techniques[[#This Row],[number of sub techniques]]),techniques[[#This Row],[number of sub techniques]]&gt;1),techniques[number of sub techniques],1)</f>
        <v/>
      </c>
      <c r="L10" s="72" t="n"/>
      <c r="M10" s="74">
        <f t="array" ref="M1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0" s="26">
        <f>IF(techniques[[#This Row],[detection rules]]&gt;=techniques[[#This Row],[expected detection rules]],1,techniques[[#This Row],[detection rules]]/techniques[[#This Row],[expected detection rules]])</f>
        <v/>
      </c>
      <c r="P1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0" s="29">
        <f>IF(ISERROR(SEARCH(techniques[[#This Row],[id]],techniques[[#This Row],[name]])),"ERROR","")</f>
        <v/>
      </c>
      <c r="S1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1" ht="12.75" customHeight="1">
      <c r="A11" s="74" t="inlineStr">
        <is>
          <t>T1003</t>
        </is>
      </c>
      <c r="B11" s="74" t="inlineStr">
        <is>
          <t>T1003.005</t>
        </is>
      </c>
      <c r="C11" s="13" t="inlineStr">
        <is>
          <t>Cached Domain Credentials (T1003.005)</t>
        </is>
      </c>
      <c r="D11" s="13" t="inlineStr">
        <is>
          <t>credential-access</t>
        </is>
      </c>
      <c r="E11" s="13" t="inlineStr">
        <is>
          <t>File: File Access|Process: Process Access|Process: Process Creation</t>
        </is>
      </c>
      <c r="F11" s="74" t="n">
        <v>3</v>
      </c>
      <c r="G11" s="72">
        <f t="array" ref="G11">SUM(IF(ISERROR(FIND(sources[data source],techniques[[#This Row],[data sources]])),0,1)*IF(sources[available]="yes",1,0))</f>
        <v/>
      </c>
      <c r="H11" s="73">
        <f t="array" ref="H11">IF(techniques[[#This Row],[technique]]=techniques[[#This Row],[id]],SUM(IF(techniques[[#This Row],[id]]=techniques[technique],1,0))-1,"")</f>
        <v/>
      </c>
      <c r="I11" s="74">
        <f t="array" ref="I11">IF(SUM(IF($C11=detections[],IF(detections[is active]="yes",1,0),0))&gt;0,SUM(IF($C11=detections[],IF(detections[is active]="yes",1,0),0)),"")</f>
        <v/>
      </c>
      <c r="J11" s="74">
        <f t="array" ref="J1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1" s="74">
        <f>IF(AND(ISNUMBER(techniques[[#This Row],[number of sub techniques]]),techniques[[#This Row],[number of sub techniques]]&gt;1),techniques[number of sub techniques],1)</f>
        <v/>
      </c>
      <c r="L11" s="72" t="n"/>
      <c r="M11" s="74">
        <f t="array" ref="M1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1" s="26">
        <f>IF(techniques[[#This Row],[detection rules]]&gt;=techniques[[#This Row],[expected detection rules]],1,techniques[[#This Row],[detection rules]]/techniques[[#This Row],[expected detection rules]])</f>
        <v/>
      </c>
      <c r="P1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1" s="29">
        <f>IF(ISERROR(SEARCH(techniques[[#This Row],[id]],techniques[[#This Row],[name]])),"ERROR","")</f>
        <v/>
      </c>
      <c r="S1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2" ht="12.75" customHeight="1">
      <c r="A12" s="74" t="inlineStr">
        <is>
          <t>T1003</t>
        </is>
      </c>
      <c r="B12" s="74" t="inlineStr">
        <is>
          <t>T1003.006</t>
        </is>
      </c>
      <c r="C12" s="13" t="inlineStr">
        <is>
          <t>DCSync (T1003.006)</t>
        </is>
      </c>
      <c r="D12" s="13" t="inlineStr">
        <is>
          <t>credential-access</t>
        </is>
      </c>
      <c r="E12" s="13" t="inlineStr">
        <is>
          <t>Active Directory: Active Directory Object Access|Active Directory: Active Directory Object Deletion|Network Traffic: Network Traffic Content</t>
        </is>
      </c>
      <c r="F12" s="74" t="n">
        <v>3</v>
      </c>
      <c r="G12" s="72">
        <f t="array" ref="G12">SUM(IF(ISERROR(FIND(sources[data source],techniques[[#This Row],[data sources]])),0,1)*IF(sources[available]="yes",1,0))</f>
        <v/>
      </c>
      <c r="H12" s="73">
        <f t="array" ref="H12">IF(techniques[[#This Row],[technique]]=techniques[[#This Row],[id]],SUM(IF(techniques[[#This Row],[id]]=techniques[technique],1,0))-1,"")</f>
        <v/>
      </c>
      <c r="I12" s="74">
        <f t="array" ref="I12">IF(SUM(IF($C12=detections[],IF(detections[is active]="yes",1,0),0))&gt;0,SUM(IF($C12=detections[],IF(detections[is active]="yes",1,0),0)),"")</f>
        <v/>
      </c>
      <c r="J12" s="74">
        <f t="array" ref="J1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2" s="74">
        <f>IF(AND(ISNUMBER(techniques[[#This Row],[number of sub techniques]]),techniques[[#This Row],[number of sub techniques]]&gt;1),techniques[number of sub techniques],1)</f>
        <v/>
      </c>
      <c r="L12" s="72" t="n"/>
      <c r="M12" s="74">
        <f t="array" ref="M1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2" s="26">
        <f>IF(techniques[[#This Row],[detection rules]]&gt;=techniques[[#This Row],[expected detection rules]],1,techniques[[#This Row],[detection rules]]/techniques[[#This Row],[expected detection rules]])</f>
        <v/>
      </c>
      <c r="P1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2" s="29">
        <f>IF(ISERROR(SEARCH(techniques[[#This Row],[id]],techniques[[#This Row],[name]])),"ERROR","")</f>
        <v/>
      </c>
      <c r="S1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3" ht="12.75" customHeight="1">
      <c r="A13" s="74" t="inlineStr">
        <is>
          <t>T1003</t>
        </is>
      </c>
      <c r="B13" s="74" t="inlineStr">
        <is>
          <t>T1003.007</t>
        </is>
      </c>
      <c r="C13" s="13" t="inlineStr">
        <is>
          <t>Proc Filesystem (T1003.007)</t>
        </is>
      </c>
      <c r="D13" s="13" t="inlineStr">
        <is>
          <t>credential-access</t>
        </is>
      </c>
      <c r="E13" s="13" t="inlineStr">
        <is>
          <t>File: File Access|File: File Modification|Process: Process Access|Process: Process Creation</t>
        </is>
      </c>
      <c r="F13" s="74" t="n">
        <v>4</v>
      </c>
      <c r="G13" s="72">
        <f t="array" ref="G13">SUM(IF(ISERROR(FIND(sources[data source],techniques[[#This Row],[data sources]])),0,1)*IF(sources[available]="yes",1,0))</f>
        <v/>
      </c>
      <c r="H13" s="73">
        <f t="array" ref="H13">IF(techniques[[#This Row],[technique]]=techniques[[#This Row],[id]],SUM(IF(techniques[[#This Row],[id]]=techniques[technique],1,0))-1,"")</f>
        <v/>
      </c>
      <c r="I13" s="74">
        <f t="array" ref="I13">IF(SUM(IF($C13=detections[],IF(detections[is active]="yes",1,0),0))&gt;0,SUM(IF($C13=detections[],IF(detections[is active]="yes",1,0),0)),"")</f>
        <v/>
      </c>
      <c r="J13" s="74">
        <f t="array" ref="J1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3" s="74">
        <f>IF(AND(ISNUMBER(techniques[[#This Row],[number of sub techniques]]),techniques[[#This Row],[number of sub techniques]]&gt;1),techniques[number of sub techniques],1)</f>
        <v/>
      </c>
      <c r="L13" s="72" t="n"/>
      <c r="M13" s="74">
        <f t="array" ref="M1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3" s="26">
        <f>IF(techniques[[#This Row],[detection rules]]&gt;=techniques[[#This Row],[expected detection rules]],1,techniques[[#This Row],[detection rules]]/techniques[[#This Row],[expected detection rules]])</f>
        <v/>
      </c>
      <c r="P1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3" s="29">
        <f>IF(ISERROR(SEARCH(techniques[[#This Row],[id]],techniques[[#This Row],[name]])),"ERROR","")</f>
        <v/>
      </c>
      <c r="S1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4" ht="12.75" customHeight="1">
      <c r="A14" s="74" t="inlineStr">
        <is>
          <t>T1003</t>
        </is>
      </c>
      <c r="B14" s="74" t="inlineStr">
        <is>
          <t>T1003.008</t>
        </is>
      </c>
      <c r="C14" s="13" t="inlineStr">
        <is>
          <t>/etc/passwd and /etc/shadow (T1003.008)</t>
        </is>
      </c>
      <c r="D14" s="13" t="inlineStr">
        <is>
          <t>credential-access</t>
        </is>
      </c>
      <c r="E14" s="13" t="inlineStr">
        <is>
          <t>File: File Access|Process: Process Creation</t>
        </is>
      </c>
      <c r="F14" s="74" t="n">
        <v>2</v>
      </c>
      <c r="G14" s="72">
        <f t="array" ref="G14">SUM(IF(ISERROR(FIND(sources[data source],techniques[[#This Row],[data sources]])),0,1)*IF(sources[available]="yes",1,0))</f>
        <v/>
      </c>
      <c r="H14" s="73">
        <f t="array" ref="H14">IF(techniques[[#This Row],[technique]]=techniques[[#This Row],[id]],SUM(IF(techniques[[#This Row],[id]]=techniques[technique],1,0))-1,"")</f>
        <v/>
      </c>
      <c r="I14" s="74">
        <f t="array" ref="I14">IF(SUM(IF($C14=detections[],IF(detections[is active]="yes",1,0),0))&gt;0,SUM(IF($C14=detections[],IF(detections[is active]="yes",1,0),0)),"")</f>
        <v/>
      </c>
      <c r="J14" s="74">
        <f t="array" ref="J1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4" s="74">
        <f>IF(AND(ISNUMBER(techniques[[#This Row],[number of sub techniques]]),techniques[[#This Row],[number of sub techniques]]&gt;1),techniques[number of sub techniques],1)</f>
        <v/>
      </c>
      <c r="L14" s="72" t="n"/>
      <c r="M14" s="74">
        <f t="array" ref="M1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4" s="26">
        <f>IF(techniques[[#This Row],[detection rules]]&gt;=techniques[[#This Row],[expected detection rules]],1,techniques[[#This Row],[detection rules]]/techniques[[#This Row],[expected detection rules]])</f>
        <v/>
      </c>
      <c r="P1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4" s="29">
        <f>IF(ISERROR(SEARCH(techniques[[#This Row],[id]],techniques[[#This Row],[name]])),"ERROR","")</f>
        <v/>
      </c>
      <c r="S1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5" ht="12.75" customHeight="1">
      <c r="A15" s="74" t="inlineStr">
        <is>
          <t>T1005</t>
        </is>
      </c>
      <c r="B15" s="74" t="inlineStr">
        <is>
          <t>T1005</t>
        </is>
      </c>
      <c r="C15" s="13" t="inlineStr">
        <is>
          <t>Data from Local System (T1005)</t>
        </is>
      </c>
      <c r="D15" s="13" t="inlineStr">
        <is>
          <t>collection</t>
        </is>
      </c>
      <c r="E15" s="13" t="inlineStr">
        <is>
          <t>Command: Command Execution|File: File Access|File: File Creation|Process: Process Creation</t>
        </is>
      </c>
      <c r="F15" s="74" t="n">
        <v>4</v>
      </c>
      <c r="G15" s="72">
        <f t="array" ref="G15">SUM(IF(ISERROR(FIND(sources[data source],techniques[[#This Row],[data sources]])),0,1)*IF(sources[available]="yes",1,0))</f>
        <v/>
      </c>
      <c r="H15" s="73">
        <f t="array" ref="H15">IF(techniques[[#This Row],[technique]]=techniques[[#This Row],[id]],SUM(IF(techniques[[#This Row],[id]]=techniques[technique],1,0))-1,"")</f>
        <v/>
      </c>
      <c r="I15" s="74">
        <f t="array" ref="I15">IF(SUM(IF($C15=detections[],IF(detections[is active]="yes",1,0),0))&gt;0,SUM(IF($C15=detections[],IF(detections[is active]="yes",1,0),0)),"")</f>
        <v/>
      </c>
      <c r="J15" s="74">
        <f t="array" ref="J1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5" s="74">
        <f>IF(AND(ISNUMBER(techniques[[#This Row],[number of sub techniques]]),techniques[[#This Row],[number of sub techniques]]&gt;1),techniques[number of sub techniques],1)</f>
        <v/>
      </c>
      <c r="L15" s="72" t="n"/>
      <c r="M15" s="74">
        <f t="array" ref="M1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5" s="26">
        <f>IF(techniques[[#This Row],[detection rules]]&gt;=techniques[[#This Row],[expected detection rules]],1,techniques[[#This Row],[detection rules]]/techniques[[#This Row],[expected detection rules]])</f>
        <v/>
      </c>
      <c r="P1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5" s="29">
        <f>IF(ISERROR(SEARCH(techniques[[#This Row],[id]],techniques[[#This Row],[name]])),"ERROR","")</f>
        <v/>
      </c>
      <c r="S1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6" ht="12.75" customHeight="1">
      <c r="A16" s="74" t="inlineStr">
        <is>
          <t>T1006</t>
        </is>
      </c>
      <c r="B16" s="74" t="inlineStr">
        <is>
          <t>T1006</t>
        </is>
      </c>
      <c r="C16" s="13" t="inlineStr">
        <is>
          <t>Direct Volume Access (T1006)</t>
        </is>
      </c>
      <c r="D16" s="13" t="inlineStr">
        <is>
          <t>stealth</t>
        </is>
      </c>
      <c r="E16" s="13" t="inlineStr">
        <is>
          <t>Command: Command Execution|Process: Process Access|Process: Process Creation</t>
        </is>
      </c>
      <c r="F16" s="74" t="n">
        <v>3</v>
      </c>
      <c r="G16" s="72">
        <f t="array" ref="G16">SUM(IF(ISERROR(FIND(sources[data source],techniques[[#This Row],[data sources]])),0,1)*IF(sources[available]="yes",1,0))</f>
        <v/>
      </c>
      <c r="H16" s="73">
        <f t="array" ref="H16">IF(techniques[[#This Row],[technique]]=techniques[[#This Row],[id]],SUM(IF(techniques[[#This Row],[id]]=techniques[technique],1,0))-1,"")</f>
        <v/>
      </c>
      <c r="I16" s="74">
        <f t="array" ref="I16">IF(SUM(IF($C16=detections[],IF(detections[is active]="yes",1,0),0))&gt;0,SUM(IF($C16=detections[],IF(detections[is active]="yes",1,0),0)),"")</f>
        <v/>
      </c>
      <c r="J16" s="74">
        <f t="array" ref="J1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6" s="74">
        <f>IF(AND(ISNUMBER(techniques[[#This Row],[number of sub techniques]]),techniques[[#This Row],[number of sub techniques]]&gt;1),techniques[number of sub techniques],1)</f>
        <v/>
      </c>
      <c r="L16" s="72" t="n"/>
      <c r="M16" s="74">
        <f t="array" ref="M1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6" s="26">
        <f>IF(techniques[[#This Row],[detection rules]]&gt;=techniques[[#This Row],[expected detection rules]],1,techniques[[#This Row],[detection rules]]/techniques[[#This Row],[expected detection rules]])</f>
        <v/>
      </c>
      <c r="P1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6" s="29">
        <f>IF(ISERROR(SEARCH(techniques[[#This Row],[id]],techniques[[#This Row],[name]])),"ERROR","")</f>
        <v/>
      </c>
      <c r="S1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7" ht="12.75" customHeight="1">
      <c r="A17" s="74" t="inlineStr">
        <is>
          <t>T1007</t>
        </is>
      </c>
      <c r="B17" s="74" t="inlineStr">
        <is>
          <t>T1007</t>
        </is>
      </c>
      <c r="C17" s="13" t="inlineStr">
        <is>
          <t>System Service Discovery (T1007)</t>
        </is>
      </c>
      <c r="D17" s="13" t="inlineStr">
        <is>
          <t>discovery</t>
        </is>
      </c>
      <c r="E17" s="13" t="inlineStr">
        <is>
          <t>Command: Command Execution|Process: Process Creation</t>
        </is>
      </c>
      <c r="F17" s="74" t="n">
        <v>2</v>
      </c>
      <c r="G17" s="72">
        <f t="array" ref="G17">SUM(IF(ISERROR(FIND(sources[data source],techniques[[#This Row],[data sources]])),0,1)*IF(sources[available]="yes",1,0))</f>
        <v/>
      </c>
      <c r="H17" s="73">
        <f t="array" ref="H17">IF(techniques[[#This Row],[technique]]=techniques[[#This Row],[id]],SUM(IF(techniques[[#This Row],[id]]=techniques[technique],1,0))-1,"")</f>
        <v/>
      </c>
      <c r="I17" s="74">
        <f t="array" ref="I17">IF(SUM(IF($C17=detections[],IF(detections[is active]="yes",1,0),0))&gt;0,SUM(IF($C17=detections[],IF(detections[is active]="yes",1,0),0)),"")</f>
        <v/>
      </c>
      <c r="J17" s="74">
        <f t="array" ref="J1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7" s="74">
        <f>IF(AND(ISNUMBER(techniques[[#This Row],[number of sub techniques]]),techniques[[#This Row],[number of sub techniques]]&gt;1),techniques[number of sub techniques],1)</f>
        <v/>
      </c>
      <c r="L17" s="72" t="n"/>
      <c r="M17" s="74">
        <f t="array" ref="M1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7" s="26">
        <f>IF(techniques[[#This Row],[detection rules]]&gt;=techniques[[#This Row],[expected detection rules]],1,techniques[[#This Row],[detection rules]]/techniques[[#This Row],[expected detection rules]])</f>
        <v/>
      </c>
      <c r="P1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7" s="29">
        <f>IF(ISERROR(SEARCH(techniques[[#This Row],[id]],techniques[[#This Row],[name]])),"ERROR","")</f>
        <v/>
      </c>
      <c r="S1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8" ht="12.75" customHeight="1">
      <c r="A18" s="74" t="inlineStr">
        <is>
          <t>T1008</t>
        </is>
      </c>
      <c r="B18" s="74" t="inlineStr">
        <is>
          <t>T1008</t>
        </is>
      </c>
      <c r="C18" s="13" t="inlineStr">
        <is>
          <t>Fallback Channels (T1008)</t>
        </is>
      </c>
      <c r="D18" s="13" t="inlineStr">
        <is>
          <t>command-and-control</t>
        </is>
      </c>
      <c r="E18" s="13" t="inlineStr">
        <is>
          <t>Network Traffic: Network Connection Creation|Network Traffic: Network Traffic Flow</t>
        </is>
      </c>
      <c r="F18" s="74" t="n">
        <v>2</v>
      </c>
      <c r="G18" s="72">
        <f t="array" ref="G18">SUM(IF(ISERROR(FIND(sources[data source],techniques[[#This Row],[data sources]])),0,1)*IF(sources[available]="yes",1,0))</f>
        <v/>
      </c>
      <c r="H18" s="73">
        <f t="array" ref="H18">IF(techniques[[#This Row],[technique]]=techniques[[#This Row],[id]],SUM(IF(techniques[[#This Row],[id]]=techniques[technique],1,0))-1,"")</f>
        <v/>
      </c>
      <c r="I18" s="74">
        <f t="array" ref="I18">IF(SUM(IF($C18=detections[],IF(detections[is active]="yes",1,0),0))&gt;0,SUM(IF($C18=detections[],IF(detections[is active]="yes",1,0),0)),"")</f>
        <v/>
      </c>
      <c r="J18" s="74">
        <f t="array" ref="J1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8" s="74">
        <f>IF(AND(ISNUMBER(techniques[[#This Row],[number of sub techniques]]),techniques[[#This Row],[number of sub techniques]]&gt;1),techniques[number of sub techniques],1)</f>
        <v/>
      </c>
      <c r="L18" s="72" t="n"/>
      <c r="M18" s="74">
        <f t="array" ref="M1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8" s="26">
        <f>IF(techniques[[#This Row],[detection rules]]&gt;=techniques[[#This Row],[expected detection rules]],1,techniques[[#This Row],[detection rules]]/techniques[[#This Row],[expected detection rules]])</f>
        <v/>
      </c>
      <c r="P1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8" s="29">
        <f>IF(ISERROR(SEARCH(techniques[[#This Row],[id]],techniques[[#This Row],[name]])),"ERROR","")</f>
        <v/>
      </c>
      <c r="S1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9" ht="12.75" customHeight="1">
      <c r="A19" s="74" t="inlineStr">
        <is>
          <t>T1010</t>
        </is>
      </c>
      <c r="B19" s="74" t="inlineStr">
        <is>
          <t>T1010</t>
        </is>
      </c>
      <c r="C19" s="13" t="inlineStr">
        <is>
          <t>Application Window Discovery (T1010)</t>
        </is>
      </c>
      <c r="D19" s="13" t="inlineStr">
        <is>
          <t>discovery</t>
        </is>
      </c>
      <c r="E19" s="13" t="inlineStr">
        <is>
          <t>Command: Command Execution|Process: OS API Execution|Process: Process Access|Process: Process Creation</t>
        </is>
      </c>
      <c r="F19" s="74" t="n">
        <v>4</v>
      </c>
      <c r="G19" s="72">
        <f t="array" ref="G19">SUM(IF(ISERROR(FIND(sources[data source],techniques[[#This Row],[data sources]])),0,1)*IF(sources[available]="yes",1,0))</f>
        <v/>
      </c>
      <c r="H19" s="73">
        <f t="array" ref="H19">IF(techniques[[#This Row],[technique]]=techniques[[#This Row],[id]],SUM(IF(techniques[[#This Row],[id]]=techniques[technique],1,0))-1,"")</f>
        <v/>
      </c>
      <c r="I19" s="74">
        <f t="array" ref="I19">IF(SUM(IF($C19=detections[],IF(detections[is active]="yes",1,0),0))&gt;0,SUM(IF($C19=detections[],IF(detections[is active]="yes",1,0),0)),"")</f>
        <v/>
      </c>
      <c r="J19" s="74">
        <f t="array" ref="J1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9" s="74">
        <f>IF(AND(ISNUMBER(techniques[[#This Row],[number of sub techniques]]),techniques[[#This Row],[number of sub techniques]]&gt;1),techniques[number of sub techniques],1)</f>
        <v/>
      </c>
      <c r="L19" s="72" t="n"/>
      <c r="M19" s="74">
        <f t="array" ref="M1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9" s="26">
        <f>IF(techniques[[#This Row],[detection rules]]&gt;=techniques[[#This Row],[expected detection rules]],1,techniques[[#This Row],[detection rules]]/techniques[[#This Row],[expected detection rules]])</f>
        <v/>
      </c>
      <c r="P1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9" s="29">
        <f>IF(ISERROR(SEARCH(techniques[[#This Row],[id]],techniques[[#This Row],[name]])),"ERROR","")</f>
        <v/>
      </c>
      <c r="S1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0" ht="12.75" customHeight="1">
      <c r="A20" s="74" t="inlineStr">
        <is>
          <t>T1011</t>
        </is>
      </c>
      <c r="B20" s="74" t="inlineStr">
        <is>
          <t>T1011</t>
        </is>
      </c>
      <c r="C20" s="13" t="inlineStr">
        <is>
          <t>Exfiltration Over Other Network Medium (T1011)</t>
        </is>
      </c>
      <c r="D20" s="13" t="inlineStr">
        <is>
          <t>exfiltration</t>
        </is>
      </c>
      <c r="E20" s="13" t="inlineStr">
        <is>
          <t>Command: Command Execution|File: File Creation|Network Traffic: Network Connection Creation|Network Traffic: Network Traffic Content|Network Traffic: Network Traffic Flow|Process: Process Creation|Sensor Health: Host Status</t>
        </is>
      </c>
      <c r="F20" s="74" t="n">
        <v>7</v>
      </c>
      <c r="G20" s="72">
        <f t="array" ref="G20">SUM(IF(ISERROR(FIND(sources[data source],techniques[[#This Row],[data sources]])),0,1)*IF(sources[available]="yes",1,0))</f>
        <v/>
      </c>
      <c r="H20" s="73">
        <f t="array" ref="H20">IF(techniques[[#This Row],[technique]]=techniques[[#This Row],[id]],SUM(IF(techniques[[#This Row],[id]]=techniques[technique],1,0))-1,"")</f>
        <v/>
      </c>
      <c r="I20" s="74">
        <f t="array" ref="I20">IF(SUM(IF($C20=detections[],IF(detections[is active]="yes",1,0),0))&gt;0,SUM(IF($C20=detections[],IF(detections[is active]="yes",1,0),0)),"")</f>
        <v/>
      </c>
      <c r="J20" s="74">
        <f t="array" ref="J2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0" s="74">
        <f>IF(AND(ISNUMBER(techniques[[#This Row],[number of sub techniques]]),techniques[[#This Row],[number of sub techniques]]&gt;1),techniques[number of sub techniques],1)</f>
        <v/>
      </c>
      <c r="L20" s="72" t="n"/>
      <c r="M20" s="74">
        <f t="array" ref="M2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0" s="26">
        <f>IF(techniques[[#This Row],[detection rules]]&gt;=techniques[[#This Row],[expected detection rules]],1,techniques[[#This Row],[detection rules]]/techniques[[#This Row],[expected detection rules]])</f>
        <v/>
      </c>
      <c r="P2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0" s="29">
        <f>IF(ISERROR(SEARCH(techniques[[#This Row],[id]],techniques[[#This Row],[name]])),"ERROR","")</f>
        <v/>
      </c>
      <c r="S2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1" ht="12.75" customHeight="1">
      <c r="A21" s="74" t="inlineStr">
        <is>
          <t>T1011</t>
        </is>
      </c>
      <c r="B21" s="74" t="inlineStr">
        <is>
          <t>T1011.001</t>
        </is>
      </c>
      <c r="C21" s="13" t="inlineStr">
        <is>
          <t>Exfiltration Over Bluetooth (T1011.001)</t>
        </is>
      </c>
      <c r="D21" s="13" t="inlineStr">
        <is>
          <t>exfiltration</t>
        </is>
      </c>
      <c r="E21" s="13" t="inlineStr">
        <is>
          <t>Command: Command Execution|File: File Access|File: File Creation|Network Traffic: Network Connection Creation|Process: Process Creation</t>
        </is>
      </c>
      <c r="F21" s="74" t="n">
        <v>5</v>
      </c>
      <c r="G21" s="72">
        <f t="array" ref="G21">SUM(IF(ISERROR(FIND(sources[data source],techniques[[#This Row],[data sources]])),0,1)*IF(sources[available]="yes",1,0))</f>
        <v/>
      </c>
      <c r="H21" s="73">
        <f t="array" ref="H21">IF(techniques[[#This Row],[technique]]=techniques[[#This Row],[id]],SUM(IF(techniques[[#This Row],[id]]=techniques[technique],1,0))-1,"")</f>
        <v/>
      </c>
      <c r="I21" s="74">
        <f t="array" ref="I21">IF(SUM(IF($C21=detections[],IF(detections[is active]="yes",1,0),0))&gt;0,SUM(IF($C21=detections[],IF(detections[is active]="yes",1,0),0)),"")</f>
        <v/>
      </c>
      <c r="J21" s="74">
        <f t="array" ref="J2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1" s="74">
        <f>IF(AND(ISNUMBER(techniques[[#This Row],[number of sub techniques]]),techniques[[#This Row],[number of sub techniques]]&gt;1),techniques[number of sub techniques],1)</f>
        <v/>
      </c>
      <c r="L21" s="72" t="n"/>
      <c r="M21" s="74">
        <f t="array" ref="M2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1" s="26">
        <f>IF(techniques[[#This Row],[detection rules]]&gt;=techniques[[#This Row],[expected detection rules]],1,techniques[[#This Row],[detection rules]]/techniques[[#This Row],[expected detection rules]])</f>
        <v/>
      </c>
      <c r="P2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1" s="29">
        <f>IF(ISERROR(SEARCH(techniques[[#This Row],[id]],techniques[[#This Row],[name]])),"ERROR","")</f>
        <v/>
      </c>
      <c r="S2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2" ht="12.75" customHeight="1">
      <c r="A22" s="74" t="inlineStr">
        <is>
          <t>T1012</t>
        </is>
      </c>
      <c r="B22" s="74" t="inlineStr">
        <is>
          <t>T1012</t>
        </is>
      </c>
      <c r="C22" s="13" t="inlineStr">
        <is>
          <t>Query Registry (T1012)</t>
        </is>
      </c>
      <c r="D22" s="13" t="inlineStr">
        <is>
          <t>discovery</t>
        </is>
      </c>
      <c r="E22" s="13" t="inlineStr">
        <is>
          <t>Command: Command Execution|Process: Process Creation|Windows Registry: Windows Registry Key Modification</t>
        </is>
      </c>
      <c r="F22" s="74" t="n">
        <v>3</v>
      </c>
      <c r="G22" s="72">
        <f t="array" ref="G22">SUM(IF(ISERROR(FIND(sources[data source],techniques[[#This Row],[data sources]])),0,1)*IF(sources[available]="yes",1,0))</f>
        <v/>
      </c>
      <c r="H22" s="73">
        <f t="array" ref="H22">IF(techniques[[#This Row],[technique]]=techniques[[#This Row],[id]],SUM(IF(techniques[[#This Row],[id]]=techniques[technique],1,0))-1,"")</f>
        <v/>
      </c>
      <c r="I22" s="74">
        <f t="array" ref="I22">IF(SUM(IF($C22=detections[],IF(detections[is active]="yes",1,0),0))&gt;0,SUM(IF($C22=detections[],IF(detections[is active]="yes",1,0),0)),"")</f>
        <v/>
      </c>
      <c r="J22" s="74">
        <f t="array" ref="J2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2" s="74">
        <f>IF(AND(ISNUMBER(techniques[[#This Row],[number of sub techniques]]),techniques[[#This Row],[number of sub techniques]]&gt;1),techniques[number of sub techniques],1)</f>
        <v/>
      </c>
      <c r="L22" s="72" t="n"/>
      <c r="M22" s="74">
        <f t="array" ref="M2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2" s="26">
        <f>IF(techniques[[#This Row],[detection rules]]&gt;=techniques[[#This Row],[expected detection rules]],1,techniques[[#This Row],[detection rules]]/techniques[[#This Row],[expected detection rules]])</f>
        <v/>
      </c>
      <c r="P2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2" s="29">
        <f>IF(ISERROR(SEARCH(techniques[[#This Row],[id]],techniques[[#This Row],[name]])),"ERROR","")</f>
        <v/>
      </c>
      <c r="S2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3" ht="12.75" customHeight="1">
      <c r="A23" s="74" t="inlineStr">
        <is>
          <t>T1014</t>
        </is>
      </c>
      <c r="B23" s="74" t="inlineStr">
        <is>
          <t>T1014</t>
        </is>
      </c>
      <c r="C23" s="13" t="inlineStr">
        <is>
          <t>Rootkit (T1014)</t>
        </is>
      </c>
      <c r="D23" s="13" t="inlineStr">
        <is>
          <t>stealth</t>
        </is>
      </c>
      <c r="E23" s="13" t="inlineStr">
        <is>
          <t>Driver: Driver Load|File: File Creation|File: File Modification|Module: Module Load|Process: Process Creation|Service: Service Creation</t>
        </is>
      </c>
      <c r="F23" s="74" t="n">
        <v>6</v>
      </c>
      <c r="G23" s="72">
        <f t="array" ref="G23">SUM(IF(ISERROR(FIND(sources[data source],techniques[[#This Row],[data sources]])),0,1)*IF(sources[available]="yes",1,0))</f>
        <v/>
      </c>
      <c r="H23" s="73">
        <f t="array" ref="H23">IF(techniques[[#This Row],[technique]]=techniques[[#This Row],[id]],SUM(IF(techniques[[#This Row],[id]]=techniques[technique],1,0))-1,"")</f>
        <v/>
      </c>
      <c r="I23" s="74">
        <f t="array" ref="I23">IF(SUM(IF($C23=detections[],IF(detections[is active]="yes",1,0),0))&gt;0,SUM(IF($C23=detections[],IF(detections[is active]="yes",1,0),0)),"")</f>
        <v/>
      </c>
      <c r="J23" s="74">
        <f t="array" ref="J2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3" s="74">
        <f>IF(AND(ISNUMBER(techniques[[#This Row],[number of sub techniques]]),techniques[[#This Row],[number of sub techniques]]&gt;1),techniques[number of sub techniques],1)</f>
        <v/>
      </c>
      <c r="L23" s="72" t="n"/>
      <c r="M23" s="74">
        <f t="array" ref="M2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3" s="26">
        <f>IF(techniques[[#This Row],[detection rules]]&gt;=techniques[[#This Row],[expected detection rules]],1,techniques[[#This Row],[detection rules]]/techniques[[#This Row],[expected detection rules]])</f>
        <v/>
      </c>
      <c r="P2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3" s="29">
        <f>IF(ISERROR(SEARCH(techniques[[#This Row],[id]],techniques[[#This Row],[name]])),"ERROR","")</f>
        <v/>
      </c>
      <c r="S2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4" ht="12.75" customHeight="1">
      <c r="A24" s="74" t="inlineStr">
        <is>
          <t>T1016</t>
        </is>
      </c>
      <c r="B24" s="74" t="inlineStr">
        <is>
          <t>T1016</t>
        </is>
      </c>
      <c r="C24" s="13" t="inlineStr">
        <is>
          <t>System Network Configuration Discovery (T1016)</t>
        </is>
      </c>
      <c r="D24" s="13" t="inlineStr">
        <is>
          <t>discovery</t>
        </is>
      </c>
      <c r="E24" s="13" t="inlineStr">
        <is>
          <t>Command: Command Execution|Process: Process Creation</t>
        </is>
      </c>
      <c r="F24" s="74" t="n">
        <v>2</v>
      </c>
      <c r="G24" s="72">
        <f t="array" ref="G24">SUM(IF(ISERROR(FIND(sources[data source],techniques[[#This Row],[data sources]])),0,1)*IF(sources[available]="yes",1,0))</f>
        <v/>
      </c>
      <c r="H24" s="73">
        <f t="array" ref="H24">IF(techniques[[#This Row],[technique]]=techniques[[#This Row],[id]],SUM(IF(techniques[[#This Row],[id]]=techniques[technique],1,0))-1,"")</f>
        <v/>
      </c>
      <c r="I24" s="74">
        <f t="array" ref="I24">IF(SUM(IF($C24=detections[],IF(detections[is active]="yes",1,0),0))&gt;0,SUM(IF($C24=detections[],IF(detections[is active]="yes",1,0),0)),"")</f>
        <v/>
      </c>
      <c r="J24" s="74">
        <f t="array" ref="J2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4" s="74">
        <f>IF(AND(ISNUMBER(techniques[[#This Row],[number of sub techniques]]),techniques[[#This Row],[number of sub techniques]]&gt;1),techniques[number of sub techniques],1)</f>
        <v/>
      </c>
      <c r="L24" s="72" t="n"/>
      <c r="M24" s="74">
        <f t="array" ref="M2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4" s="26">
        <f>IF(techniques[[#This Row],[detection rules]]&gt;=techniques[[#This Row],[expected detection rules]],1,techniques[[#This Row],[detection rules]]/techniques[[#This Row],[expected detection rules]])</f>
        <v/>
      </c>
      <c r="P2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4" s="29">
        <f>IF(ISERROR(SEARCH(techniques[[#This Row],[id]],techniques[[#This Row],[name]])),"ERROR","")</f>
        <v/>
      </c>
      <c r="S2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5" ht="12.75" customHeight="1">
      <c r="A25" s="74" t="inlineStr">
        <is>
          <t>T1016</t>
        </is>
      </c>
      <c r="B25" s="74" t="inlineStr">
        <is>
          <t>T1016.001</t>
        </is>
      </c>
      <c r="C25" s="13" t="inlineStr">
        <is>
          <t>Internet Connection Discovery (T1016.001)</t>
        </is>
      </c>
      <c r="D25" s="13" t="inlineStr">
        <is>
          <t>discovery</t>
        </is>
      </c>
      <c r="E25" s="13" t="inlineStr">
        <is>
          <t>Command: Command Execution|Network Traffic: Network Connection Creation|Process: Process Creation|Script: Script Execution</t>
        </is>
      </c>
      <c r="F25" s="74" t="n">
        <v>4</v>
      </c>
      <c r="G25" s="72">
        <f t="array" ref="G25">SUM(IF(ISERROR(FIND(sources[data source],techniques[[#This Row],[data sources]])),0,1)*IF(sources[available]="yes",1,0))</f>
        <v/>
      </c>
      <c r="H25" s="73">
        <f t="array" ref="H25">IF(techniques[[#This Row],[technique]]=techniques[[#This Row],[id]],SUM(IF(techniques[[#This Row],[id]]=techniques[technique],1,0))-1,"")</f>
        <v/>
      </c>
      <c r="I25" s="74">
        <f t="array" ref="I25">IF(SUM(IF($C25=detections[],IF(detections[is active]="yes",1,0),0))&gt;0,SUM(IF($C25=detections[],IF(detections[is active]="yes",1,0),0)),"")</f>
        <v/>
      </c>
      <c r="J25" s="74">
        <f t="array" ref="J2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5" s="74">
        <f>IF(AND(ISNUMBER(techniques[[#This Row],[number of sub techniques]]),techniques[[#This Row],[number of sub techniques]]&gt;1),techniques[number of sub techniques],1)</f>
        <v/>
      </c>
      <c r="L25" s="72" t="n"/>
      <c r="M25" s="74">
        <f t="array" ref="M2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5" s="26">
        <f>IF(techniques[[#This Row],[detection rules]]&gt;=techniques[[#This Row],[expected detection rules]],1,techniques[[#This Row],[detection rules]]/techniques[[#This Row],[expected detection rules]])</f>
        <v/>
      </c>
      <c r="P2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5" s="29">
        <f>IF(ISERROR(SEARCH(techniques[[#This Row],[id]],techniques[[#This Row],[name]])),"ERROR","")</f>
        <v/>
      </c>
      <c r="S2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6" ht="12.75" customHeight="1">
      <c r="A26" s="74" t="inlineStr">
        <is>
          <t>T1016</t>
        </is>
      </c>
      <c r="B26" s="74" t="inlineStr">
        <is>
          <t>T1016.002</t>
        </is>
      </c>
      <c r="C26" s="13" t="inlineStr">
        <is>
          <t>Wi-Fi Discovery (T1016.002)</t>
        </is>
      </c>
      <c r="D26" s="13" t="inlineStr">
        <is>
          <t>discovery</t>
        </is>
      </c>
      <c r="E26" s="13" t="inlineStr">
        <is>
          <t>Command: Command Execution|File: File Access|Process: Process Creation</t>
        </is>
      </c>
      <c r="F26" s="74" t="n">
        <v>3</v>
      </c>
      <c r="G26" s="72">
        <f t="array" ref="G26">SUM(IF(ISERROR(FIND(sources[data source],techniques[[#This Row],[data sources]])),0,1)*IF(sources[available]="yes",1,0))</f>
        <v/>
      </c>
      <c r="H26" s="73">
        <f t="array" ref="H26">IF(techniques[[#This Row],[technique]]=techniques[[#This Row],[id]],SUM(IF(techniques[[#This Row],[id]]=techniques[technique],1,0))-1,"")</f>
        <v/>
      </c>
      <c r="I26" s="74">
        <f t="array" ref="I26">IF(SUM(IF($C26=detections[],IF(detections[is active]="yes",1,0),0))&gt;0,SUM(IF($C26=detections[],IF(detections[is active]="yes",1,0),0)),"")</f>
        <v/>
      </c>
      <c r="J26" s="74">
        <f t="array" ref="J2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6" s="74">
        <f>IF(AND(ISNUMBER(techniques[[#This Row],[number of sub techniques]]),techniques[[#This Row],[number of sub techniques]]&gt;1),techniques[number of sub techniques],1)</f>
        <v/>
      </c>
      <c r="L26" s="72" t="n"/>
      <c r="M26" s="74">
        <f t="array" ref="M2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6" s="26">
        <f>IF(techniques[[#This Row],[detection rules]]&gt;=techniques[[#This Row],[expected detection rules]],1,techniques[[#This Row],[detection rules]]/techniques[[#This Row],[expected detection rules]])</f>
        <v/>
      </c>
      <c r="P2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6" s="29">
        <f>IF(ISERROR(SEARCH(techniques[[#This Row],[id]],techniques[[#This Row],[name]])),"ERROR","")</f>
        <v/>
      </c>
      <c r="S2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7" ht="12.75" customHeight="1">
      <c r="A27" s="74" t="inlineStr">
        <is>
          <t>T1018</t>
        </is>
      </c>
      <c r="B27" s="74" t="inlineStr">
        <is>
          <t>T1018</t>
        </is>
      </c>
      <c r="C27" s="13" t="inlineStr">
        <is>
          <t>Remote System Discovery (T1018)</t>
        </is>
      </c>
      <c r="D27" s="13" t="inlineStr">
        <is>
          <t>discovery</t>
        </is>
      </c>
      <c r="E27" s="13" t="inlineStr">
        <is>
          <t>Command: Command Execution|File: File Access|Network Traffic: Network Connection Creation|Process: Process Creation</t>
        </is>
      </c>
      <c r="F27" s="74" t="n">
        <v>4</v>
      </c>
      <c r="G27" s="72">
        <f t="array" ref="G27">SUM(IF(ISERROR(FIND(sources[data source],techniques[[#This Row],[data sources]])),0,1)*IF(sources[available]="yes",1,0))</f>
        <v/>
      </c>
      <c r="H27" s="73">
        <f t="array" ref="H27">IF(techniques[[#This Row],[technique]]=techniques[[#This Row],[id]],SUM(IF(techniques[[#This Row],[id]]=techniques[technique],1,0))-1,"")</f>
        <v/>
      </c>
      <c r="I27" s="74">
        <f t="array" ref="I27">IF(SUM(IF($C27=detections[],IF(detections[is active]="yes",1,0),0))&gt;0,SUM(IF($C27=detections[],IF(detections[is active]="yes",1,0),0)),"")</f>
        <v/>
      </c>
      <c r="J27" s="74">
        <f t="array" ref="J2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7" s="74">
        <f>IF(AND(ISNUMBER(techniques[[#This Row],[number of sub techniques]]),techniques[[#This Row],[number of sub techniques]]&gt;1),techniques[number of sub techniques],1)</f>
        <v/>
      </c>
      <c r="L27" s="72" t="n"/>
      <c r="M27" s="74">
        <f t="array" ref="M2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7" s="26">
        <f>IF(techniques[[#This Row],[detection rules]]&gt;=techniques[[#This Row],[expected detection rules]],1,techniques[[#This Row],[detection rules]]/techniques[[#This Row],[expected detection rules]])</f>
        <v/>
      </c>
      <c r="P2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7" s="29">
        <f>IF(ISERROR(SEARCH(techniques[[#This Row],[id]],techniques[[#This Row],[name]])),"ERROR","")</f>
        <v/>
      </c>
      <c r="S2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8" ht="12.75" customHeight="1">
      <c r="A28" s="74" t="inlineStr">
        <is>
          <t>T1020</t>
        </is>
      </c>
      <c r="B28" s="74" t="inlineStr">
        <is>
          <t>T1020</t>
        </is>
      </c>
      <c r="C28" s="13" t="inlineStr">
        <is>
          <t>Automated Exfiltration (T1020)</t>
        </is>
      </c>
      <c r="D28" s="13" t="inlineStr">
        <is>
          <t>exfiltration</t>
        </is>
      </c>
      <c r="E28" s="13" t="inlineStr">
        <is>
          <t>Network Traffic: Network Connection Creation|Process: Process Creation|Scheduled Job: Scheduled Job Creation</t>
        </is>
      </c>
      <c r="F28" s="74" t="n">
        <v>3</v>
      </c>
      <c r="G28" s="72">
        <f t="array" ref="G28">SUM(IF(ISERROR(FIND(sources[data source],techniques[[#This Row],[data sources]])),0,1)*IF(sources[available]="yes",1,0))</f>
        <v/>
      </c>
      <c r="H28" s="73">
        <f t="array" ref="H28">IF(techniques[[#This Row],[technique]]=techniques[[#This Row],[id]],SUM(IF(techniques[[#This Row],[id]]=techniques[technique],1,0))-1,"")</f>
        <v/>
      </c>
      <c r="I28" s="74">
        <f t="array" ref="I28">IF(SUM(IF($C28=detections[],IF(detections[is active]="yes",1,0),0))&gt;0,SUM(IF($C28=detections[],IF(detections[is active]="yes",1,0),0)),"")</f>
        <v/>
      </c>
      <c r="J28" s="74">
        <f t="array" ref="J2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8" s="74">
        <f>IF(AND(ISNUMBER(techniques[[#This Row],[number of sub techniques]]),techniques[[#This Row],[number of sub techniques]]&gt;1),techniques[number of sub techniques],1)</f>
        <v/>
      </c>
      <c r="L28" s="72" t="n"/>
      <c r="M28" s="74">
        <f t="array" ref="M2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8" s="26">
        <f>IF(techniques[[#This Row],[detection rules]]&gt;=techniques[[#This Row],[expected detection rules]],1,techniques[[#This Row],[detection rules]]/techniques[[#This Row],[expected detection rules]])</f>
        <v/>
      </c>
      <c r="P2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8" s="29">
        <f>IF(ISERROR(SEARCH(techniques[[#This Row],[id]],techniques[[#This Row],[name]])),"ERROR","")</f>
        <v/>
      </c>
      <c r="S2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9" ht="12.75" customHeight="1">
      <c r="A29" s="74" t="inlineStr">
        <is>
          <t>T1020</t>
        </is>
      </c>
      <c r="B29" s="74" t="inlineStr">
        <is>
          <t>T1020.001</t>
        </is>
      </c>
      <c r="C29" s="13" t="inlineStr">
        <is>
          <t>Traffic Duplication (T1020.001)</t>
        </is>
      </c>
      <c r="D29" s="13" t="inlineStr">
        <is>
          <t>exfiltration</t>
        </is>
      </c>
      <c r="E29" s="13" t="inlineStr">
        <is>
          <t>Network Traffic: Network Connection Creation|Network Traffic: Network Traffic Flow</t>
        </is>
      </c>
      <c r="F29" s="74" t="n">
        <v>2</v>
      </c>
      <c r="G29" s="72">
        <f t="array" ref="G29">SUM(IF(ISERROR(FIND(sources[data source],techniques[[#This Row],[data sources]])),0,1)*IF(sources[available]="yes",1,0))</f>
        <v/>
      </c>
      <c r="H29" s="73">
        <f t="array" ref="H29">IF(techniques[[#This Row],[technique]]=techniques[[#This Row],[id]],SUM(IF(techniques[[#This Row],[id]]=techniques[technique],1,0))-1,"")</f>
        <v/>
      </c>
      <c r="I29" s="74">
        <f t="array" ref="I29">IF(SUM(IF($C29=detections[],IF(detections[is active]="yes",1,0),0))&gt;0,SUM(IF($C29=detections[],IF(detections[is active]="yes",1,0),0)),"")</f>
        <v/>
      </c>
      <c r="J29" s="74">
        <f t="array" ref="J2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9" s="74">
        <f>IF(AND(ISNUMBER(techniques[[#This Row],[number of sub techniques]]),techniques[[#This Row],[number of sub techniques]]&gt;1),techniques[number of sub techniques],1)</f>
        <v/>
      </c>
      <c r="L29" s="72" t="n"/>
      <c r="M29" s="74">
        <f t="array" ref="M2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9" s="26">
        <f>IF(techniques[[#This Row],[detection rules]]&gt;=techniques[[#This Row],[expected detection rules]],1,techniques[[#This Row],[detection rules]]/techniques[[#This Row],[expected detection rules]])</f>
        <v/>
      </c>
      <c r="P2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9" s="29">
        <f>IF(ISERROR(SEARCH(techniques[[#This Row],[id]],techniques[[#This Row],[name]])),"ERROR","")</f>
        <v/>
      </c>
      <c r="S2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0" ht="12.75" customHeight="1">
      <c r="A30" s="74" t="inlineStr">
        <is>
          <t>T1021</t>
        </is>
      </c>
      <c r="B30" s="74" t="inlineStr">
        <is>
          <t>T1021</t>
        </is>
      </c>
      <c r="C30" s="13" t="inlineStr">
        <is>
          <t>Remote Services (T1021)</t>
        </is>
      </c>
      <c r="D30" s="13" t="inlineStr">
        <is>
          <t>lateral-movement</t>
        </is>
      </c>
      <c r="E30" s="13" t="inlineStr">
        <is>
          <t>Command: Command Execution|Logon Session: Logon Session Creation|Network Traffic: Network Connection Creation|Process: Process Creation</t>
        </is>
      </c>
      <c r="F30" s="74" t="n">
        <v>4</v>
      </c>
      <c r="G30" s="72">
        <f t="array" ref="G30">SUM(IF(ISERROR(FIND(sources[data source],techniques[[#This Row],[data sources]])),0,1)*IF(sources[available]="yes",1,0))</f>
        <v/>
      </c>
      <c r="H30" s="73">
        <f t="array" ref="H30">IF(techniques[[#This Row],[technique]]=techniques[[#This Row],[id]],SUM(IF(techniques[[#This Row],[id]]=techniques[technique],1,0))-1,"")</f>
        <v/>
      </c>
      <c r="I30" s="74">
        <f t="array" ref="I30">IF(SUM(IF($C30=detections[],IF(detections[is active]="yes",1,0),0))&gt;0,SUM(IF($C30=detections[],IF(detections[is active]="yes",1,0),0)),"")</f>
        <v/>
      </c>
      <c r="J30" s="74">
        <f t="array" ref="J3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0" s="74">
        <f>IF(AND(ISNUMBER(techniques[[#This Row],[number of sub techniques]]),techniques[[#This Row],[number of sub techniques]]&gt;1),techniques[number of sub techniques],1)</f>
        <v/>
      </c>
      <c r="L30" s="72" t="n"/>
      <c r="M30" s="74">
        <f t="array" ref="M3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0" s="26">
        <f>IF(techniques[[#This Row],[detection rules]]&gt;=techniques[[#This Row],[expected detection rules]],1,techniques[[#This Row],[detection rules]]/techniques[[#This Row],[expected detection rules]])</f>
        <v/>
      </c>
      <c r="P3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0" s="29">
        <f>IF(ISERROR(SEARCH(techniques[[#This Row],[id]],techniques[[#This Row],[name]])),"ERROR","")</f>
        <v/>
      </c>
      <c r="S3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1" ht="12.75" customHeight="1">
      <c r="A31" s="74" t="inlineStr">
        <is>
          <t>T1021</t>
        </is>
      </c>
      <c r="B31" s="74" t="inlineStr">
        <is>
          <t>T1021.001</t>
        </is>
      </c>
      <c r="C31" s="13" t="inlineStr">
        <is>
          <t>Remote Desktop Protocol (T1021.001)</t>
        </is>
      </c>
      <c r="D31" s="13" t="inlineStr">
        <is>
          <t>lateral-movement</t>
        </is>
      </c>
      <c r="E31" s="13" t="inlineStr">
        <is>
          <t>Logon Session: Logon Session Creation|Logon Session: Logon Session Metadata|Network Traffic: Network Connection Creation|Process: Process Creation</t>
        </is>
      </c>
      <c r="F31" s="74" t="n">
        <v>4</v>
      </c>
      <c r="G31" s="72">
        <f t="array" ref="G31">SUM(IF(ISERROR(FIND(sources[data source],techniques[[#This Row],[data sources]])),0,1)*IF(sources[available]="yes",1,0))</f>
        <v/>
      </c>
      <c r="H31" s="73">
        <f t="array" ref="H31">IF(techniques[[#This Row],[technique]]=techniques[[#This Row],[id]],SUM(IF(techniques[[#This Row],[id]]=techniques[technique],1,0))-1,"")</f>
        <v/>
      </c>
      <c r="I31" s="74">
        <f t="array" ref="I31">IF(SUM(IF($C31=detections[],IF(detections[is active]="yes",1,0),0))&gt;0,SUM(IF($C31=detections[],IF(detections[is active]="yes",1,0),0)),"")</f>
        <v/>
      </c>
      <c r="J31" s="74">
        <f t="array" ref="J3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1" s="74">
        <f>IF(AND(ISNUMBER(techniques[[#This Row],[number of sub techniques]]),techniques[[#This Row],[number of sub techniques]]&gt;1),techniques[number of sub techniques],1)</f>
        <v/>
      </c>
      <c r="L31" s="72" t="n"/>
      <c r="M31" s="74">
        <f t="array" ref="M3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1" s="26">
        <f>IF(techniques[[#This Row],[detection rules]]&gt;=techniques[[#This Row],[expected detection rules]],1,techniques[[#This Row],[detection rules]]/techniques[[#This Row],[expected detection rules]])</f>
        <v/>
      </c>
      <c r="P3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1" s="29">
        <f>IF(ISERROR(SEARCH(techniques[[#This Row],[id]],techniques[[#This Row],[name]])),"ERROR","")</f>
        <v/>
      </c>
      <c r="S3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2" ht="12.75" customHeight="1">
      <c r="A32" s="74" t="inlineStr">
        <is>
          <t>T1021</t>
        </is>
      </c>
      <c r="B32" s="74" t="inlineStr">
        <is>
          <t>T1021.002</t>
        </is>
      </c>
      <c r="C32" s="13" t="inlineStr">
        <is>
          <t>SMB/Windows Admin Shares (T1021.002)</t>
        </is>
      </c>
      <c r="D32" s="13" t="inlineStr">
        <is>
          <t>lateral-movement</t>
        </is>
      </c>
      <c r="E32" s="13" t="inlineStr">
        <is>
          <t>Logon Session: Logon Session Creation|Network Traffic: Network Connection Creation|Process: Process Creation</t>
        </is>
      </c>
      <c r="F32" s="74" t="n">
        <v>3</v>
      </c>
      <c r="G32" s="72">
        <f t="array" ref="G32">SUM(IF(ISERROR(FIND(sources[data source],techniques[[#This Row],[data sources]])),0,1)*IF(sources[available]="yes",1,0))</f>
        <v/>
      </c>
      <c r="H32" s="73">
        <f t="array" ref="H32">IF(techniques[[#This Row],[technique]]=techniques[[#This Row],[id]],SUM(IF(techniques[[#This Row],[id]]=techniques[technique],1,0))-1,"")</f>
        <v/>
      </c>
      <c r="I32" s="74">
        <f t="array" ref="I32">IF(SUM(IF($C32=detections[],IF(detections[is active]="yes",1,0),0))&gt;0,SUM(IF($C32=detections[],IF(detections[is active]="yes",1,0),0)),"")</f>
        <v/>
      </c>
      <c r="J32" s="74">
        <f t="array" ref="J3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2" s="74">
        <f>IF(AND(ISNUMBER(techniques[[#This Row],[number of sub techniques]]),techniques[[#This Row],[number of sub techniques]]&gt;1),techniques[number of sub techniques],1)</f>
        <v/>
      </c>
      <c r="L32" s="72" t="n"/>
      <c r="M32" s="74">
        <f t="array" ref="M3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2" s="26">
        <f>IF(techniques[[#This Row],[detection rules]]&gt;=techniques[[#This Row],[expected detection rules]],1,techniques[[#This Row],[detection rules]]/techniques[[#This Row],[expected detection rules]])</f>
        <v/>
      </c>
      <c r="P3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2" s="29">
        <f>IF(ISERROR(SEARCH(techniques[[#This Row],[id]],techniques[[#This Row],[name]])),"ERROR","")</f>
        <v/>
      </c>
      <c r="S3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3" ht="12.75" customHeight="1">
      <c r="A33" s="74" t="inlineStr">
        <is>
          <t>T1021</t>
        </is>
      </c>
      <c r="B33" s="74" t="inlineStr">
        <is>
          <t>T1021.003</t>
        </is>
      </c>
      <c r="C33" s="13" t="inlineStr">
        <is>
          <t>Distributed Component Object Model (T1021.003)</t>
        </is>
      </c>
      <c r="D33" s="13" t="inlineStr">
        <is>
          <t>lateral-movement</t>
        </is>
      </c>
      <c r="E33" s="13" t="inlineStr">
        <is>
          <t>Logon Session: Logon Session Creation|Module: Module Load|Network Traffic: Network Connection Creation|Process: Process Creation</t>
        </is>
      </c>
      <c r="F33" s="74" t="n">
        <v>4</v>
      </c>
      <c r="G33" s="72">
        <f t="array" ref="G33">SUM(IF(ISERROR(FIND(sources[data source],techniques[[#This Row],[data sources]])),0,1)*IF(sources[available]="yes",1,0))</f>
        <v/>
      </c>
      <c r="H33" s="73">
        <f t="array" ref="H33">IF(techniques[[#This Row],[technique]]=techniques[[#This Row],[id]],SUM(IF(techniques[[#This Row],[id]]=techniques[technique],1,0))-1,"")</f>
        <v/>
      </c>
      <c r="I33" s="74">
        <f t="array" ref="I33">IF(SUM(IF($C33=detections[],IF(detections[is active]="yes",1,0),0))&gt;0,SUM(IF($C33=detections[],IF(detections[is active]="yes",1,0),0)),"")</f>
        <v/>
      </c>
      <c r="J33" s="74">
        <f t="array" ref="J3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3" s="74">
        <f>IF(AND(ISNUMBER(techniques[[#This Row],[number of sub techniques]]),techniques[[#This Row],[number of sub techniques]]&gt;1),techniques[number of sub techniques],1)</f>
        <v/>
      </c>
      <c r="L33" s="72" t="n"/>
      <c r="M33" s="74">
        <f t="array" ref="M3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3" s="26">
        <f>IF(techniques[[#This Row],[detection rules]]&gt;=techniques[[#This Row],[expected detection rules]],1,techniques[[#This Row],[detection rules]]/techniques[[#This Row],[expected detection rules]])</f>
        <v/>
      </c>
      <c r="P3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3" s="29">
        <f>IF(ISERROR(SEARCH(techniques[[#This Row],[id]],techniques[[#This Row],[name]])),"ERROR","")</f>
        <v/>
      </c>
      <c r="S3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4" ht="12.75" customHeight="1">
      <c r="A34" s="74" t="inlineStr">
        <is>
          <t>T1021</t>
        </is>
      </c>
      <c r="B34" s="74" t="inlineStr">
        <is>
          <t>T1021.004</t>
        </is>
      </c>
      <c r="C34" s="13" t="inlineStr">
        <is>
          <t>SSH (T1021.004)</t>
        </is>
      </c>
      <c r="D34" s="13" t="inlineStr">
        <is>
          <t>lateral-movement</t>
        </is>
      </c>
      <c r="E34" s="13" t="inlineStr">
        <is>
          <t>Command: Command Execution|Logon Session: Logon Session Creation|Logon Session: Logon Session Metadata|Network Traffic: Network Traffic Content|Network Traffic: Network Traffic Flow|Process: Process Creation</t>
        </is>
      </c>
      <c r="F34" s="74" t="n">
        <v>6</v>
      </c>
      <c r="G34" s="72">
        <f t="array" ref="G34">SUM(IF(ISERROR(FIND(sources[data source],techniques[[#This Row],[data sources]])),0,1)*IF(sources[available]="yes",1,0))</f>
        <v/>
      </c>
      <c r="H34" s="73">
        <f t="array" ref="H34">IF(techniques[[#This Row],[technique]]=techniques[[#This Row],[id]],SUM(IF(techniques[[#This Row],[id]]=techniques[technique],1,0))-1,"")</f>
        <v/>
      </c>
      <c r="I34" s="74">
        <f t="array" ref="I34">IF(SUM(IF($C34=detections[],IF(detections[is active]="yes",1,0),0))&gt;0,SUM(IF($C34=detections[],IF(detections[is active]="yes",1,0),0)),"")</f>
        <v/>
      </c>
      <c r="J34" s="74">
        <f t="array" ref="J3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4" s="74">
        <f>IF(AND(ISNUMBER(techniques[[#This Row],[number of sub techniques]]),techniques[[#This Row],[number of sub techniques]]&gt;1),techniques[number of sub techniques],1)</f>
        <v/>
      </c>
      <c r="L34" s="72" t="n"/>
      <c r="M34" s="74">
        <f t="array" ref="M3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4" s="26">
        <f>IF(techniques[[#This Row],[detection rules]]&gt;=techniques[[#This Row],[expected detection rules]],1,techniques[[#This Row],[detection rules]]/techniques[[#This Row],[expected detection rules]])</f>
        <v/>
      </c>
      <c r="P3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4" s="29">
        <f>IF(ISERROR(SEARCH(techniques[[#This Row],[id]],techniques[[#This Row],[name]])),"ERROR","")</f>
        <v/>
      </c>
      <c r="S3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5" ht="12.75" customHeight="1">
      <c r="A35" s="74" t="inlineStr">
        <is>
          <t>T1021</t>
        </is>
      </c>
      <c r="B35" s="74" t="inlineStr">
        <is>
          <t>T1021.005</t>
        </is>
      </c>
      <c r="C35" s="13" t="inlineStr">
        <is>
          <t>VNC (T1021.005)</t>
        </is>
      </c>
      <c r="D35" s="13" t="inlineStr">
        <is>
          <t>lateral-movement</t>
        </is>
      </c>
      <c r="E35" s="13" t="inlineStr">
        <is>
          <t>Logon Session: Logon Session Creation|Logon Session: Logon Session Metadata|Network Traffic: Network Traffic Flow|Process: Process Creation</t>
        </is>
      </c>
      <c r="F35" s="74" t="n">
        <v>4</v>
      </c>
      <c r="G35" s="72">
        <f t="array" ref="G35">SUM(IF(ISERROR(FIND(sources[data source],techniques[[#This Row],[data sources]])),0,1)*IF(sources[available]="yes",1,0))</f>
        <v/>
      </c>
      <c r="H35" s="73">
        <f t="array" ref="H35">IF(techniques[[#This Row],[technique]]=techniques[[#This Row],[id]],SUM(IF(techniques[[#This Row],[id]]=techniques[technique],1,0))-1,"")</f>
        <v/>
      </c>
      <c r="I35" s="74">
        <f t="array" ref="I35">IF(SUM(IF($C35=detections[],IF(detections[is active]="yes",1,0),0))&gt;0,SUM(IF($C35=detections[],IF(detections[is active]="yes",1,0),0)),"")</f>
        <v/>
      </c>
      <c r="J35" s="74">
        <f t="array" ref="J3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5" s="74">
        <f>IF(AND(ISNUMBER(techniques[[#This Row],[number of sub techniques]]),techniques[[#This Row],[number of sub techniques]]&gt;1),techniques[number of sub techniques],1)</f>
        <v/>
      </c>
      <c r="L35" s="72" t="n"/>
      <c r="M35" s="74">
        <f t="array" ref="M3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5" s="26">
        <f>IF(techniques[[#This Row],[detection rules]]&gt;=techniques[[#This Row],[expected detection rules]],1,techniques[[#This Row],[detection rules]]/techniques[[#This Row],[expected detection rules]])</f>
        <v/>
      </c>
      <c r="P3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5" s="29">
        <f>IF(ISERROR(SEARCH(techniques[[#This Row],[id]],techniques[[#This Row],[name]])),"ERROR","")</f>
        <v/>
      </c>
      <c r="S3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6" ht="12.75" customHeight="1">
      <c r="A36" s="74" t="inlineStr">
        <is>
          <t>T1021</t>
        </is>
      </c>
      <c r="B36" s="74" t="inlineStr">
        <is>
          <t>T1021.006</t>
        </is>
      </c>
      <c r="C36" s="13" t="inlineStr">
        <is>
          <t>Windows Remote Management (T1021.006)</t>
        </is>
      </c>
      <c r="D36" s="13" t="inlineStr">
        <is>
          <t>lateral-movement</t>
        </is>
      </c>
      <c r="E36" s="13" t="inlineStr">
        <is>
          <t>Logon Session: Logon Session Creation|Network Traffic: Network Traffic Flow|Process: Process Creation|Service: Service Metadata</t>
        </is>
      </c>
      <c r="F36" s="74" t="n">
        <v>4</v>
      </c>
      <c r="G36" s="72">
        <f t="array" ref="G36">SUM(IF(ISERROR(FIND(sources[data source],techniques[[#This Row],[data sources]])),0,1)*IF(sources[available]="yes",1,0))</f>
        <v/>
      </c>
      <c r="H36" s="73">
        <f t="array" ref="H36">IF(techniques[[#This Row],[technique]]=techniques[[#This Row],[id]],SUM(IF(techniques[[#This Row],[id]]=techniques[technique],1,0))-1,"")</f>
        <v/>
      </c>
      <c r="I36" s="74">
        <f t="array" ref="I36">IF(SUM(IF($C36=detections[],IF(detections[is active]="yes",1,0),0))&gt;0,SUM(IF($C36=detections[],IF(detections[is active]="yes",1,0),0)),"")</f>
        <v/>
      </c>
      <c r="J36" s="74">
        <f t="array" ref="J3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6" s="74">
        <f>IF(AND(ISNUMBER(techniques[[#This Row],[number of sub techniques]]),techniques[[#This Row],[number of sub techniques]]&gt;1),techniques[number of sub techniques],1)</f>
        <v/>
      </c>
      <c r="L36" s="72" t="n"/>
      <c r="M36" s="74">
        <f t="array" ref="M3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6" s="26">
        <f>IF(techniques[[#This Row],[detection rules]]&gt;=techniques[[#This Row],[expected detection rules]],1,techniques[[#This Row],[detection rules]]/techniques[[#This Row],[expected detection rules]])</f>
        <v/>
      </c>
      <c r="P3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6" s="29">
        <f>IF(ISERROR(SEARCH(techniques[[#This Row],[id]],techniques[[#This Row],[name]])),"ERROR","")</f>
        <v/>
      </c>
      <c r="S3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7" ht="12.75" customHeight="1">
      <c r="A37" s="74" t="inlineStr">
        <is>
          <t>T1021</t>
        </is>
      </c>
      <c r="B37" s="74" t="inlineStr">
        <is>
          <t>T1021.007</t>
        </is>
      </c>
      <c r="C37" s="13" t="inlineStr">
        <is>
          <t>Cloud Services (T1021.007)</t>
        </is>
      </c>
      <c r="D37" s="13" t="inlineStr">
        <is>
          <t>lateral-movement</t>
        </is>
      </c>
      <c r="E37" s="13" t="inlineStr">
        <is>
          <t>Command: Command Execution|File: File Access|Logon Session: Logon Session Creation</t>
        </is>
      </c>
      <c r="F37" s="74" t="n">
        <v>3</v>
      </c>
      <c r="G37" s="72">
        <f t="array" ref="G37">SUM(IF(ISERROR(FIND(sources[data source],techniques[[#This Row],[data sources]])),0,1)*IF(sources[available]="yes",1,0))</f>
        <v/>
      </c>
      <c r="H37" s="73">
        <f t="array" ref="H37">IF(techniques[[#This Row],[technique]]=techniques[[#This Row],[id]],SUM(IF(techniques[[#This Row],[id]]=techniques[technique],1,0))-1,"")</f>
        <v/>
      </c>
      <c r="I37" s="74">
        <f t="array" ref="I37">IF(SUM(IF($C37=detections[],IF(detections[is active]="yes",1,0),0))&gt;0,SUM(IF($C37=detections[],IF(detections[is active]="yes",1,0),0)),"")</f>
        <v/>
      </c>
      <c r="J37" s="74">
        <f t="array" ref="J3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7" s="74">
        <f>IF(AND(ISNUMBER(techniques[[#This Row],[number of sub techniques]]),techniques[[#This Row],[number of sub techniques]]&gt;1),techniques[number of sub techniques],1)</f>
        <v/>
      </c>
      <c r="L37" s="72" t="n"/>
      <c r="M37" s="74">
        <f t="array" ref="M3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7" s="26">
        <f>IF(techniques[[#This Row],[detection rules]]&gt;=techniques[[#This Row],[expected detection rules]],1,techniques[[#This Row],[detection rules]]/techniques[[#This Row],[expected detection rules]])</f>
        <v/>
      </c>
      <c r="P3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7" s="29">
        <f>IF(ISERROR(SEARCH(techniques[[#This Row],[id]],techniques[[#This Row],[name]])),"ERROR","")</f>
        <v/>
      </c>
      <c r="S3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8" ht="12.75" customHeight="1">
      <c r="A38" s="74" t="inlineStr">
        <is>
          <t>T1021</t>
        </is>
      </c>
      <c r="B38" s="74" t="inlineStr">
        <is>
          <t>T1021.008</t>
        </is>
      </c>
      <c r="C38" s="13" t="inlineStr">
        <is>
          <t>Direct Cloud VM Connections (T1021.008)</t>
        </is>
      </c>
      <c r="D38" s="13" t="inlineStr">
        <is>
          <t>lateral-movement</t>
        </is>
      </c>
      <c r="E38" s="13" t="inlineStr">
        <is>
          <t>Logon Session: Logon Session Creation|Process: Process Creation</t>
        </is>
      </c>
      <c r="F38" s="74" t="n">
        <v>2</v>
      </c>
      <c r="G38" s="72">
        <f t="array" ref="G38">SUM(IF(ISERROR(FIND(sources[data source],techniques[[#This Row],[data sources]])),0,1)*IF(sources[available]="yes",1,0))</f>
        <v/>
      </c>
      <c r="H38" s="73">
        <f t="array" ref="H38">IF(techniques[[#This Row],[technique]]=techniques[[#This Row],[id]],SUM(IF(techniques[[#This Row],[id]]=techniques[technique],1,0))-1,"")</f>
        <v/>
      </c>
      <c r="I38" s="74">
        <f t="array" ref="I38">IF(SUM(IF($C38=detections[],IF(detections[is active]="yes",1,0),0))&gt;0,SUM(IF($C38=detections[],IF(detections[is active]="yes",1,0),0)),"")</f>
        <v/>
      </c>
      <c r="J38" s="74">
        <f t="array" ref="J3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8" s="74">
        <f>IF(AND(ISNUMBER(techniques[[#This Row],[number of sub techniques]]),techniques[[#This Row],[number of sub techniques]]&gt;1),techniques[number of sub techniques],1)</f>
        <v/>
      </c>
      <c r="L38" s="72" t="n"/>
      <c r="M38" s="74">
        <f t="array" ref="M3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8" s="26">
        <f>IF(techniques[[#This Row],[detection rules]]&gt;=techniques[[#This Row],[expected detection rules]],1,techniques[[#This Row],[detection rules]]/techniques[[#This Row],[expected detection rules]])</f>
        <v/>
      </c>
      <c r="P3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8" s="29">
        <f>IF(ISERROR(SEARCH(techniques[[#This Row],[id]],techniques[[#This Row],[name]])),"ERROR","")</f>
        <v/>
      </c>
      <c r="S3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9" ht="12.75" customHeight="1">
      <c r="A39" s="74" t="inlineStr">
        <is>
          <t>T1025</t>
        </is>
      </c>
      <c r="B39" s="74" t="inlineStr">
        <is>
          <t>T1025</t>
        </is>
      </c>
      <c r="C39" s="13" t="inlineStr">
        <is>
          <t>Data from Removable Media (T1025)</t>
        </is>
      </c>
      <c r="D39" s="13" t="inlineStr">
        <is>
          <t>collection</t>
        </is>
      </c>
      <c r="E39" s="13" t="inlineStr">
        <is>
          <t>Drive: Drive Creation|File: File Access|Process: Process Creation</t>
        </is>
      </c>
      <c r="F39" s="74" t="n">
        <v>3</v>
      </c>
      <c r="G39" s="72">
        <f t="array" ref="G39">SUM(IF(ISERROR(FIND(sources[data source],techniques[[#This Row],[data sources]])),0,1)*IF(sources[available]="yes",1,0))</f>
        <v/>
      </c>
      <c r="H39" s="73">
        <f t="array" ref="H39">IF(techniques[[#This Row],[technique]]=techniques[[#This Row],[id]],SUM(IF(techniques[[#This Row],[id]]=techniques[technique],1,0))-1,"")</f>
        <v/>
      </c>
      <c r="I39" s="74">
        <f t="array" ref="I39">IF(SUM(IF($C39=detections[],IF(detections[is active]="yes",1,0),0))&gt;0,SUM(IF($C39=detections[],IF(detections[is active]="yes",1,0),0)),"")</f>
        <v/>
      </c>
      <c r="J39" s="74">
        <f t="array" ref="J3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9" s="74">
        <f>IF(AND(ISNUMBER(techniques[[#This Row],[number of sub techniques]]),techniques[[#This Row],[number of sub techniques]]&gt;1),techniques[number of sub techniques],1)</f>
        <v/>
      </c>
      <c r="L39" s="72" t="n"/>
      <c r="M39" s="74">
        <f t="array" ref="M3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9" s="26">
        <f>IF(techniques[[#This Row],[detection rules]]&gt;=techniques[[#This Row],[expected detection rules]],1,techniques[[#This Row],[detection rules]]/techniques[[#This Row],[expected detection rules]])</f>
        <v/>
      </c>
      <c r="P3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9" s="29">
        <f>IF(ISERROR(SEARCH(techniques[[#This Row],[id]],techniques[[#This Row],[name]])),"ERROR","")</f>
        <v/>
      </c>
      <c r="S3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0" ht="12.75" customHeight="1">
      <c r="A40" s="74" t="inlineStr">
        <is>
          <t>T1027</t>
        </is>
      </c>
      <c r="B40" s="74" t="inlineStr">
        <is>
          <t>T1027</t>
        </is>
      </c>
      <c r="C40" s="13" t="inlineStr">
        <is>
          <t>Obfuscated Files or Information (T1027)</t>
        </is>
      </c>
      <c r="D40" s="13" t="inlineStr">
        <is>
          <t>stealth</t>
        </is>
      </c>
      <c r="E40" s="13" t="inlineStr">
        <is>
          <t>Command: Command Execution|File: File Creation|File: File Metadata|File: File Modification|Network Traffic: Network Traffic Content|Process: OS API Execution|Process: Process Creation</t>
        </is>
      </c>
      <c r="F40" s="74" t="n">
        <v>7</v>
      </c>
      <c r="G40" s="72">
        <f t="array" ref="G40">SUM(IF(ISERROR(FIND(sources[data source],techniques[[#This Row],[data sources]])),0,1)*IF(sources[available]="yes",1,0))</f>
        <v/>
      </c>
      <c r="H40" s="73">
        <f t="array" ref="H40">IF(techniques[[#This Row],[technique]]=techniques[[#This Row],[id]],SUM(IF(techniques[[#This Row],[id]]=techniques[technique],1,0))-1,"")</f>
        <v/>
      </c>
      <c r="I40" s="74">
        <f t="array" ref="I40">IF(SUM(IF($C40=detections[],IF(detections[is active]="yes",1,0),0))&gt;0,SUM(IF($C40=detections[],IF(detections[is active]="yes",1,0),0)),"")</f>
        <v/>
      </c>
      <c r="J40" s="74">
        <f t="array" ref="J4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0" s="74">
        <f>IF(AND(ISNUMBER(techniques[[#This Row],[number of sub techniques]]),techniques[[#This Row],[number of sub techniques]]&gt;1),techniques[number of sub techniques],1)</f>
        <v/>
      </c>
      <c r="L40" s="72" t="n"/>
      <c r="M40" s="74">
        <f t="array" ref="M4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0" s="26">
        <f>IF(techniques[[#This Row],[detection rules]]&gt;=techniques[[#This Row],[expected detection rules]],1,techniques[[#This Row],[detection rules]]/techniques[[#This Row],[expected detection rules]])</f>
        <v/>
      </c>
      <c r="P4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0" s="29">
        <f>IF(ISERROR(SEARCH(techniques[[#This Row],[id]],techniques[[#This Row],[name]])),"ERROR","")</f>
        <v/>
      </c>
      <c r="S4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1" ht="12.75" customHeight="1">
      <c r="A41" s="74" t="inlineStr">
        <is>
          <t>T1027</t>
        </is>
      </c>
      <c r="B41" s="74" t="inlineStr">
        <is>
          <t>T1027.001</t>
        </is>
      </c>
      <c r="C41" s="13" t="inlineStr">
        <is>
          <t>Binary Padding (T1027.001)</t>
        </is>
      </c>
      <c r="D41" s="13" t="inlineStr">
        <is>
          <t>stealth</t>
        </is>
      </c>
      <c r="E41" s="13" t="inlineStr">
        <is>
          <t>File: File Access|File: File Creation|Process: Process Creation</t>
        </is>
      </c>
      <c r="F41" s="74" t="n">
        <v>3</v>
      </c>
      <c r="G41" s="72">
        <f t="array" ref="G41">SUM(IF(ISERROR(FIND(sources[data source],techniques[[#This Row],[data sources]])),0,1)*IF(sources[available]="yes",1,0))</f>
        <v/>
      </c>
      <c r="H41" s="73">
        <f t="array" ref="H41">IF(techniques[[#This Row],[technique]]=techniques[[#This Row],[id]],SUM(IF(techniques[[#This Row],[id]]=techniques[technique],1,0))-1,"")</f>
        <v/>
      </c>
      <c r="I41" s="74">
        <f t="array" ref="I41">IF(SUM(IF($C41=detections[],IF(detections[is active]="yes",1,0),0))&gt;0,SUM(IF($C41=detections[],IF(detections[is active]="yes",1,0),0)),"")</f>
        <v/>
      </c>
      <c r="J41" s="74">
        <f t="array" ref="J4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1" s="74">
        <f>IF(AND(ISNUMBER(techniques[[#This Row],[number of sub techniques]]),techniques[[#This Row],[number of sub techniques]]&gt;1),techniques[number of sub techniques],1)</f>
        <v/>
      </c>
      <c r="L41" s="72" t="n"/>
      <c r="M41" s="74">
        <f t="array" ref="M4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1" s="26">
        <f>IF(techniques[[#This Row],[detection rules]]&gt;=techniques[[#This Row],[expected detection rules]],1,techniques[[#This Row],[detection rules]]/techniques[[#This Row],[expected detection rules]])</f>
        <v/>
      </c>
      <c r="P4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1" s="29">
        <f>IF(ISERROR(SEARCH(techniques[[#This Row],[id]],techniques[[#This Row],[name]])),"ERROR","")</f>
        <v/>
      </c>
      <c r="S4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2" ht="12.75" customHeight="1">
      <c r="A42" s="74" t="inlineStr">
        <is>
          <t>T1027</t>
        </is>
      </c>
      <c r="B42" s="74" t="inlineStr">
        <is>
          <t>T1027.002</t>
        </is>
      </c>
      <c r="C42" s="13" t="inlineStr">
        <is>
          <t>Software Packing (T1027.002)</t>
        </is>
      </c>
      <c r="D42" s="13" t="inlineStr">
        <is>
          <t>stealth</t>
        </is>
      </c>
      <c r="E42" s="13" t="inlineStr">
        <is>
          <t>Process: Process Access|Process: Process Creation|Process: Process Modification</t>
        </is>
      </c>
      <c r="F42" s="74" t="n">
        <v>3</v>
      </c>
      <c r="G42" s="72">
        <f t="array" ref="G42">SUM(IF(ISERROR(FIND(sources[data source],techniques[[#This Row],[data sources]])),0,1)*IF(sources[available]="yes",1,0))</f>
        <v/>
      </c>
      <c r="H42" s="73">
        <f t="array" ref="H42">IF(techniques[[#This Row],[technique]]=techniques[[#This Row],[id]],SUM(IF(techniques[[#This Row],[id]]=techniques[technique],1,0))-1,"")</f>
        <v/>
      </c>
      <c r="I42" s="74">
        <f t="array" ref="I42">IF(SUM(IF($C42=detections[],IF(detections[is active]="yes",1,0),0))&gt;0,SUM(IF($C42=detections[],IF(detections[is active]="yes",1,0),0)),"")</f>
        <v/>
      </c>
      <c r="J42" s="74">
        <f t="array" ref="J4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2" s="74">
        <f>IF(AND(ISNUMBER(techniques[[#This Row],[number of sub techniques]]),techniques[[#This Row],[number of sub techniques]]&gt;1),techniques[number of sub techniques],1)</f>
        <v/>
      </c>
      <c r="L42" s="72" t="n"/>
      <c r="M42" s="74">
        <f t="array" ref="M4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2" s="26">
        <f>IF(techniques[[#This Row],[detection rules]]&gt;=techniques[[#This Row],[expected detection rules]],1,techniques[[#This Row],[detection rules]]/techniques[[#This Row],[expected detection rules]])</f>
        <v/>
      </c>
      <c r="P4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2" s="29">
        <f>IF(ISERROR(SEARCH(techniques[[#This Row],[id]],techniques[[#This Row],[name]])),"ERROR","")</f>
        <v/>
      </c>
      <c r="S4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3" ht="12.75" customHeight="1">
      <c r="A43" s="74" t="inlineStr">
        <is>
          <t>T1027</t>
        </is>
      </c>
      <c r="B43" s="74" t="inlineStr">
        <is>
          <t>T1027.003</t>
        </is>
      </c>
      <c r="C43" s="13" t="inlineStr">
        <is>
          <t>Steganography (T1027.003)</t>
        </is>
      </c>
      <c r="D43" s="13" t="inlineStr">
        <is>
          <t>stealth</t>
        </is>
      </c>
      <c r="E43" s="13" t="inlineStr">
        <is>
          <t>File: File Access|Network Traffic: Network Connection Creation|Process: Process Creation</t>
        </is>
      </c>
      <c r="F43" s="74" t="n">
        <v>3</v>
      </c>
      <c r="G43" s="72">
        <f t="array" ref="G43">SUM(IF(ISERROR(FIND(sources[data source],techniques[[#This Row],[data sources]])),0,1)*IF(sources[available]="yes",1,0))</f>
        <v/>
      </c>
      <c r="H43" s="73">
        <f t="array" ref="H43">IF(techniques[[#This Row],[technique]]=techniques[[#This Row],[id]],SUM(IF(techniques[[#This Row],[id]]=techniques[technique],1,0))-1,"")</f>
        <v/>
      </c>
      <c r="I43" s="74">
        <f t="array" ref="I43">IF(SUM(IF($C43=detections[],IF(detections[is active]="yes",1,0),0))&gt;0,SUM(IF($C43=detections[],IF(detections[is active]="yes",1,0),0)),"")</f>
        <v/>
      </c>
      <c r="J43" s="74">
        <f t="array" ref="J4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3" s="74">
        <f>IF(AND(ISNUMBER(techniques[[#This Row],[number of sub techniques]]),techniques[[#This Row],[number of sub techniques]]&gt;1),techniques[number of sub techniques],1)</f>
        <v/>
      </c>
      <c r="L43" s="72" t="n"/>
      <c r="M43" s="74">
        <f t="array" ref="M4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3" s="26">
        <f>IF(techniques[[#This Row],[detection rules]]&gt;=techniques[[#This Row],[expected detection rules]],1,techniques[[#This Row],[detection rules]]/techniques[[#This Row],[expected detection rules]])</f>
        <v/>
      </c>
      <c r="P4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3" s="29">
        <f>IF(ISERROR(SEARCH(techniques[[#This Row],[id]],techniques[[#This Row],[name]])),"ERROR","")</f>
        <v/>
      </c>
      <c r="S4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4" ht="12.75" customHeight="1">
      <c r="A44" s="74" t="inlineStr">
        <is>
          <t>T1027</t>
        </is>
      </c>
      <c r="B44" s="74" t="inlineStr">
        <is>
          <t>T1027.004</t>
        </is>
      </c>
      <c r="C44" s="13" t="inlineStr">
        <is>
          <t>Compile After Delivery (T1027.004)</t>
        </is>
      </c>
      <c r="D44" s="13" t="inlineStr">
        <is>
          <t>stealth</t>
        </is>
      </c>
      <c r="E44" s="13" t="inlineStr">
        <is>
          <t>File: File Creation|Network Traffic: Network Connection Creation|Process: Process Creation</t>
        </is>
      </c>
      <c r="F44" s="74" t="n">
        <v>3</v>
      </c>
      <c r="G44" s="72">
        <f t="array" ref="G44">SUM(IF(ISERROR(FIND(sources[data source],techniques[[#This Row],[data sources]])),0,1)*IF(sources[available]="yes",1,0))</f>
        <v/>
      </c>
      <c r="H44" s="73">
        <f t="array" ref="H44">IF(techniques[[#This Row],[technique]]=techniques[[#This Row],[id]],SUM(IF(techniques[[#This Row],[id]]=techniques[technique],1,0))-1,"")</f>
        <v/>
      </c>
      <c r="I44" s="74">
        <f t="array" ref="I44">IF(SUM(IF($C44=detections[],IF(detections[is active]="yes",1,0),0))&gt;0,SUM(IF($C44=detections[],IF(detections[is active]="yes",1,0),0)),"")</f>
        <v/>
      </c>
      <c r="J44" s="74">
        <f t="array" ref="J4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4" s="74">
        <f>IF(AND(ISNUMBER(techniques[[#This Row],[number of sub techniques]]),techniques[[#This Row],[number of sub techniques]]&gt;1),techniques[number of sub techniques],1)</f>
        <v/>
      </c>
      <c r="L44" s="72" t="n"/>
      <c r="M44" s="74">
        <f t="array" ref="M4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4" s="26">
        <f>IF(techniques[[#This Row],[detection rules]]&gt;=techniques[[#This Row],[expected detection rules]],1,techniques[[#This Row],[detection rules]]/techniques[[#This Row],[expected detection rules]])</f>
        <v/>
      </c>
      <c r="P4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4" s="29">
        <f>IF(ISERROR(SEARCH(techniques[[#This Row],[id]],techniques[[#This Row],[name]])),"ERROR","")</f>
        <v/>
      </c>
      <c r="S4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5" ht="12.75" customHeight="1">
      <c r="A45" s="74" t="inlineStr">
        <is>
          <t>T1027</t>
        </is>
      </c>
      <c r="B45" s="74" t="inlineStr">
        <is>
          <t>T1027.005</t>
        </is>
      </c>
      <c r="C45" s="13" t="inlineStr">
        <is>
          <t>Indicator Removal from Tools (T1027.005)</t>
        </is>
      </c>
      <c r="D45" s="13" t="inlineStr">
        <is>
          <t>stealth</t>
        </is>
      </c>
      <c r="E45" s="13" t="inlineStr">
        <is>
          <t>Application Log: Application Log Content|File: File Creation|File: File Metadata|Process: Process Creation|Process: Process Modification</t>
        </is>
      </c>
      <c r="F45" s="74" t="n">
        <v>5</v>
      </c>
      <c r="G45" s="72">
        <f t="array" ref="G45">SUM(IF(ISERROR(FIND(sources[data source],techniques[[#This Row],[data sources]])),0,1)*IF(sources[available]="yes",1,0))</f>
        <v/>
      </c>
      <c r="H45" s="73">
        <f t="array" ref="H45">IF(techniques[[#This Row],[technique]]=techniques[[#This Row],[id]],SUM(IF(techniques[[#This Row],[id]]=techniques[technique],1,0))-1,"")</f>
        <v/>
      </c>
      <c r="I45" s="74">
        <f t="array" ref="I45">IF(SUM(IF($C45=detections[],IF(detections[is active]="yes",1,0),0))&gt;0,SUM(IF($C45=detections[],IF(detections[is active]="yes",1,0),0)),"")</f>
        <v/>
      </c>
      <c r="J45" s="74">
        <f t="array" ref="J4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5" s="74">
        <f>IF(AND(ISNUMBER(techniques[[#This Row],[number of sub techniques]]),techniques[[#This Row],[number of sub techniques]]&gt;1),techniques[number of sub techniques],1)</f>
        <v/>
      </c>
      <c r="L45" s="72" t="n"/>
      <c r="M45" s="74">
        <f t="array" ref="M4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5" s="26">
        <f>IF(techniques[[#This Row],[detection rules]]&gt;=techniques[[#This Row],[expected detection rules]],1,techniques[[#This Row],[detection rules]]/techniques[[#This Row],[expected detection rules]])</f>
        <v/>
      </c>
      <c r="P4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5" s="29">
        <f>IF(ISERROR(SEARCH(techniques[[#This Row],[id]],techniques[[#This Row],[name]])),"ERROR","")</f>
        <v/>
      </c>
      <c r="S4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6" ht="12.75" customHeight="1">
      <c r="A46" s="74" t="inlineStr">
        <is>
          <t>T1027</t>
        </is>
      </c>
      <c r="B46" s="74" t="inlineStr">
        <is>
          <t>T1027.006</t>
        </is>
      </c>
      <c r="C46" s="13" t="inlineStr">
        <is>
          <t>HTML Smuggling (T1027.006)</t>
        </is>
      </c>
      <c r="D46" s="13" t="inlineStr">
        <is>
          <t>stealth</t>
        </is>
      </c>
      <c r="E46" s="13" t="inlineStr">
        <is>
          <t>File: File Creation|File: File Metadata|Network Traffic: Network Traffic Content|Process: Process Creation</t>
        </is>
      </c>
      <c r="F46" s="74" t="n">
        <v>4</v>
      </c>
      <c r="G46" s="72">
        <f t="array" ref="G46">SUM(IF(ISERROR(FIND(sources[data source],techniques[[#This Row],[data sources]])),0,1)*IF(sources[available]="yes",1,0))</f>
        <v/>
      </c>
      <c r="H46" s="73">
        <f t="array" ref="H46">IF(techniques[[#This Row],[technique]]=techniques[[#This Row],[id]],SUM(IF(techniques[[#This Row],[id]]=techniques[technique],1,0))-1,"")</f>
        <v/>
      </c>
      <c r="I46" s="74">
        <f t="array" ref="I46">IF(SUM(IF($C46=detections[],IF(detections[is active]="yes",1,0),0))&gt;0,SUM(IF($C46=detections[],IF(detections[is active]="yes",1,0),0)),"")</f>
        <v/>
      </c>
      <c r="J46" s="74">
        <f t="array" ref="J4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6" s="74">
        <f>IF(AND(ISNUMBER(techniques[[#This Row],[number of sub techniques]]),techniques[[#This Row],[number of sub techniques]]&gt;1),techniques[number of sub techniques],1)</f>
        <v/>
      </c>
      <c r="L46" s="72" t="n"/>
      <c r="M46" s="74">
        <f t="array" ref="M4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6" s="26">
        <f>IF(techniques[[#This Row],[detection rules]]&gt;=techniques[[#This Row],[expected detection rules]],1,techniques[[#This Row],[detection rules]]/techniques[[#This Row],[expected detection rules]])</f>
        <v/>
      </c>
      <c r="P4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6" s="29">
        <f>IF(ISERROR(SEARCH(techniques[[#This Row],[id]],techniques[[#This Row],[name]])),"ERROR","")</f>
        <v/>
      </c>
      <c r="S4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7" ht="12.75" customHeight="1">
      <c r="A47" s="74" t="inlineStr">
        <is>
          <t>T1027</t>
        </is>
      </c>
      <c r="B47" s="74" t="inlineStr">
        <is>
          <t>T1027.007</t>
        </is>
      </c>
      <c r="C47" s="13" t="inlineStr">
        <is>
          <t>Dynamic API Resolution (T1027.007)</t>
        </is>
      </c>
      <c r="D47" s="13" t="inlineStr">
        <is>
          <t>stealth</t>
        </is>
      </c>
      <c r="E47" s="13" t="inlineStr">
        <is>
          <t>Module: Module Load|Process: OS API Execution|Process: Process Creation</t>
        </is>
      </c>
      <c r="F47" s="74" t="n">
        <v>3</v>
      </c>
      <c r="G47" s="72">
        <f t="array" ref="G47">SUM(IF(ISERROR(FIND(sources[data source],techniques[[#This Row],[data sources]])),0,1)*IF(sources[available]="yes",1,0))</f>
        <v/>
      </c>
      <c r="H47" s="73">
        <f t="array" ref="H47">IF(techniques[[#This Row],[technique]]=techniques[[#This Row],[id]],SUM(IF(techniques[[#This Row],[id]]=techniques[technique],1,0))-1,"")</f>
        <v/>
      </c>
      <c r="I47" s="74">
        <f t="array" ref="I47">IF(SUM(IF($C47=detections[],IF(detections[is active]="yes",1,0),0))&gt;0,SUM(IF($C47=detections[],IF(detections[is active]="yes",1,0),0)),"")</f>
        <v/>
      </c>
      <c r="J47" s="74">
        <f t="array" ref="J4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7" s="74">
        <f>IF(AND(ISNUMBER(techniques[[#This Row],[number of sub techniques]]),techniques[[#This Row],[number of sub techniques]]&gt;1),techniques[number of sub techniques],1)</f>
        <v/>
      </c>
      <c r="L47" s="72" t="n"/>
      <c r="M47" s="74">
        <f t="array" ref="M4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7" s="26">
        <f>IF(techniques[[#This Row],[detection rules]]&gt;=techniques[[#This Row],[expected detection rules]],1,techniques[[#This Row],[detection rules]]/techniques[[#This Row],[expected detection rules]])</f>
        <v/>
      </c>
      <c r="P4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7" s="29">
        <f>IF(ISERROR(SEARCH(techniques[[#This Row],[id]],techniques[[#This Row],[name]])),"ERROR","")</f>
        <v/>
      </c>
      <c r="S4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8" ht="12.75" customHeight="1">
      <c r="A48" s="74" t="inlineStr">
        <is>
          <t>T1027</t>
        </is>
      </c>
      <c r="B48" s="74" t="inlineStr">
        <is>
          <t>T1027.008</t>
        </is>
      </c>
      <c r="C48" s="13" t="inlineStr">
        <is>
          <t>Stripped Payloads (T1027.008)</t>
        </is>
      </c>
      <c r="D48" s="13" t="inlineStr">
        <is>
          <t>stealth</t>
        </is>
      </c>
      <c r="E48" s="13" t="inlineStr">
        <is>
          <t>File: File Creation|File: File Metadata|File: File Modification|Network Traffic: Network Traffic Content|Process: Process Creation</t>
        </is>
      </c>
      <c r="F48" s="74" t="n">
        <v>5</v>
      </c>
      <c r="G48" s="72">
        <f t="array" ref="G48">SUM(IF(ISERROR(FIND(sources[data source],techniques[[#This Row],[data sources]])),0,1)*IF(sources[available]="yes",1,0))</f>
        <v/>
      </c>
      <c r="H48" s="73">
        <f t="array" ref="H48">IF(techniques[[#This Row],[technique]]=techniques[[#This Row],[id]],SUM(IF(techniques[[#This Row],[id]]=techniques[technique],1,0))-1,"")</f>
        <v/>
      </c>
      <c r="I48" s="74">
        <f t="array" ref="I48">IF(SUM(IF($C48=detections[],IF(detections[is active]="yes",1,0),0))&gt;0,SUM(IF($C48=detections[],IF(detections[is active]="yes",1,0),0)),"")</f>
        <v/>
      </c>
      <c r="J48" s="74">
        <f t="array" ref="J4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8" s="74">
        <f>IF(AND(ISNUMBER(techniques[[#This Row],[number of sub techniques]]),techniques[[#This Row],[number of sub techniques]]&gt;1),techniques[number of sub techniques],1)</f>
        <v/>
      </c>
      <c r="L48" s="72" t="n"/>
      <c r="M48" s="74">
        <f t="array" ref="M4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8" s="26">
        <f>IF(techniques[[#This Row],[detection rules]]&gt;=techniques[[#This Row],[expected detection rules]],1,techniques[[#This Row],[detection rules]]/techniques[[#This Row],[expected detection rules]])</f>
        <v/>
      </c>
      <c r="P4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8" s="29">
        <f>IF(ISERROR(SEARCH(techniques[[#This Row],[id]],techniques[[#This Row],[name]])),"ERROR","")</f>
        <v/>
      </c>
      <c r="S4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9" ht="12.75" customHeight="1">
      <c r="A49" s="74" t="inlineStr">
        <is>
          <t>T1027</t>
        </is>
      </c>
      <c r="B49" s="74" t="inlineStr">
        <is>
          <t>T1027.009</t>
        </is>
      </c>
      <c r="C49" s="13" t="inlineStr">
        <is>
          <t>Embedded Payloads (T1027.009)</t>
        </is>
      </c>
      <c r="D49" s="13" t="inlineStr">
        <is>
          <t>stealth</t>
        </is>
      </c>
      <c r="E49" s="13" t="inlineStr">
        <is>
          <t>File: File Access|File: File Creation|File: File Metadata|File: File Modification|Process: Process Creation</t>
        </is>
      </c>
      <c r="F49" s="74" t="n">
        <v>5</v>
      </c>
      <c r="G49" s="72">
        <f t="array" ref="G49">SUM(IF(ISERROR(FIND(sources[data source],techniques[[#This Row],[data sources]])),0,1)*IF(sources[available]="yes",1,0))</f>
        <v/>
      </c>
      <c r="H49" s="73">
        <f t="array" ref="H49">IF(techniques[[#This Row],[technique]]=techniques[[#This Row],[id]],SUM(IF(techniques[[#This Row],[id]]=techniques[technique],1,0))-1,"")</f>
        <v/>
      </c>
      <c r="I49" s="74">
        <f t="array" ref="I49">IF(SUM(IF($C49=detections[],IF(detections[is active]="yes",1,0),0))&gt;0,SUM(IF($C49=detections[],IF(detections[is active]="yes",1,0),0)),"")</f>
        <v/>
      </c>
      <c r="J49" s="74">
        <f t="array" ref="J4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9" s="74">
        <f>IF(AND(ISNUMBER(techniques[[#This Row],[number of sub techniques]]),techniques[[#This Row],[number of sub techniques]]&gt;1),techniques[number of sub techniques],1)</f>
        <v/>
      </c>
      <c r="L49" s="72" t="n"/>
      <c r="M49" s="74">
        <f t="array" ref="M4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9" s="26">
        <f>IF(techniques[[#This Row],[detection rules]]&gt;=techniques[[#This Row],[expected detection rules]],1,techniques[[#This Row],[detection rules]]/techniques[[#This Row],[expected detection rules]])</f>
        <v/>
      </c>
      <c r="P4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9" s="29">
        <f>IF(ISERROR(SEARCH(techniques[[#This Row],[id]],techniques[[#This Row],[name]])),"ERROR","")</f>
        <v/>
      </c>
      <c r="S4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0" ht="12.75" customHeight="1">
      <c r="A50" s="74" t="inlineStr">
        <is>
          <t>T1027</t>
        </is>
      </c>
      <c r="B50" s="74" t="inlineStr">
        <is>
          <t>T1027.010</t>
        </is>
      </c>
      <c r="C50" s="13" t="inlineStr">
        <is>
          <t>Command Obfuscation (T1027.010)</t>
        </is>
      </c>
      <c r="D50" s="13" t="inlineStr">
        <is>
          <t>stealth</t>
        </is>
      </c>
      <c r="E50" s="13" t="inlineStr">
        <is>
          <t>Command: Command Execution|Process: Process Creation</t>
        </is>
      </c>
      <c r="F50" s="74" t="n">
        <v>2</v>
      </c>
      <c r="G50" s="72">
        <f t="array" ref="G50">SUM(IF(ISERROR(FIND(sources[data source],techniques[[#This Row],[data sources]])),0,1)*IF(sources[available]="yes",1,0))</f>
        <v/>
      </c>
      <c r="H50" s="73">
        <f t="array" ref="H50">IF(techniques[[#This Row],[technique]]=techniques[[#This Row],[id]],SUM(IF(techniques[[#This Row],[id]]=techniques[technique],1,0))-1,"")</f>
        <v/>
      </c>
      <c r="I50" s="74">
        <f t="array" ref="I50">IF(SUM(IF($C50=detections[],IF(detections[is active]="yes",1,0),0))&gt;0,SUM(IF($C50=detections[],IF(detections[is active]="yes",1,0),0)),"")</f>
        <v/>
      </c>
      <c r="J50" s="74">
        <f t="array" ref="J5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0" s="74">
        <f>IF(AND(ISNUMBER(techniques[[#This Row],[number of sub techniques]]),techniques[[#This Row],[number of sub techniques]]&gt;1),techniques[number of sub techniques],1)</f>
        <v/>
      </c>
      <c r="L50" s="72" t="n"/>
      <c r="M50" s="74">
        <f t="array" ref="M5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0" s="26">
        <f>IF(techniques[[#This Row],[detection rules]]&gt;=techniques[[#This Row],[expected detection rules]],1,techniques[[#This Row],[detection rules]]/techniques[[#This Row],[expected detection rules]])</f>
        <v/>
      </c>
      <c r="P5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0" s="29">
        <f>IF(ISERROR(SEARCH(techniques[[#This Row],[id]],techniques[[#This Row],[name]])),"ERROR","")</f>
        <v/>
      </c>
      <c r="S5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1" ht="12.75" customHeight="1">
      <c r="A51" s="74" t="inlineStr">
        <is>
          <t>T1027</t>
        </is>
      </c>
      <c r="B51" s="74" t="inlineStr">
        <is>
          <t>T1027.011</t>
        </is>
      </c>
      <c r="C51" s="13" t="inlineStr">
        <is>
          <t>Fileless Storage (T1027.011)</t>
        </is>
      </c>
      <c r="D51" s="13" t="inlineStr">
        <is>
          <t>stealth</t>
        </is>
      </c>
      <c r="E51" s="13" t="inlineStr">
        <is>
          <t>File: File Creation|File: File Metadata|WMI: WMI Creation|Windows Registry: Windows Registry Key Modification</t>
        </is>
      </c>
      <c r="F51" s="74" t="n">
        <v>4</v>
      </c>
      <c r="G51" s="72">
        <f t="array" ref="G51">SUM(IF(ISERROR(FIND(sources[data source],techniques[[#This Row],[data sources]])),0,1)*IF(sources[available]="yes",1,0))</f>
        <v/>
      </c>
      <c r="H51" s="73">
        <f t="array" ref="H51">IF(techniques[[#This Row],[technique]]=techniques[[#This Row],[id]],SUM(IF(techniques[[#This Row],[id]]=techniques[technique],1,0))-1,"")</f>
        <v/>
      </c>
      <c r="I51" s="74">
        <f t="array" ref="I51">IF(SUM(IF($C51=detections[],IF(detections[is active]="yes",1,0),0))&gt;0,SUM(IF($C51=detections[],IF(detections[is active]="yes",1,0),0)),"")</f>
        <v/>
      </c>
      <c r="J51" s="74">
        <f t="array" ref="J5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1" s="74">
        <f>IF(AND(ISNUMBER(techniques[[#This Row],[number of sub techniques]]),techniques[[#This Row],[number of sub techniques]]&gt;1),techniques[number of sub techniques],1)</f>
        <v/>
      </c>
      <c r="L51" s="72" t="n"/>
      <c r="M51" s="74">
        <f t="array" ref="M5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1" s="26">
        <f>IF(techniques[[#This Row],[detection rules]]&gt;=techniques[[#This Row],[expected detection rules]],1,techniques[[#This Row],[detection rules]]/techniques[[#This Row],[expected detection rules]])</f>
        <v/>
      </c>
      <c r="P5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1" s="29">
        <f>IF(ISERROR(SEARCH(techniques[[#This Row],[id]],techniques[[#This Row],[name]])),"ERROR","")</f>
        <v/>
      </c>
      <c r="S5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2" ht="12.75" customHeight="1">
      <c r="A52" s="74" t="inlineStr">
        <is>
          <t>T1027</t>
        </is>
      </c>
      <c r="B52" s="74" t="inlineStr">
        <is>
          <t>T1027.012</t>
        </is>
      </c>
      <c r="C52" s="13" t="inlineStr">
        <is>
          <t>LNK Icon Smuggling (T1027.012)</t>
        </is>
      </c>
      <c r="D52" s="13" t="inlineStr">
        <is>
          <t>stealth</t>
        </is>
      </c>
      <c r="E52" s="13" t="inlineStr">
        <is>
          <t>File: File Metadata|Network Traffic: Network Connection Creation|Process: Process Creation</t>
        </is>
      </c>
      <c r="F52" s="74" t="n">
        <v>3</v>
      </c>
      <c r="G52" s="72">
        <f t="array" ref="G52">SUM(IF(ISERROR(FIND(sources[data source],techniques[[#This Row],[data sources]])),0,1)*IF(sources[available]="yes",1,0))</f>
        <v/>
      </c>
      <c r="H52" s="73">
        <f t="array" ref="H52">IF(techniques[[#This Row],[technique]]=techniques[[#This Row],[id]],SUM(IF(techniques[[#This Row],[id]]=techniques[technique],1,0))-1,"")</f>
        <v/>
      </c>
      <c r="I52" s="74">
        <f t="array" ref="I52">IF(SUM(IF($C52=detections[],IF(detections[is active]="yes",1,0),0))&gt;0,SUM(IF($C52=detections[],IF(detections[is active]="yes",1,0),0)),"")</f>
        <v/>
      </c>
      <c r="J52" s="74">
        <f t="array" ref="J5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2" s="74">
        <f>IF(AND(ISNUMBER(techniques[[#This Row],[number of sub techniques]]),techniques[[#This Row],[number of sub techniques]]&gt;1),techniques[number of sub techniques],1)</f>
        <v/>
      </c>
      <c r="L52" s="72" t="n"/>
      <c r="M52" s="74">
        <f t="array" ref="M5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2" s="26">
        <f>IF(techniques[[#This Row],[detection rules]]&gt;=techniques[[#This Row],[expected detection rules]],1,techniques[[#This Row],[detection rules]]/techniques[[#This Row],[expected detection rules]])</f>
        <v/>
      </c>
      <c r="P5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2" s="29">
        <f>IF(ISERROR(SEARCH(techniques[[#This Row],[id]],techniques[[#This Row],[name]])),"ERROR","")</f>
        <v/>
      </c>
      <c r="S5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3" ht="12.75" customHeight="1">
      <c r="A53" s="74" t="inlineStr">
        <is>
          <t>T1027</t>
        </is>
      </c>
      <c r="B53" s="74" t="inlineStr">
        <is>
          <t>T1027.013</t>
        </is>
      </c>
      <c r="C53" s="13" t="inlineStr">
        <is>
          <t>Encrypted/Encoded File (T1027.013)</t>
        </is>
      </c>
      <c r="D53" s="13" t="inlineStr">
        <is>
          <t>stealth</t>
        </is>
      </c>
      <c r="E53" s="13" t="inlineStr">
        <is>
          <t>Command: Command Execution|Module: Module Load|Network Traffic: Network Connection Creation|Process: Process Access|Process: Process Creation|Process: Process Modification</t>
        </is>
      </c>
      <c r="F53" s="74" t="n">
        <v>6</v>
      </c>
      <c r="G53" s="72">
        <f t="array" ref="G53">SUM(IF(ISERROR(FIND(sources[data source],techniques[[#This Row],[data sources]])),0,1)*IF(sources[available]="yes",1,0))</f>
        <v/>
      </c>
      <c r="H53" s="73">
        <f t="array" ref="H53">IF(techniques[[#This Row],[technique]]=techniques[[#This Row],[id]],SUM(IF(techniques[[#This Row],[id]]=techniques[technique],1,0))-1,"")</f>
        <v/>
      </c>
      <c r="I53" s="74">
        <f t="array" ref="I53">IF(SUM(IF($C53=detections[],IF(detections[is active]="yes",1,0),0))&gt;0,SUM(IF($C53=detections[],IF(detections[is active]="yes",1,0),0)),"")</f>
        <v/>
      </c>
      <c r="J53" s="74">
        <f t="array" ref="J5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3" s="74">
        <f>IF(AND(ISNUMBER(techniques[[#This Row],[number of sub techniques]]),techniques[[#This Row],[number of sub techniques]]&gt;1),techniques[number of sub techniques],1)</f>
        <v/>
      </c>
      <c r="L53" s="72" t="n"/>
      <c r="M53" s="74">
        <f t="array" ref="M5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3" s="26">
        <f>IF(techniques[[#This Row],[detection rules]]&gt;=techniques[[#This Row],[expected detection rules]],1,techniques[[#This Row],[detection rules]]/techniques[[#This Row],[expected detection rules]])</f>
        <v/>
      </c>
      <c r="P5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3" s="29">
        <f>IF(ISERROR(SEARCH(techniques[[#This Row],[id]],techniques[[#This Row],[name]])),"ERROR","")</f>
        <v/>
      </c>
      <c r="S5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4" ht="12.75" customHeight="1">
      <c r="A54" s="74" t="inlineStr">
        <is>
          <t>T1027</t>
        </is>
      </c>
      <c r="B54" s="74" t="inlineStr">
        <is>
          <t>T1027.014</t>
        </is>
      </c>
      <c r="C54" s="13" t="inlineStr">
        <is>
          <t>Polymorphic Code (T1027.014)</t>
        </is>
      </c>
      <c r="D54" s="13" t="inlineStr">
        <is>
          <t>stealth</t>
        </is>
      </c>
      <c r="E54" s="13" t="inlineStr">
        <is>
          <t>File: File Creation|File: File Modification|Module: Module Load|Process: Process Access|Process: Process Creation|Process: Process Metadata|Process: Process Modification</t>
        </is>
      </c>
      <c r="F54" s="74" t="n">
        <v>7</v>
      </c>
      <c r="G54" s="72">
        <f t="array" ref="G54">SUM(IF(ISERROR(FIND(sources[data source],techniques[[#This Row],[data sources]])),0,1)*IF(sources[available]="yes",1,0))</f>
        <v/>
      </c>
      <c r="H54" s="73">
        <f t="array" ref="H54">IF(techniques[[#This Row],[technique]]=techniques[[#This Row],[id]],SUM(IF(techniques[[#This Row],[id]]=techniques[technique],1,0))-1,"")</f>
        <v/>
      </c>
      <c r="I54" s="74">
        <f t="array" ref="I54">IF(SUM(IF($C54=detections[],IF(detections[is active]="yes",1,0),0))&gt;0,SUM(IF($C54=detections[],IF(detections[is active]="yes",1,0),0)),"")</f>
        <v/>
      </c>
      <c r="J54" s="74">
        <f t="array" ref="J5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4" s="74">
        <f>IF(AND(ISNUMBER(techniques[[#This Row],[number of sub techniques]]),techniques[[#This Row],[number of sub techniques]]&gt;1),techniques[number of sub techniques],1)</f>
        <v/>
      </c>
      <c r="L54" s="72" t="n"/>
      <c r="M54" s="74">
        <f t="array" ref="M5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4" s="26">
        <f>IF(techniques[[#This Row],[detection rules]]&gt;=techniques[[#This Row],[expected detection rules]],1,techniques[[#This Row],[detection rules]]/techniques[[#This Row],[expected detection rules]])</f>
        <v/>
      </c>
      <c r="P5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4" s="29">
        <f>IF(ISERROR(SEARCH(techniques[[#This Row],[id]],techniques[[#This Row],[name]])),"ERROR","")</f>
        <v/>
      </c>
      <c r="S5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5" ht="12.75" customHeight="1">
      <c r="A55" s="74" t="inlineStr">
        <is>
          <t>T1027</t>
        </is>
      </c>
      <c r="B55" s="74" t="inlineStr">
        <is>
          <t>T1027.015</t>
        </is>
      </c>
      <c r="C55" s="13" t="inlineStr">
        <is>
          <t>Compression (T1027.015)</t>
        </is>
      </c>
      <c r="D55" s="13" t="inlineStr">
        <is>
          <t>stealth</t>
        </is>
      </c>
      <c r="E55" s="13" t="inlineStr">
        <is>
          <t>File: File Access|File: File Creation|File: File Metadata|File: File Modification|Process: Process Creation</t>
        </is>
      </c>
      <c r="F55" s="74" t="n">
        <v>5</v>
      </c>
      <c r="G55" s="72">
        <f t="array" ref="G55">SUM(IF(ISERROR(FIND(sources[data source],techniques[[#This Row],[data sources]])),0,1)*IF(sources[available]="yes",1,0))</f>
        <v/>
      </c>
      <c r="H55" s="73">
        <f t="array" ref="H55">IF(techniques[[#This Row],[technique]]=techniques[[#This Row],[id]],SUM(IF(techniques[[#This Row],[id]]=techniques[technique],1,0))-1,"")</f>
        <v/>
      </c>
      <c r="I55" s="74">
        <f t="array" ref="I55">IF(SUM(IF($C55=detections[],IF(detections[is active]="yes",1,0),0))&gt;0,SUM(IF($C55=detections[],IF(detections[is active]="yes",1,0),0)),"")</f>
        <v/>
      </c>
      <c r="J55" s="74">
        <f t="array" ref="J5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5" s="74">
        <f>IF(AND(ISNUMBER(techniques[[#This Row],[number of sub techniques]]),techniques[[#This Row],[number of sub techniques]]&gt;1),techniques[number of sub techniques],1)</f>
        <v/>
      </c>
      <c r="L55" s="72" t="n"/>
      <c r="M55" s="74">
        <f t="array" ref="M5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5" s="26">
        <f>IF(techniques[[#This Row],[detection rules]]&gt;=techniques[[#This Row],[expected detection rules]],1,techniques[[#This Row],[detection rules]]/techniques[[#This Row],[expected detection rules]])</f>
        <v/>
      </c>
      <c r="P5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5" s="29">
        <f>IF(ISERROR(SEARCH(techniques[[#This Row],[id]],techniques[[#This Row],[name]])),"ERROR","")</f>
        <v/>
      </c>
      <c r="S5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6" ht="12.75" customHeight="1">
      <c r="A56" s="74" t="inlineStr">
        <is>
          <t>T1027</t>
        </is>
      </c>
      <c r="B56" s="74" t="inlineStr">
        <is>
          <t>T1027.016</t>
        </is>
      </c>
      <c r="C56" s="13" t="inlineStr">
        <is>
          <t>Junk Code Insertion (T1027.016)</t>
        </is>
      </c>
      <c r="D56" s="13" t="inlineStr">
        <is>
          <t>stealth</t>
        </is>
      </c>
      <c r="E56" s="13" t="inlineStr">
        <is>
          <t>File: File Creation|Process: Process Access|Process: Process Creation|Process: Process Modification</t>
        </is>
      </c>
      <c r="F56" s="74" t="n">
        <v>4</v>
      </c>
      <c r="G56" s="72">
        <f t="array" ref="G56">SUM(IF(ISERROR(FIND(sources[data source],techniques[[#This Row],[data sources]])),0,1)*IF(sources[available]="yes",1,0))</f>
        <v/>
      </c>
      <c r="H56" s="73">
        <f t="array" ref="H56">IF(techniques[[#This Row],[technique]]=techniques[[#This Row],[id]],SUM(IF(techniques[[#This Row],[id]]=techniques[technique],1,0))-1,"")</f>
        <v/>
      </c>
      <c r="I56" s="74">
        <f t="array" ref="I56">IF(SUM(IF($C56=detections[],IF(detections[is active]="yes",1,0),0))&gt;0,SUM(IF($C56=detections[],IF(detections[is active]="yes",1,0),0)),"")</f>
        <v/>
      </c>
      <c r="J56" s="74">
        <f t="array" ref="J5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6" s="74">
        <f>IF(AND(ISNUMBER(techniques[[#This Row],[number of sub techniques]]),techniques[[#This Row],[number of sub techniques]]&gt;1),techniques[number of sub techniques],1)</f>
        <v/>
      </c>
      <c r="L56" s="72" t="n"/>
      <c r="M56" s="74">
        <f t="array" ref="M5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6" s="26">
        <f>IF(techniques[[#This Row],[detection rules]]&gt;=techniques[[#This Row],[expected detection rules]],1,techniques[[#This Row],[detection rules]]/techniques[[#This Row],[expected detection rules]])</f>
        <v/>
      </c>
      <c r="P5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6" s="29">
        <f>IF(ISERROR(SEARCH(techniques[[#This Row],[id]],techniques[[#This Row],[name]])),"ERROR","")</f>
        <v/>
      </c>
      <c r="S5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7" ht="12.75" customHeight="1">
      <c r="A57" s="74" t="inlineStr">
        <is>
          <t>T1027</t>
        </is>
      </c>
      <c r="B57" s="74" t="inlineStr">
        <is>
          <t>T1027.017</t>
        </is>
      </c>
      <c r="C57" s="13" t="inlineStr">
        <is>
          <t>SVG Smuggling (T1027.017)</t>
        </is>
      </c>
      <c r="D57" s="13" t="inlineStr">
        <is>
          <t>stealth</t>
        </is>
      </c>
      <c r="E57" s="13" t="inlineStr">
        <is>
          <t>File: File Creation|File: File Modification|Network Traffic: Network Connection Creation|Network Traffic: Network Traffic Content|Process: Process Creation</t>
        </is>
      </c>
      <c r="F57" s="74" t="n">
        <v>5</v>
      </c>
      <c r="G57" s="72">
        <f t="array" ref="G57">SUM(IF(ISERROR(FIND(sources[data source],techniques[[#This Row],[data sources]])),0,1)*IF(sources[available]="yes",1,0))</f>
        <v/>
      </c>
      <c r="H57" s="73">
        <f t="array" ref="H57">IF(techniques[[#This Row],[technique]]=techniques[[#This Row],[id]],SUM(IF(techniques[[#This Row],[id]]=techniques[technique],1,0))-1,"")</f>
        <v/>
      </c>
      <c r="I57" s="74">
        <f t="array" ref="I57">IF(SUM(IF($C57=detections[],IF(detections[is active]="yes",1,0),0))&gt;0,SUM(IF($C57=detections[],IF(detections[is active]="yes",1,0),0)),"")</f>
        <v/>
      </c>
      <c r="J57" s="74">
        <f t="array" ref="J5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7" s="74">
        <f>IF(AND(ISNUMBER(techniques[[#This Row],[number of sub techniques]]),techniques[[#This Row],[number of sub techniques]]&gt;1),techniques[number of sub techniques],1)</f>
        <v/>
      </c>
      <c r="L57" s="72" t="n"/>
      <c r="M57" s="74">
        <f t="array" ref="M5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7" s="26">
        <f>IF(techniques[[#This Row],[detection rules]]&gt;=techniques[[#This Row],[expected detection rules]],1,techniques[[#This Row],[detection rules]]/techniques[[#This Row],[expected detection rules]])</f>
        <v/>
      </c>
      <c r="P5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7" s="29">
        <f>IF(ISERROR(SEARCH(techniques[[#This Row],[id]],techniques[[#This Row],[name]])),"ERROR","")</f>
        <v/>
      </c>
      <c r="S5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8" ht="12.75" customHeight="1">
      <c r="A58" s="74" t="inlineStr">
        <is>
          <t>T1027</t>
        </is>
      </c>
      <c r="B58" s="74" t="inlineStr">
        <is>
          <t>T1027.018</t>
        </is>
      </c>
      <c r="C58" s="13" t="inlineStr">
        <is>
          <t>Invisible Unicode (T1027.018)</t>
        </is>
      </c>
      <c r="D58" s="13" t="inlineStr">
        <is>
          <t>stealth</t>
        </is>
      </c>
      <c r="E58" s="13" t="inlineStr">
        <is>
          <t>Command: Command Execution|File: File Access|File: File Creation|File: File Metadata|Module: Module Load|Network Traffic: Network Connection Creation|Process: Process Creation|Script: Script Execution</t>
        </is>
      </c>
      <c r="F58" s="74" t="n">
        <v>8</v>
      </c>
      <c r="G58" s="72">
        <f t="array" ref="G58">SUM(IF(ISERROR(FIND(sources[data source],techniques[[#This Row],[data sources]])),0,1)*IF(sources[available]="yes",1,0))</f>
        <v/>
      </c>
      <c r="H58" s="73">
        <f t="array" ref="H58">IF(techniques[[#This Row],[technique]]=techniques[[#This Row],[id]],SUM(IF(techniques[[#This Row],[id]]=techniques[technique],1,0))-1,"")</f>
        <v/>
      </c>
      <c r="I58" s="74">
        <f t="array" ref="I58">IF(SUM(IF($C58=detections[],IF(detections[is active]="yes",1,0),0))&gt;0,SUM(IF($C58=detections[],IF(detections[is active]="yes",1,0),0)),"")</f>
        <v/>
      </c>
      <c r="J58" s="74">
        <f t="array" ref="J5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8" s="74">
        <f>IF(AND(ISNUMBER(techniques[[#This Row],[number of sub techniques]]),techniques[[#This Row],[number of sub techniques]]&gt;1),techniques[number of sub techniques],1)</f>
        <v/>
      </c>
      <c r="L58" s="72" t="n"/>
      <c r="M58" s="74">
        <f t="array" ref="M5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8" s="26">
        <f>IF(techniques[[#This Row],[detection rules]]&gt;=techniques[[#This Row],[expected detection rules]],1,techniques[[#This Row],[detection rules]]/techniques[[#This Row],[expected detection rules]])</f>
        <v/>
      </c>
      <c r="P5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8" s="29">
        <f>IF(ISERROR(SEARCH(techniques[[#This Row],[id]],techniques[[#This Row],[name]])),"ERROR","")</f>
        <v/>
      </c>
      <c r="S5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9" ht="12.75" customHeight="1">
      <c r="A59" s="74" t="inlineStr">
        <is>
          <t>T1029</t>
        </is>
      </c>
      <c r="B59" s="74" t="inlineStr">
        <is>
          <t>T1029</t>
        </is>
      </c>
      <c r="C59" s="13" t="inlineStr">
        <is>
          <t>Scheduled Transfer (T1029)</t>
        </is>
      </c>
      <c r="D59" s="13" t="inlineStr">
        <is>
          <t>exfiltration</t>
        </is>
      </c>
      <c r="E59" s="13" t="inlineStr">
        <is>
          <t>Network Traffic: Network Connection Creation|Network Traffic: Network Traffic Flow|Process: Process Creation|Scheduled Job: Scheduled Job Metadata</t>
        </is>
      </c>
      <c r="F59" s="74" t="n">
        <v>4</v>
      </c>
      <c r="G59" s="72">
        <f t="array" ref="G59">SUM(IF(ISERROR(FIND(sources[data source],techniques[[#This Row],[data sources]])),0,1)*IF(sources[available]="yes",1,0))</f>
        <v/>
      </c>
      <c r="H59" s="73">
        <f t="array" ref="H59">IF(techniques[[#This Row],[technique]]=techniques[[#This Row],[id]],SUM(IF(techniques[[#This Row],[id]]=techniques[technique],1,0))-1,"")</f>
        <v/>
      </c>
      <c r="I59" s="74">
        <f t="array" ref="I59">IF(SUM(IF($C59=detections[],IF(detections[is active]="yes",1,0),0))&gt;0,SUM(IF($C59=detections[],IF(detections[is active]="yes",1,0),0)),"")</f>
        <v/>
      </c>
      <c r="J59" s="74">
        <f t="array" ref="J5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9" s="74">
        <f>IF(AND(ISNUMBER(techniques[[#This Row],[number of sub techniques]]),techniques[[#This Row],[number of sub techniques]]&gt;1),techniques[number of sub techniques],1)</f>
        <v/>
      </c>
      <c r="L59" s="72" t="n"/>
      <c r="M59" s="74">
        <f t="array" ref="M5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9" s="26">
        <f>IF(techniques[[#This Row],[detection rules]]&gt;=techniques[[#This Row],[expected detection rules]],1,techniques[[#This Row],[detection rules]]/techniques[[#This Row],[expected detection rules]])</f>
        <v/>
      </c>
      <c r="P5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9" s="29">
        <f>IF(ISERROR(SEARCH(techniques[[#This Row],[id]],techniques[[#This Row],[name]])),"ERROR","")</f>
        <v/>
      </c>
      <c r="S5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0" ht="12.75" customHeight="1">
      <c r="A60" s="74" t="inlineStr">
        <is>
          <t>T1030</t>
        </is>
      </c>
      <c r="B60" s="74" t="inlineStr">
        <is>
          <t>T1030</t>
        </is>
      </c>
      <c r="C60" s="13" t="inlineStr">
        <is>
          <t>Data Transfer Size Limits (T1030)</t>
        </is>
      </c>
      <c r="D60" s="13" t="inlineStr">
        <is>
          <t>exfiltration</t>
        </is>
      </c>
      <c r="E60" s="13" t="inlineStr">
        <is>
          <t>Network Traffic: Network Connection Creation|Network Traffic: Network Traffic Flow</t>
        </is>
      </c>
      <c r="F60" s="74" t="n">
        <v>2</v>
      </c>
      <c r="G60" s="72">
        <f t="array" ref="G60">SUM(IF(ISERROR(FIND(sources[data source],techniques[[#This Row],[data sources]])),0,1)*IF(sources[available]="yes",1,0))</f>
        <v/>
      </c>
      <c r="H60" s="73">
        <f t="array" ref="H60">IF(techniques[[#This Row],[technique]]=techniques[[#This Row],[id]],SUM(IF(techniques[[#This Row],[id]]=techniques[technique],1,0))-1,"")</f>
        <v/>
      </c>
      <c r="I60" s="74">
        <f t="array" ref="I60">IF(SUM(IF($C60=detections[],IF(detections[is active]="yes",1,0),0))&gt;0,SUM(IF($C60=detections[],IF(detections[is active]="yes",1,0),0)),"")</f>
        <v/>
      </c>
      <c r="J60" s="74">
        <f t="array" ref="J6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0" s="74">
        <f>IF(AND(ISNUMBER(techniques[[#This Row],[number of sub techniques]]),techniques[[#This Row],[number of sub techniques]]&gt;1),techniques[number of sub techniques],1)</f>
        <v/>
      </c>
      <c r="L60" s="72" t="n"/>
      <c r="M60" s="74">
        <f t="array" ref="M6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0" s="26">
        <f>IF(techniques[[#This Row],[detection rules]]&gt;=techniques[[#This Row],[expected detection rules]],1,techniques[[#This Row],[detection rules]]/techniques[[#This Row],[expected detection rules]])</f>
        <v/>
      </c>
      <c r="P6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0" s="29">
        <f>IF(ISERROR(SEARCH(techniques[[#This Row],[id]],techniques[[#This Row],[name]])),"ERROR","")</f>
        <v/>
      </c>
      <c r="S6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1" ht="12.75" customHeight="1">
      <c r="A61" s="74" t="inlineStr">
        <is>
          <t>T1033</t>
        </is>
      </c>
      <c r="B61" s="74" t="inlineStr">
        <is>
          <t>T1033</t>
        </is>
      </c>
      <c r="C61" s="13" t="inlineStr">
        <is>
          <t>System Owner/User Discovery (T1033)</t>
        </is>
      </c>
      <c r="D61" s="13" t="inlineStr">
        <is>
          <t>discovery</t>
        </is>
      </c>
      <c r="E61" s="13" t="inlineStr">
        <is>
          <t>Command: Command Execution|Process: OS API Execution|Process: Process Creation</t>
        </is>
      </c>
      <c r="F61" s="74" t="n">
        <v>3</v>
      </c>
      <c r="G61" s="72">
        <f t="array" ref="G61">SUM(IF(ISERROR(FIND(sources[data source],techniques[[#This Row],[data sources]])),0,1)*IF(sources[available]="yes",1,0))</f>
        <v/>
      </c>
      <c r="H61" s="73">
        <f t="array" ref="H61">IF(techniques[[#This Row],[technique]]=techniques[[#This Row],[id]],SUM(IF(techniques[[#This Row],[id]]=techniques[technique],1,0))-1,"")</f>
        <v/>
      </c>
      <c r="I61" s="74">
        <f t="array" ref="I61">IF(SUM(IF($C61=detections[],IF(detections[is active]="yes",1,0),0))&gt;0,SUM(IF($C61=detections[],IF(detections[is active]="yes",1,0),0)),"")</f>
        <v/>
      </c>
      <c r="J61" s="74">
        <f t="array" ref="J6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1" s="74">
        <f>IF(AND(ISNUMBER(techniques[[#This Row],[number of sub techniques]]),techniques[[#This Row],[number of sub techniques]]&gt;1),techniques[number of sub techniques],1)</f>
        <v/>
      </c>
      <c r="L61" s="72" t="n"/>
      <c r="M61" s="74">
        <f t="array" ref="M6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1" s="26">
        <f>IF(techniques[[#This Row],[detection rules]]&gt;=techniques[[#This Row],[expected detection rules]],1,techniques[[#This Row],[detection rules]]/techniques[[#This Row],[expected detection rules]])</f>
        <v/>
      </c>
      <c r="P6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1" s="29">
        <f>IF(ISERROR(SEARCH(techniques[[#This Row],[id]],techniques[[#This Row],[name]])),"ERROR","")</f>
        <v/>
      </c>
      <c r="S6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2" ht="12.75" customHeight="1">
      <c r="A62" s="74" t="inlineStr">
        <is>
          <t>T1036</t>
        </is>
      </c>
      <c r="B62" s="74" t="inlineStr">
        <is>
          <t>T1036</t>
        </is>
      </c>
      <c r="C62" s="13" t="inlineStr">
        <is>
          <t>Masquerading (T1036)</t>
        </is>
      </c>
      <c r="D62" s="13" t="inlineStr">
        <is>
          <t>stealth</t>
        </is>
      </c>
      <c r="E62" s="13" t="inlineStr">
        <is>
          <t>Command: Command Execution|File: File Metadata|File: File Modification|Image: Image Metadata|Process: Process Creation|Process: Process Metadata|Service: Service Creation|Service: Service Metadata</t>
        </is>
      </c>
      <c r="F62" s="74" t="n">
        <v>8</v>
      </c>
      <c r="G62" s="72">
        <f t="array" ref="G62">SUM(IF(ISERROR(FIND(sources[data source],techniques[[#This Row],[data sources]])),0,1)*IF(sources[available]="yes",1,0))</f>
        <v/>
      </c>
      <c r="H62" s="73">
        <f t="array" ref="H62">IF(techniques[[#This Row],[technique]]=techniques[[#This Row],[id]],SUM(IF(techniques[[#This Row],[id]]=techniques[technique],1,0))-1,"")</f>
        <v/>
      </c>
      <c r="I62" s="74">
        <f t="array" ref="I62">IF(SUM(IF($C62=detections[],IF(detections[is active]="yes",1,0),0))&gt;0,SUM(IF($C62=detections[],IF(detections[is active]="yes",1,0),0)),"")</f>
        <v/>
      </c>
      <c r="J62" s="74">
        <f t="array" ref="J6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2" s="74">
        <f>IF(AND(ISNUMBER(techniques[[#This Row],[number of sub techniques]]),techniques[[#This Row],[number of sub techniques]]&gt;1),techniques[number of sub techniques],1)</f>
        <v/>
      </c>
      <c r="L62" s="72" t="n"/>
      <c r="M62" s="74">
        <f t="array" ref="M6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2" s="26">
        <f>IF(techniques[[#This Row],[detection rules]]&gt;=techniques[[#This Row],[expected detection rules]],1,techniques[[#This Row],[detection rules]]/techniques[[#This Row],[expected detection rules]])</f>
        <v/>
      </c>
      <c r="P6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2" s="29">
        <f>IF(ISERROR(SEARCH(techniques[[#This Row],[id]],techniques[[#This Row],[name]])),"ERROR","")</f>
        <v/>
      </c>
      <c r="S6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3" ht="12.75" customHeight="1">
      <c r="A63" s="74" t="inlineStr">
        <is>
          <t>T1036</t>
        </is>
      </c>
      <c r="B63" s="74" t="inlineStr">
        <is>
          <t>T1036.001</t>
        </is>
      </c>
      <c r="C63" s="13" t="inlineStr">
        <is>
          <t>Invalid Code Signature (T1036.001)</t>
        </is>
      </c>
      <c r="D63" s="13" t="inlineStr">
        <is>
          <t>stealth</t>
        </is>
      </c>
      <c r="E63" s="13" t="inlineStr">
        <is>
          <t>Command: Command Execution|File: File Metadata|File: File Modification|Process: Process Creation</t>
        </is>
      </c>
      <c r="F63" s="74" t="n">
        <v>4</v>
      </c>
      <c r="G63" s="72">
        <f t="array" ref="G63">SUM(IF(ISERROR(FIND(sources[data source],techniques[[#This Row],[data sources]])),0,1)*IF(sources[available]="yes",1,0))</f>
        <v/>
      </c>
      <c r="H63" s="73">
        <f t="array" ref="H63">IF(techniques[[#This Row],[technique]]=techniques[[#This Row],[id]],SUM(IF(techniques[[#This Row],[id]]=techniques[technique],1,0))-1,"")</f>
        <v/>
      </c>
      <c r="I63" s="74">
        <f t="array" ref="I63">IF(SUM(IF($C63=detections[],IF(detections[is active]="yes",1,0),0))&gt;0,SUM(IF($C63=detections[],IF(detections[is active]="yes",1,0),0)),"")</f>
        <v/>
      </c>
      <c r="J63" s="74">
        <f t="array" ref="J6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3" s="74">
        <f>IF(AND(ISNUMBER(techniques[[#This Row],[number of sub techniques]]),techniques[[#This Row],[number of sub techniques]]&gt;1),techniques[number of sub techniques],1)</f>
        <v/>
      </c>
      <c r="L63" s="72" t="n"/>
      <c r="M63" s="74">
        <f t="array" ref="M6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3" s="26">
        <f>IF(techniques[[#This Row],[detection rules]]&gt;=techniques[[#This Row],[expected detection rules]],1,techniques[[#This Row],[detection rules]]/techniques[[#This Row],[expected detection rules]])</f>
        <v/>
      </c>
      <c r="P6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3" s="29">
        <f>IF(ISERROR(SEARCH(techniques[[#This Row],[id]],techniques[[#This Row],[name]])),"ERROR","")</f>
        <v/>
      </c>
      <c r="S6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4" ht="12.75" customHeight="1">
      <c r="A64" s="74" t="inlineStr">
        <is>
          <t>T1036</t>
        </is>
      </c>
      <c r="B64" s="74" t="inlineStr">
        <is>
          <t>T1036.002</t>
        </is>
      </c>
      <c r="C64" s="13" t="inlineStr">
        <is>
          <t>Right-to-Left Override (T1036.002)</t>
        </is>
      </c>
      <c r="D64" s="13" t="inlineStr">
        <is>
          <t>stealth</t>
        </is>
      </c>
      <c r="E64" s="13" t="inlineStr">
        <is>
          <t>Command: Command Execution|File: File Access|File: File Metadata|Process: Process Creation</t>
        </is>
      </c>
      <c r="F64" s="74" t="n">
        <v>4</v>
      </c>
      <c r="G64" s="72">
        <f t="array" ref="G64">SUM(IF(ISERROR(FIND(sources[data source],techniques[[#This Row],[data sources]])),0,1)*IF(sources[available]="yes",1,0))</f>
        <v/>
      </c>
      <c r="H64" s="73">
        <f t="array" ref="H64">IF(techniques[[#This Row],[technique]]=techniques[[#This Row],[id]],SUM(IF(techniques[[#This Row],[id]]=techniques[technique],1,0))-1,"")</f>
        <v/>
      </c>
      <c r="I64" s="74">
        <f t="array" ref="I64">IF(SUM(IF($C64=detections[],IF(detections[is active]="yes",1,0),0))&gt;0,SUM(IF($C64=detections[],IF(detections[is active]="yes",1,0),0)),"")</f>
        <v/>
      </c>
      <c r="J64" s="74">
        <f t="array" ref="J6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4" s="74">
        <f>IF(AND(ISNUMBER(techniques[[#This Row],[number of sub techniques]]),techniques[[#This Row],[number of sub techniques]]&gt;1),techniques[number of sub techniques],1)</f>
        <v/>
      </c>
      <c r="L64" s="72" t="n"/>
      <c r="M64" s="74">
        <f t="array" ref="M6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4" s="26">
        <f>IF(techniques[[#This Row],[detection rules]]&gt;=techniques[[#This Row],[expected detection rules]],1,techniques[[#This Row],[detection rules]]/techniques[[#This Row],[expected detection rules]])</f>
        <v/>
      </c>
      <c r="P6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4" s="29">
        <f>IF(ISERROR(SEARCH(techniques[[#This Row],[id]],techniques[[#This Row],[name]])),"ERROR","")</f>
        <v/>
      </c>
      <c r="S6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5" ht="12.75" customHeight="1">
      <c r="A65" s="74" t="inlineStr">
        <is>
          <t>T1036</t>
        </is>
      </c>
      <c r="B65" s="74" t="inlineStr">
        <is>
          <t>T1036.003</t>
        </is>
      </c>
      <c r="C65" s="13" t="inlineStr">
        <is>
          <t>Rename Legitimate Utilities (T1036.003)</t>
        </is>
      </c>
      <c r="D65" s="13" t="inlineStr">
        <is>
          <t>stealth</t>
        </is>
      </c>
      <c r="E65" s="13" t="inlineStr">
        <is>
          <t>Command: Command Execution|File: File Creation|File: File Metadata|File: File Modification|Process: Process Creation|Process: Process Metadata</t>
        </is>
      </c>
      <c r="F65" s="74" t="n">
        <v>6</v>
      </c>
      <c r="G65" s="72">
        <f t="array" ref="G65">SUM(IF(ISERROR(FIND(sources[data source],techniques[[#This Row],[data sources]])),0,1)*IF(sources[available]="yes",1,0))</f>
        <v/>
      </c>
      <c r="H65" s="73">
        <f t="array" ref="H65">IF(techniques[[#This Row],[technique]]=techniques[[#This Row],[id]],SUM(IF(techniques[[#This Row],[id]]=techniques[technique],1,0))-1,"")</f>
        <v/>
      </c>
      <c r="I65" s="74">
        <f t="array" ref="I65">IF(SUM(IF($C65=detections[],IF(detections[is active]="yes",1,0),0))&gt;0,SUM(IF($C65=detections[],IF(detections[is active]="yes",1,0),0)),"")</f>
        <v/>
      </c>
      <c r="J65" s="74">
        <f t="array" ref="J6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5" s="74">
        <f>IF(AND(ISNUMBER(techniques[[#This Row],[number of sub techniques]]),techniques[[#This Row],[number of sub techniques]]&gt;1),techniques[number of sub techniques],1)</f>
        <v/>
      </c>
      <c r="L65" s="72" t="n"/>
      <c r="M65" s="74">
        <f t="array" ref="M6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5" s="26">
        <f>IF(techniques[[#This Row],[detection rules]]&gt;=techniques[[#This Row],[expected detection rules]],1,techniques[[#This Row],[detection rules]]/techniques[[#This Row],[expected detection rules]])</f>
        <v/>
      </c>
      <c r="P6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5" s="29">
        <f>IF(ISERROR(SEARCH(techniques[[#This Row],[id]],techniques[[#This Row],[name]])),"ERROR","")</f>
        <v/>
      </c>
      <c r="S6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6" ht="12.75" customHeight="1">
      <c r="A66" s="74" t="inlineStr">
        <is>
          <t>T1036</t>
        </is>
      </c>
      <c r="B66" s="74" t="inlineStr">
        <is>
          <t>T1036.004</t>
        </is>
      </c>
      <c r="C66" s="13" t="inlineStr">
        <is>
          <t>Masquerade Task or Service (T1036.004)</t>
        </is>
      </c>
      <c r="D66" s="13" t="inlineStr">
        <is>
          <t>stealth</t>
        </is>
      </c>
      <c r="E66" s="13" t="inlineStr">
        <is>
          <t>Process: Process Creation|Scheduled Job: Scheduled Job Creation|Scheduled Job: Scheduled Job Metadata|Scheduled Job: Scheduled Job Modification|Service: Service Creation|Service: Service Metadata</t>
        </is>
      </c>
      <c r="F66" s="74" t="n">
        <v>6</v>
      </c>
      <c r="G66" s="72">
        <f t="array" ref="G66">SUM(IF(ISERROR(FIND(sources[data source],techniques[[#This Row],[data sources]])),0,1)*IF(sources[available]="yes",1,0))</f>
        <v/>
      </c>
      <c r="H66" s="73">
        <f t="array" ref="H66">IF(techniques[[#This Row],[technique]]=techniques[[#This Row],[id]],SUM(IF(techniques[[#This Row],[id]]=techniques[technique],1,0))-1,"")</f>
        <v/>
      </c>
      <c r="I66" s="74">
        <f t="array" ref="I66">IF(SUM(IF($C66=detections[],IF(detections[is active]="yes",1,0),0))&gt;0,SUM(IF($C66=detections[],IF(detections[is active]="yes",1,0),0)),"")</f>
        <v/>
      </c>
      <c r="J66" s="74">
        <f t="array" ref="J6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6" s="74">
        <f>IF(AND(ISNUMBER(techniques[[#This Row],[number of sub techniques]]),techniques[[#This Row],[number of sub techniques]]&gt;1),techniques[number of sub techniques],1)</f>
        <v/>
      </c>
      <c r="L66" s="72" t="n"/>
      <c r="M66" s="74">
        <f t="array" ref="M6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6" s="26">
        <f>IF(techniques[[#This Row],[detection rules]]&gt;=techniques[[#This Row],[expected detection rules]],1,techniques[[#This Row],[detection rules]]/techniques[[#This Row],[expected detection rules]])</f>
        <v/>
      </c>
      <c r="P6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6" s="29">
        <f>IF(ISERROR(SEARCH(techniques[[#This Row],[id]],techniques[[#This Row],[name]])),"ERROR","")</f>
        <v/>
      </c>
      <c r="S6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7" ht="12.75" customHeight="1">
      <c r="A67" s="74" t="inlineStr">
        <is>
          <t>T1036</t>
        </is>
      </c>
      <c r="B67" s="74" t="inlineStr">
        <is>
          <t>T1036.005</t>
        </is>
      </c>
      <c r="C67" s="13" t="inlineStr">
        <is>
          <t>Match Legitimate Resource Name or Location (T1036.005)</t>
        </is>
      </c>
      <c r="D67" s="13" t="inlineStr">
        <is>
          <t>stealth</t>
        </is>
      </c>
      <c r="E67" s="13" t="inlineStr">
        <is>
          <t>File: File Access|File: File Creation|File: File Metadata|Image: Image Metadata|Module: Module Load|Process: Process Creation|Process: Process Metadata|Process: Process Modification|Scheduled Job: Scheduled Job Creation|Service: Service Metadata</t>
        </is>
      </c>
      <c r="F67" s="74" t="n">
        <v>10</v>
      </c>
      <c r="G67" s="72">
        <f t="array" ref="G67">SUM(IF(ISERROR(FIND(sources[data source],techniques[[#This Row],[data sources]])),0,1)*IF(sources[available]="yes",1,0))</f>
        <v/>
      </c>
      <c r="H67" s="73">
        <f t="array" ref="H67">IF(techniques[[#This Row],[technique]]=techniques[[#This Row],[id]],SUM(IF(techniques[[#This Row],[id]]=techniques[technique],1,0))-1,"")</f>
        <v/>
      </c>
      <c r="I67" s="74">
        <f t="array" ref="I67">IF(SUM(IF($C67=detections[],IF(detections[is active]="yes",1,0),0))&gt;0,SUM(IF($C67=detections[],IF(detections[is active]="yes",1,0),0)),"")</f>
        <v/>
      </c>
      <c r="J67" s="74">
        <f t="array" ref="J6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7" s="74">
        <f>IF(AND(ISNUMBER(techniques[[#This Row],[number of sub techniques]]),techniques[[#This Row],[number of sub techniques]]&gt;1),techniques[number of sub techniques],1)</f>
        <v/>
      </c>
      <c r="L67" s="72" t="n"/>
      <c r="M67" s="74">
        <f t="array" ref="M6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7" s="26">
        <f>IF(techniques[[#This Row],[detection rules]]&gt;=techniques[[#This Row],[expected detection rules]],1,techniques[[#This Row],[detection rules]]/techniques[[#This Row],[expected detection rules]])</f>
        <v/>
      </c>
      <c r="P6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7" s="29">
        <f>IF(ISERROR(SEARCH(techniques[[#This Row],[id]],techniques[[#This Row],[name]])),"ERROR","")</f>
        <v/>
      </c>
      <c r="S6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8" ht="12.75" customHeight="1">
      <c r="A68" s="74" t="inlineStr">
        <is>
          <t>T1036</t>
        </is>
      </c>
      <c r="B68" s="74" t="inlineStr">
        <is>
          <t>T1036.006</t>
        </is>
      </c>
      <c r="C68" s="13" t="inlineStr">
        <is>
          <t>Space after Filename (T1036.006)</t>
        </is>
      </c>
      <c r="D68" s="13" t="inlineStr">
        <is>
          <t>stealth</t>
        </is>
      </c>
      <c r="E68" s="13" t="inlineStr">
        <is>
          <t>File: File Access|File: File Metadata|Process: Process Creation</t>
        </is>
      </c>
      <c r="F68" s="74" t="n">
        <v>3</v>
      </c>
      <c r="G68" s="72">
        <f t="array" ref="G68">SUM(IF(ISERROR(FIND(sources[data source],techniques[[#This Row],[data sources]])),0,1)*IF(sources[available]="yes",1,0))</f>
        <v/>
      </c>
      <c r="H68" s="73">
        <f t="array" ref="H68">IF(techniques[[#This Row],[technique]]=techniques[[#This Row],[id]],SUM(IF(techniques[[#This Row],[id]]=techniques[technique],1,0))-1,"")</f>
        <v/>
      </c>
      <c r="I68" s="74">
        <f t="array" ref="I68">IF(SUM(IF($C68=detections[],IF(detections[is active]="yes",1,0),0))&gt;0,SUM(IF($C68=detections[],IF(detections[is active]="yes",1,0),0)),"")</f>
        <v/>
      </c>
      <c r="J68" s="74">
        <f t="array" ref="J6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8" s="74">
        <f>IF(AND(ISNUMBER(techniques[[#This Row],[number of sub techniques]]),techniques[[#This Row],[number of sub techniques]]&gt;1),techniques[number of sub techniques],1)</f>
        <v/>
      </c>
      <c r="L68" s="72" t="n"/>
      <c r="M68" s="74">
        <f t="array" ref="M6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8" s="26">
        <f>IF(techniques[[#This Row],[detection rules]]&gt;=techniques[[#This Row],[expected detection rules]],1,techniques[[#This Row],[detection rules]]/techniques[[#This Row],[expected detection rules]])</f>
        <v/>
      </c>
      <c r="P6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8" s="29">
        <f>IF(ISERROR(SEARCH(techniques[[#This Row],[id]],techniques[[#This Row],[name]])),"ERROR","")</f>
        <v/>
      </c>
      <c r="S6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9" ht="12.75" customHeight="1">
      <c r="A69" s="74" t="inlineStr">
        <is>
          <t>T1036</t>
        </is>
      </c>
      <c r="B69" s="74" t="inlineStr">
        <is>
          <t>T1036.007</t>
        </is>
      </c>
      <c r="C69" s="13" t="inlineStr">
        <is>
          <t>Double File Extension (T1036.007)</t>
        </is>
      </c>
      <c r="D69" s="13" t="inlineStr">
        <is>
          <t>stealth</t>
        </is>
      </c>
      <c r="E69" s="13" t="inlineStr">
        <is>
          <t>File: File Creation|Process: Process Creation</t>
        </is>
      </c>
      <c r="F69" s="74" t="n">
        <v>2</v>
      </c>
      <c r="G69" s="72">
        <f t="array" ref="G69">SUM(IF(ISERROR(FIND(sources[data source],techniques[[#This Row],[data sources]])),0,1)*IF(sources[available]="yes",1,0))</f>
        <v/>
      </c>
      <c r="H69" s="73">
        <f t="array" ref="H69">IF(techniques[[#This Row],[technique]]=techniques[[#This Row],[id]],SUM(IF(techniques[[#This Row],[id]]=techniques[technique],1,0))-1,"")</f>
        <v/>
      </c>
      <c r="I69" s="74">
        <f t="array" ref="I69">IF(SUM(IF($C69=detections[],IF(detections[is active]="yes",1,0),0))&gt;0,SUM(IF($C69=detections[],IF(detections[is active]="yes",1,0),0)),"")</f>
        <v/>
      </c>
      <c r="J69" s="74">
        <f t="array" ref="J6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9" s="74">
        <f>IF(AND(ISNUMBER(techniques[[#This Row],[number of sub techniques]]),techniques[[#This Row],[number of sub techniques]]&gt;1),techniques[number of sub techniques],1)</f>
        <v/>
      </c>
      <c r="L69" s="72" t="n"/>
      <c r="M69" s="74">
        <f t="array" ref="M6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9" s="26">
        <f>IF(techniques[[#This Row],[detection rules]]&gt;=techniques[[#This Row],[expected detection rules]],1,techniques[[#This Row],[detection rules]]/techniques[[#This Row],[expected detection rules]])</f>
        <v/>
      </c>
      <c r="P6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9" s="29">
        <f>IF(ISERROR(SEARCH(techniques[[#This Row],[id]],techniques[[#This Row],[name]])),"ERROR","")</f>
        <v/>
      </c>
      <c r="S6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70" ht="12.75" customHeight="1">
      <c r="A70" s="74" t="inlineStr">
        <is>
          <t>T1036</t>
        </is>
      </c>
      <c r="B70" s="74" t="inlineStr">
        <is>
          <t>T1036.008</t>
        </is>
      </c>
      <c r="C70" s="13" t="inlineStr">
        <is>
          <t>Masquerade File Type (T1036.008)</t>
        </is>
      </c>
      <c r="D70" s="13" t="inlineStr">
        <is>
          <t>stealth</t>
        </is>
      </c>
      <c r="E70" s="13" t="inlineStr">
        <is>
          <t>File: File Creation|File: File Metadata|Process: Process Creation</t>
        </is>
      </c>
      <c r="F70" s="74" t="n">
        <v>3</v>
      </c>
      <c r="G70" s="72">
        <f t="array" ref="G70">SUM(IF(ISERROR(FIND(sources[data source],techniques[[#This Row],[data sources]])),0,1)*IF(sources[available]="yes",1,0))</f>
        <v/>
      </c>
      <c r="H70" s="73">
        <f t="array" ref="H70">IF(techniques[[#This Row],[technique]]=techniques[[#This Row],[id]],SUM(IF(techniques[[#This Row],[id]]=techniques[technique],1,0))-1,"")</f>
        <v/>
      </c>
      <c r="I70" s="74">
        <f t="array" ref="I70">IF(SUM(IF($C70=detections[],IF(detections[is active]="yes",1,0),0))&gt;0,SUM(IF($C70=detections[],IF(detections[is active]="yes",1,0),0)),"")</f>
        <v/>
      </c>
      <c r="J70" s="74">
        <f t="array" ref="J7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70" s="74">
        <f>IF(AND(ISNUMBER(techniques[[#This Row],[number of sub techniques]]),techniques[[#This Row],[number of sub techniques]]&gt;1),techniques[number of sub techniques],1)</f>
        <v/>
      </c>
      <c r="L70" s="72" t="n"/>
      <c r="M70" s="74">
        <f t="array" ref="M7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7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70" s="26">
        <f>IF(techniques[[#This Row],[detection rules]]&gt;=techniques[[#This Row],[expected detection rules]],1,techniques[[#This Row],[detection rules]]/techniques[[#This Row],[expected detection rules]])</f>
        <v/>
      </c>
      <c r="P7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70" s="29">
        <f>IF(ISERROR(SEARCH(techniques[[#This Row],[id]],techniques[[#This Row],[name]])),"ERROR","")</f>
        <v/>
      </c>
      <c r="S7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71" ht="12.75" customHeight="1">
      <c r="A71" s="74" t="inlineStr">
        <is>
          <t>T1036</t>
        </is>
      </c>
      <c r="B71" s="74" t="inlineStr">
        <is>
          <t>T1036.009</t>
        </is>
      </c>
      <c r="C71" s="13" t="inlineStr">
        <is>
          <t>Break Process Trees (T1036.009)</t>
        </is>
      </c>
      <c r="D71" s="13" t="inlineStr">
        <is>
          <t>stealth</t>
        </is>
      </c>
      <c r="E71" s="13" t="inlineStr">
        <is>
          <t>Process: OS API Execution|Process: Process Creation</t>
        </is>
      </c>
      <c r="F71" s="74" t="n">
        <v>2</v>
      </c>
      <c r="G71" s="72">
        <f t="array" ref="G71">SUM(IF(ISERROR(FIND(sources[data source],techniques[[#This Row],[data sources]])),0,1)*IF(sources[available]="yes",1,0))</f>
        <v/>
      </c>
      <c r="H71" s="73">
        <f t="array" ref="H71">IF(techniques[[#This Row],[technique]]=techniques[[#This Row],[id]],SUM(IF(techniques[[#This Row],[id]]=techniques[technique],1,0))-1,"")</f>
        <v/>
      </c>
      <c r="I71" s="74">
        <f t="array" ref="I71">IF(SUM(IF($C71=detections[],IF(detections[is active]="yes",1,0),0))&gt;0,SUM(IF($C71=detections[],IF(detections[is active]="yes",1,0),0)),"")</f>
        <v/>
      </c>
      <c r="J71" s="74">
        <f t="array" ref="J7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71" s="74">
        <f>IF(AND(ISNUMBER(techniques[[#This Row],[number of sub techniques]]),techniques[[#This Row],[number of sub techniques]]&gt;1),techniques[number of sub techniques],1)</f>
        <v/>
      </c>
      <c r="L71" s="72" t="n"/>
      <c r="M71" s="74">
        <f t="array" ref="M7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7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71" s="26">
        <f>IF(techniques[[#This Row],[detection rules]]&gt;=techniques[[#This Row],[expected detection rules]],1,techniques[[#This Row],[detection rules]]/techniques[[#This Row],[expected detection rules]])</f>
        <v/>
      </c>
      <c r="P7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71" s="29">
        <f>IF(ISERROR(SEARCH(techniques[[#This Row],[id]],techniques[[#This Row],[name]])),"ERROR","")</f>
        <v/>
      </c>
      <c r="S7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72" ht="12.75" customHeight="1">
      <c r="A72" s="74" t="inlineStr">
        <is>
          <t>T1036</t>
        </is>
      </c>
      <c r="B72" s="74" t="inlineStr">
        <is>
          <t>T1036.010</t>
        </is>
      </c>
      <c r="C72" s="13" t="inlineStr">
        <is>
          <t>Masquerade Account Name (T1036.010)</t>
        </is>
      </c>
      <c r="D72" s="13" t="inlineStr">
        <is>
          <t>stealth</t>
        </is>
      </c>
      <c r="E72" s="13" t="inlineStr">
        <is>
          <t>User Account: User Account Creation|User Account: User Account Metadata|User Account: User Account Modification</t>
        </is>
      </c>
      <c r="F72" s="74" t="n">
        <v>3</v>
      </c>
      <c r="G72" s="72">
        <f t="array" ref="G72">SUM(IF(ISERROR(FIND(sources[data source],techniques[[#This Row],[data sources]])),0,1)*IF(sources[available]="yes",1,0))</f>
        <v/>
      </c>
      <c r="H72" s="73">
        <f t="array" ref="H72">IF(techniques[[#This Row],[technique]]=techniques[[#This Row],[id]],SUM(IF(techniques[[#This Row],[id]]=techniques[technique],1,0))-1,"")</f>
        <v/>
      </c>
      <c r="I72" s="74">
        <f t="array" ref="I72">IF(SUM(IF($C72=detections[],IF(detections[is active]="yes",1,0),0))&gt;0,SUM(IF($C72=detections[],IF(detections[is active]="yes",1,0),0)),"")</f>
        <v/>
      </c>
      <c r="J72" s="74">
        <f t="array" ref="J7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72" s="74">
        <f>IF(AND(ISNUMBER(techniques[[#This Row],[number of sub techniques]]),techniques[[#This Row],[number of sub techniques]]&gt;1),techniques[number of sub techniques],1)</f>
        <v/>
      </c>
      <c r="L72" s="72" t="n"/>
      <c r="M72" s="74">
        <f t="array" ref="M7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7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72" s="26">
        <f>IF(techniques[[#This Row],[detection rules]]&gt;=techniques[[#This Row],[expected detection rules]],1,techniques[[#This Row],[detection rules]]/techniques[[#This Row],[expected detection rules]])</f>
        <v/>
      </c>
      <c r="P7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72" s="29">
        <f>IF(ISERROR(SEARCH(techniques[[#This Row],[id]],techniques[[#This Row],[name]])),"ERROR","")</f>
        <v/>
      </c>
      <c r="S7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73" ht="12.75" customHeight="1">
      <c r="A73" s="74" t="inlineStr">
        <is>
          <t>T1036</t>
        </is>
      </c>
      <c r="B73" s="74" t="inlineStr">
        <is>
          <t>T1036.011</t>
        </is>
      </c>
      <c r="C73" s="13" t="inlineStr">
        <is>
          <t>Overwrite Process Arguments (T1036.011)</t>
        </is>
      </c>
      <c r="D73" s="13" t="inlineStr">
        <is>
          <t>stealth</t>
        </is>
      </c>
      <c r="E73" s="13" t="inlineStr">
        <is>
          <t>Process: Process Metadata|Process: Process Modification</t>
        </is>
      </c>
      <c r="F73" s="74" t="n">
        <v>2</v>
      </c>
      <c r="G73" s="72">
        <f t="array" ref="G73">SUM(IF(ISERROR(FIND(sources[data source],techniques[[#This Row],[data sources]])),0,1)*IF(sources[available]="yes",1,0))</f>
        <v/>
      </c>
      <c r="H73" s="73">
        <f t="array" ref="H73">IF(techniques[[#This Row],[technique]]=techniques[[#This Row],[id]],SUM(IF(techniques[[#This Row],[id]]=techniques[technique],1,0))-1,"")</f>
        <v/>
      </c>
      <c r="I73" s="74">
        <f t="array" ref="I73">IF(SUM(IF($C73=detections[],IF(detections[is active]="yes",1,0),0))&gt;0,SUM(IF($C73=detections[],IF(detections[is active]="yes",1,0),0)),"")</f>
        <v/>
      </c>
      <c r="J73" s="74">
        <f t="array" ref="J7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73" s="74">
        <f>IF(AND(ISNUMBER(techniques[[#This Row],[number of sub techniques]]),techniques[[#This Row],[number of sub techniques]]&gt;1),techniques[number of sub techniques],1)</f>
        <v/>
      </c>
      <c r="L73" s="72" t="n"/>
      <c r="M73" s="74">
        <f t="array" ref="M7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7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73" s="26">
        <f>IF(techniques[[#This Row],[detection rules]]&gt;=techniques[[#This Row],[expected detection rules]],1,techniques[[#This Row],[detection rules]]/techniques[[#This Row],[expected detection rules]])</f>
        <v/>
      </c>
      <c r="P7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73" s="29">
        <f>IF(ISERROR(SEARCH(techniques[[#This Row],[id]],techniques[[#This Row],[name]])),"ERROR","")</f>
        <v/>
      </c>
      <c r="S7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74" ht="12.75" customHeight="1">
      <c r="A74" s="74" t="inlineStr">
        <is>
          <t>T1036</t>
        </is>
      </c>
      <c r="B74" s="74" t="inlineStr">
        <is>
          <t>T1036.012</t>
        </is>
      </c>
      <c r="C74" s="13" t="inlineStr">
        <is>
          <t>Browser Fingerprint (T1036.012)</t>
        </is>
      </c>
      <c r="D74" s="13" t="inlineStr">
        <is>
          <t>stealth</t>
        </is>
      </c>
      <c r="E74" s="13" t="inlineStr">
        <is>
          <t>Network Traffic: Network Connection Creation|Network Traffic: Network Traffic Content|Process: OS API Execution|Process: Process Creation</t>
        </is>
      </c>
      <c r="F74" s="74" t="n">
        <v>4</v>
      </c>
      <c r="G74" s="72">
        <f t="array" ref="G74">SUM(IF(ISERROR(FIND(sources[data source],techniques[[#This Row],[data sources]])),0,1)*IF(sources[available]="yes",1,0))</f>
        <v/>
      </c>
      <c r="H74" s="73">
        <f t="array" ref="H74">IF(techniques[[#This Row],[technique]]=techniques[[#This Row],[id]],SUM(IF(techniques[[#This Row],[id]]=techniques[technique],1,0))-1,"")</f>
        <v/>
      </c>
      <c r="I74" s="74">
        <f t="array" ref="I74">IF(SUM(IF($C74=detections[],IF(detections[is active]="yes",1,0),0))&gt;0,SUM(IF($C74=detections[],IF(detections[is active]="yes",1,0),0)),"")</f>
        <v/>
      </c>
      <c r="J74" s="74">
        <f t="array" ref="J7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74" s="74">
        <f>IF(AND(ISNUMBER(techniques[[#This Row],[number of sub techniques]]),techniques[[#This Row],[number of sub techniques]]&gt;1),techniques[number of sub techniques],1)</f>
        <v/>
      </c>
      <c r="L74" s="72" t="n"/>
      <c r="M74" s="74">
        <f t="array" ref="M7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7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74" s="26">
        <f>IF(techniques[[#This Row],[detection rules]]&gt;=techniques[[#This Row],[expected detection rules]],1,techniques[[#This Row],[detection rules]]/techniques[[#This Row],[expected detection rules]])</f>
        <v/>
      </c>
      <c r="P7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74" s="29">
        <f>IF(ISERROR(SEARCH(techniques[[#This Row],[id]],techniques[[#This Row],[name]])),"ERROR","")</f>
        <v/>
      </c>
      <c r="S7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75" ht="12.75" customHeight="1">
      <c r="A75" s="74" t="inlineStr">
        <is>
          <t>T1037</t>
        </is>
      </c>
      <c r="B75" s="74" t="inlineStr">
        <is>
          <t>T1037</t>
        </is>
      </c>
      <c r="C75" s="13" t="inlineStr">
        <is>
          <t>Boot or Logon Initialization Scripts (T1037)</t>
        </is>
      </c>
      <c r="D75" s="13" t="inlineStr">
        <is>
          <t>persistence|privilege-escalation</t>
        </is>
      </c>
      <c r="E75" s="13" t="inlineStr">
        <is>
          <t>File: File Access|File: File Metadata|File: File Modification|Process: Process Creation|Scheduled Job: Scheduled Job Creation|Script: Script Execution|Service: Service Metadata|Windows Registry: Windows Registry Key Modification</t>
        </is>
      </c>
      <c r="F75" s="74" t="n">
        <v>8</v>
      </c>
      <c r="G75" s="72">
        <f t="array" ref="G75">SUM(IF(ISERROR(FIND(sources[data source],techniques[[#This Row],[data sources]])),0,1)*IF(sources[available]="yes",1,0))</f>
        <v/>
      </c>
      <c r="H75" s="73">
        <f t="array" ref="H75">IF(techniques[[#This Row],[technique]]=techniques[[#This Row],[id]],SUM(IF(techniques[[#This Row],[id]]=techniques[technique],1,0))-1,"")</f>
        <v/>
      </c>
      <c r="I75" s="74">
        <f t="array" ref="I75">IF(SUM(IF($C75=detections[],IF(detections[is active]="yes",1,0),0))&gt;0,SUM(IF($C75=detections[],IF(detections[is active]="yes",1,0),0)),"")</f>
        <v/>
      </c>
      <c r="J75" s="74">
        <f t="array" ref="J7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75" s="74">
        <f>IF(AND(ISNUMBER(techniques[[#This Row],[number of sub techniques]]),techniques[[#This Row],[number of sub techniques]]&gt;1),techniques[number of sub techniques],1)</f>
        <v/>
      </c>
      <c r="L75" s="72" t="n"/>
      <c r="M75" s="74">
        <f t="array" ref="M7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7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75" s="26">
        <f>IF(techniques[[#This Row],[detection rules]]&gt;=techniques[[#This Row],[expected detection rules]],1,techniques[[#This Row],[detection rules]]/techniques[[#This Row],[expected detection rules]])</f>
        <v/>
      </c>
      <c r="P7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75" s="29">
        <f>IF(ISERROR(SEARCH(techniques[[#This Row],[id]],techniques[[#This Row],[name]])),"ERROR","")</f>
        <v/>
      </c>
      <c r="S7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76" ht="12.75" customHeight="1">
      <c r="A76" s="74" t="inlineStr">
        <is>
          <t>T1037</t>
        </is>
      </c>
      <c r="B76" s="74" t="inlineStr">
        <is>
          <t>T1037.001</t>
        </is>
      </c>
      <c r="C76" s="13" t="inlineStr">
        <is>
          <t>Logon Script (Windows) (T1037.001)</t>
        </is>
      </c>
      <c r="D76" s="13" t="inlineStr">
        <is>
          <t>persistence|privilege-escalation</t>
        </is>
      </c>
      <c r="E76" s="13" t="inlineStr">
        <is>
          <t>File: File Access|Logon Session: Logon Session Creation|Process: Process Creation|Script: Script Execution</t>
        </is>
      </c>
      <c r="F76" s="74" t="n">
        <v>4</v>
      </c>
      <c r="G76" s="72">
        <f t="array" ref="G76">SUM(IF(ISERROR(FIND(sources[data source],techniques[[#This Row],[data sources]])),0,1)*IF(sources[available]="yes",1,0))</f>
        <v/>
      </c>
      <c r="H76" s="73">
        <f t="array" ref="H76">IF(techniques[[#This Row],[technique]]=techniques[[#This Row],[id]],SUM(IF(techniques[[#This Row],[id]]=techniques[technique],1,0))-1,"")</f>
        <v/>
      </c>
      <c r="I76" s="74">
        <f t="array" ref="I76">IF(SUM(IF($C76=detections[],IF(detections[is active]="yes",1,0),0))&gt;0,SUM(IF($C76=detections[],IF(detections[is active]="yes",1,0),0)),"")</f>
        <v/>
      </c>
      <c r="J76" s="74">
        <f t="array" ref="J7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76" s="74">
        <f>IF(AND(ISNUMBER(techniques[[#This Row],[number of sub techniques]]),techniques[[#This Row],[number of sub techniques]]&gt;1),techniques[number of sub techniques],1)</f>
        <v/>
      </c>
      <c r="L76" s="72" t="n"/>
      <c r="M76" s="74">
        <f t="array" ref="M7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7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76" s="26">
        <f>IF(techniques[[#This Row],[detection rules]]&gt;=techniques[[#This Row],[expected detection rules]],1,techniques[[#This Row],[detection rules]]/techniques[[#This Row],[expected detection rules]])</f>
        <v/>
      </c>
      <c r="P7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76" s="29">
        <f>IF(ISERROR(SEARCH(techniques[[#This Row],[id]],techniques[[#This Row],[name]])),"ERROR","")</f>
        <v/>
      </c>
      <c r="S7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77" ht="12.75" customHeight="1">
      <c r="A77" s="74" t="inlineStr">
        <is>
          <t>T1037</t>
        </is>
      </c>
      <c r="B77" s="74" t="inlineStr">
        <is>
          <t>T1037.002</t>
        </is>
      </c>
      <c r="C77" s="13" t="inlineStr">
        <is>
          <t>Login Hook (T1037.002)</t>
        </is>
      </c>
      <c r="D77" s="13" t="inlineStr">
        <is>
          <t>persistence|privilege-escalation</t>
        </is>
      </c>
      <c r="E77" s="13" t="inlineStr">
        <is>
          <t>File: File Modification|Process: Process Creation</t>
        </is>
      </c>
      <c r="F77" s="74" t="n">
        <v>2</v>
      </c>
      <c r="G77" s="72">
        <f t="array" ref="G77">SUM(IF(ISERROR(FIND(sources[data source],techniques[[#This Row],[data sources]])),0,1)*IF(sources[available]="yes",1,0))</f>
        <v/>
      </c>
      <c r="H77" s="73">
        <f t="array" ref="H77">IF(techniques[[#This Row],[technique]]=techniques[[#This Row],[id]],SUM(IF(techniques[[#This Row],[id]]=techniques[technique],1,0))-1,"")</f>
        <v/>
      </c>
      <c r="I77" s="74">
        <f t="array" ref="I77">IF(SUM(IF($C77=detections[],IF(detections[is active]="yes",1,0),0))&gt;0,SUM(IF($C77=detections[],IF(detections[is active]="yes",1,0),0)),"")</f>
        <v/>
      </c>
      <c r="J77" s="74">
        <f t="array" ref="J7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77" s="74">
        <f>IF(AND(ISNUMBER(techniques[[#This Row],[number of sub techniques]]),techniques[[#This Row],[number of sub techniques]]&gt;1),techniques[number of sub techniques],1)</f>
        <v/>
      </c>
      <c r="L77" s="72" t="n"/>
      <c r="M77" s="74">
        <f t="array" ref="M7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7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77" s="26">
        <f>IF(techniques[[#This Row],[detection rules]]&gt;=techniques[[#This Row],[expected detection rules]],1,techniques[[#This Row],[detection rules]]/techniques[[#This Row],[expected detection rules]])</f>
        <v/>
      </c>
      <c r="P7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77" s="29">
        <f>IF(ISERROR(SEARCH(techniques[[#This Row],[id]],techniques[[#This Row],[name]])),"ERROR","")</f>
        <v/>
      </c>
      <c r="S7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78" ht="12.75" customHeight="1">
      <c r="A78" s="74" t="inlineStr">
        <is>
          <t>T1037</t>
        </is>
      </c>
      <c r="B78" s="74" t="inlineStr">
        <is>
          <t>T1037.003</t>
        </is>
      </c>
      <c r="C78" s="13" t="inlineStr">
        <is>
          <t>Network Logon Script (T1037.003)</t>
        </is>
      </c>
      <c r="D78" s="13" t="inlineStr">
        <is>
          <t>persistence|privilege-escalation</t>
        </is>
      </c>
      <c r="E78" s="13" t="inlineStr">
        <is>
          <t>Network Share: Network Share Access|Process: Process Creation|Script: Script Execution</t>
        </is>
      </c>
      <c r="F78" s="74" t="n">
        <v>3</v>
      </c>
      <c r="G78" s="72">
        <f t="array" ref="G78">SUM(IF(ISERROR(FIND(sources[data source],techniques[[#This Row],[data sources]])),0,1)*IF(sources[available]="yes",1,0))</f>
        <v/>
      </c>
      <c r="H78" s="73">
        <f t="array" ref="H78">IF(techniques[[#This Row],[technique]]=techniques[[#This Row],[id]],SUM(IF(techniques[[#This Row],[id]]=techniques[technique],1,0))-1,"")</f>
        <v/>
      </c>
      <c r="I78" s="74">
        <f t="array" ref="I78">IF(SUM(IF($C78=detections[],IF(detections[is active]="yes",1,0),0))&gt;0,SUM(IF($C78=detections[],IF(detections[is active]="yes",1,0),0)),"")</f>
        <v/>
      </c>
      <c r="J78" s="74">
        <f t="array" ref="J7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78" s="74">
        <f>IF(AND(ISNUMBER(techniques[[#This Row],[number of sub techniques]]),techniques[[#This Row],[number of sub techniques]]&gt;1),techniques[number of sub techniques],1)</f>
        <v/>
      </c>
      <c r="L78" s="72" t="n"/>
      <c r="M78" s="74">
        <f t="array" ref="M7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7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78" s="26">
        <f>IF(techniques[[#This Row],[detection rules]]&gt;=techniques[[#This Row],[expected detection rules]],1,techniques[[#This Row],[detection rules]]/techniques[[#This Row],[expected detection rules]])</f>
        <v/>
      </c>
      <c r="P7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78" s="29">
        <f>IF(ISERROR(SEARCH(techniques[[#This Row],[id]],techniques[[#This Row],[name]])),"ERROR","")</f>
        <v/>
      </c>
      <c r="S7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79" ht="12.75" customHeight="1">
      <c r="A79" s="74" t="inlineStr">
        <is>
          <t>T1037</t>
        </is>
      </c>
      <c r="B79" s="74" t="inlineStr">
        <is>
          <t>T1037.004</t>
        </is>
      </c>
      <c r="C79" s="13" t="inlineStr">
        <is>
          <t>RC Scripts (T1037.004)</t>
        </is>
      </c>
      <c r="D79" s="13" t="inlineStr">
        <is>
          <t>persistence|privilege-escalation</t>
        </is>
      </c>
      <c r="E79" s="13" t="inlineStr">
        <is>
          <t>Command: Command Execution|File: File Creation|File: File Modification|Process: Process Creation|Script: Script Execution</t>
        </is>
      </c>
      <c r="F79" s="74" t="n">
        <v>5</v>
      </c>
      <c r="G79" s="72">
        <f t="array" ref="G79">SUM(IF(ISERROR(FIND(sources[data source],techniques[[#This Row],[data sources]])),0,1)*IF(sources[available]="yes",1,0))</f>
        <v/>
      </c>
      <c r="H79" s="73">
        <f t="array" ref="H79">IF(techniques[[#This Row],[technique]]=techniques[[#This Row],[id]],SUM(IF(techniques[[#This Row],[id]]=techniques[technique],1,0))-1,"")</f>
        <v/>
      </c>
      <c r="I79" s="74">
        <f t="array" ref="I79">IF(SUM(IF($C79=detections[],IF(detections[is active]="yes",1,0),0))&gt;0,SUM(IF($C79=detections[],IF(detections[is active]="yes",1,0),0)),"")</f>
        <v/>
      </c>
      <c r="J79" s="74">
        <f t="array" ref="J7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79" s="74">
        <f>IF(AND(ISNUMBER(techniques[[#This Row],[number of sub techniques]]),techniques[[#This Row],[number of sub techniques]]&gt;1),techniques[number of sub techniques],1)</f>
        <v/>
      </c>
      <c r="L79" s="72" t="n"/>
      <c r="M79" s="74">
        <f t="array" ref="M7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7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79" s="26">
        <f>IF(techniques[[#This Row],[detection rules]]&gt;=techniques[[#This Row],[expected detection rules]],1,techniques[[#This Row],[detection rules]]/techniques[[#This Row],[expected detection rules]])</f>
        <v/>
      </c>
      <c r="P7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79" s="29">
        <f>IF(ISERROR(SEARCH(techniques[[#This Row],[id]],techniques[[#This Row],[name]])),"ERROR","")</f>
        <v/>
      </c>
      <c r="S7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80" ht="12.75" customHeight="1">
      <c r="A80" s="74" t="inlineStr">
        <is>
          <t>T1037</t>
        </is>
      </c>
      <c r="B80" s="74" t="inlineStr">
        <is>
          <t>T1037.005</t>
        </is>
      </c>
      <c r="C80" s="13" t="inlineStr">
        <is>
          <t>Startup Items (T1037.005)</t>
        </is>
      </c>
      <c r="D80" s="13" t="inlineStr">
        <is>
          <t>persistence|privilege-escalation</t>
        </is>
      </c>
      <c r="E80" s="13" t="inlineStr">
        <is>
          <t>File: File Creation|Process: Process Creation</t>
        </is>
      </c>
      <c r="F80" s="74" t="n">
        <v>2</v>
      </c>
      <c r="G80" s="72">
        <f t="array" ref="G80">SUM(IF(ISERROR(FIND(sources[data source],techniques[[#This Row],[data sources]])),0,1)*IF(sources[available]="yes",1,0))</f>
        <v/>
      </c>
      <c r="H80" s="73">
        <f t="array" ref="H80">IF(techniques[[#This Row],[technique]]=techniques[[#This Row],[id]],SUM(IF(techniques[[#This Row],[id]]=techniques[technique],1,0))-1,"")</f>
        <v/>
      </c>
      <c r="I80" s="74">
        <f t="array" ref="I80">IF(SUM(IF($C80=detections[],IF(detections[is active]="yes",1,0),0))&gt;0,SUM(IF($C80=detections[],IF(detections[is active]="yes",1,0),0)),"")</f>
        <v/>
      </c>
      <c r="J80" s="74">
        <f t="array" ref="J8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80" s="74">
        <f>IF(AND(ISNUMBER(techniques[[#This Row],[number of sub techniques]]),techniques[[#This Row],[number of sub techniques]]&gt;1),techniques[number of sub techniques],1)</f>
        <v/>
      </c>
      <c r="L80" s="72" t="n"/>
      <c r="M80" s="74">
        <f t="array" ref="M8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8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80" s="26">
        <f>IF(techniques[[#This Row],[detection rules]]&gt;=techniques[[#This Row],[expected detection rules]],1,techniques[[#This Row],[detection rules]]/techniques[[#This Row],[expected detection rules]])</f>
        <v/>
      </c>
      <c r="P8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80" s="29">
        <f>IF(ISERROR(SEARCH(techniques[[#This Row],[id]],techniques[[#This Row],[name]])),"ERROR","")</f>
        <v/>
      </c>
      <c r="S8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81" ht="12.75" customHeight="1">
      <c r="A81" s="74" t="inlineStr">
        <is>
          <t>T1039</t>
        </is>
      </c>
      <c r="B81" s="74" t="inlineStr">
        <is>
          <t>T1039</t>
        </is>
      </c>
      <c r="C81" s="13" t="inlineStr">
        <is>
          <t>Data from Network Shared Drive (T1039)</t>
        </is>
      </c>
      <c r="D81" s="13" t="inlineStr">
        <is>
          <t>collection</t>
        </is>
      </c>
      <c r="E81" s="13" t="inlineStr">
        <is>
          <t>Drive: Drive Access|File: File Access|File: File Creation|Network Share: Network Share Access</t>
        </is>
      </c>
      <c r="F81" s="74" t="n">
        <v>4</v>
      </c>
      <c r="G81" s="72">
        <f t="array" ref="G81">SUM(IF(ISERROR(FIND(sources[data source],techniques[[#This Row],[data sources]])),0,1)*IF(sources[available]="yes",1,0))</f>
        <v/>
      </c>
      <c r="H81" s="73">
        <f t="array" ref="H81">IF(techniques[[#This Row],[technique]]=techniques[[#This Row],[id]],SUM(IF(techniques[[#This Row],[id]]=techniques[technique],1,0))-1,"")</f>
        <v/>
      </c>
      <c r="I81" s="74">
        <f t="array" ref="I81">IF(SUM(IF($C81=detections[],IF(detections[is active]="yes",1,0),0))&gt;0,SUM(IF($C81=detections[],IF(detections[is active]="yes",1,0),0)),"")</f>
        <v/>
      </c>
      <c r="J81" s="74">
        <f t="array" ref="J8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81" s="74">
        <f>IF(AND(ISNUMBER(techniques[[#This Row],[number of sub techniques]]),techniques[[#This Row],[number of sub techniques]]&gt;1),techniques[number of sub techniques],1)</f>
        <v/>
      </c>
      <c r="L81" s="72" t="n"/>
      <c r="M81" s="74">
        <f t="array" ref="M8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8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81" s="26">
        <f>IF(techniques[[#This Row],[detection rules]]&gt;=techniques[[#This Row],[expected detection rules]],1,techniques[[#This Row],[detection rules]]/techniques[[#This Row],[expected detection rules]])</f>
        <v/>
      </c>
      <c r="P8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81" s="29">
        <f>IF(ISERROR(SEARCH(techniques[[#This Row],[id]],techniques[[#This Row],[name]])),"ERROR","")</f>
        <v/>
      </c>
      <c r="S8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82" ht="12.75" customHeight="1">
      <c r="A82" s="74" t="inlineStr">
        <is>
          <t>T1040</t>
        </is>
      </c>
      <c r="B82" s="74" t="inlineStr">
        <is>
          <t>T1040</t>
        </is>
      </c>
      <c r="C82" s="13" t="inlineStr">
        <is>
          <t>Network Sniffing (T1040)</t>
        </is>
      </c>
      <c r="D82" s="13" t="inlineStr">
        <is>
          <t>credential-access|discovery</t>
        </is>
      </c>
      <c r="E82" s="13" t="inlineStr">
        <is>
          <t>Cloud Service: Cloud Service Modification|Command: Command Execution|Network Traffic: Network Traffic Content|Process: Process Creation|Service: Service Creation|User Account: User Account Authentication</t>
        </is>
      </c>
      <c r="F82" s="74" t="n">
        <v>6</v>
      </c>
      <c r="G82" s="72">
        <f t="array" ref="G82">SUM(IF(ISERROR(FIND(sources[data source],techniques[[#This Row],[data sources]])),0,1)*IF(sources[available]="yes",1,0))</f>
        <v/>
      </c>
      <c r="H82" s="73">
        <f t="array" ref="H82">IF(techniques[[#This Row],[technique]]=techniques[[#This Row],[id]],SUM(IF(techniques[[#This Row],[id]]=techniques[technique],1,0))-1,"")</f>
        <v/>
      </c>
      <c r="I82" s="74">
        <f t="array" ref="I82">IF(SUM(IF($C82=detections[],IF(detections[is active]="yes",1,0),0))&gt;0,SUM(IF($C82=detections[],IF(detections[is active]="yes",1,0),0)),"")</f>
        <v/>
      </c>
      <c r="J82" s="74">
        <f t="array" ref="J8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82" s="74">
        <f>IF(AND(ISNUMBER(techniques[[#This Row],[number of sub techniques]]),techniques[[#This Row],[number of sub techniques]]&gt;1),techniques[number of sub techniques],1)</f>
        <v/>
      </c>
      <c r="L82" s="72" t="n"/>
      <c r="M82" s="74">
        <f t="array" ref="M8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8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82" s="26">
        <f>IF(techniques[[#This Row],[detection rules]]&gt;=techniques[[#This Row],[expected detection rules]],1,techniques[[#This Row],[detection rules]]/techniques[[#This Row],[expected detection rules]])</f>
        <v/>
      </c>
      <c r="P8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82" s="29">
        <f>IF(ISERROR(SEARCH(techniques[[#This Row],[id]],techniques[[#This Row],[name]])),"ERROR","")</f>
        <v/>
      </c>
      <c r="S8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83" ht="12.75" customHeight="1">
      <c r="A83" s="74" t="inlineStr">
        <is>
          <t>T1041</t>
        </is>
      </c>
      <c r="B83" s="74" t="inlineStr">
        <is>
          <t>T1041</t>
        </is>
      </c>
      <c r="C83" s="13" t="inlineStr">
        <is>
          <t>Exfiltration Over C2 Channel (T1041)</t>
        </is>
      </c>
      <c r="D83" s="13" t="inlineStr">
        <is>
          <t>exfiltration</t>
        </is>
      </c>
      <c r="E83" s="13" t="inlineStr">
        <is>
          <t>File: File Access|Network Traffic: Network Connection Creation|Network Traffic: Network Traffic Content|Network Traffic: Network Traffic Flow|Process: Process Creation</t>
        </is>
      </c>
      <c r="F83" s="74" t="n">
        <v>5</v>
      </c>
      <c r="G83" s="72">
        <f t="array" ref="G83">SUM(IF(ISERROR(FIND(sources[data source],techniques[[#This Row],[data sources]])),0,1)*IF(sources[available]="yes",1,0))</f>
        <v/>
      </c>
      <c r="H83" s="73">
        <f t="array" ref="H83">IF(techniques[[#This Row],[technique]]=techniques[[#This Row],[id]],SUM(IF(techniques[[#This Row],[id]]=techniques[technique],1,0))-1,"")</f>
        <v/>
      </c>
      <c r="I83" s="74">
        <f t="array" ref="I83">IF(SUM(IF($C83=detections[],IF(detections[is active]="yes",1,0),0))&gt;0,SUM(IF($C83=detections[],IF(detections[is active]="yes",1,0),0)),"")</f>
        <v/>
      </c>
      <c r="J83" s="74">
        <f t="array" ref="J8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83" s="74">
        <f>IF(AND(ISNUMBER(techniques[[#This Row],[number of sub techniques]]),techniques[[#This Row],[number of sub techniques]]&gt;1),techniques[number of sub techniques],1)</f>
        <v/>
      </c>
      <c r="L83" s="72" t="n"/>
      <c r="M83" s="74">
        <f t="array" ref="M8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8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83" s="26">
        <f>IF(techniques[[#This Row],[detection rules]]&gt;=techniques[[#This Row],[expected detection rules]],1,techniques[[#This Row],[detection rules]]/techniques[[#This Row],[expected detection rules]])</f>
        <v/>
      </c>
      <c r="P8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83" s="29">
        <f>IF(ISERROR(SEARCH(techniques[[#This Row],[id]],techniques[[#This Row],[name]])),"ERROR","")</f>
        <v/>
      </c>
      <c r="S8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84" ht="12.75" customHeight="1">
      <c r="A84" s="74" t="inlineStr">
        <is>
          <t>T1046</t>
        </is>
      </c>
      <c r="B84" s="74" t="inlineStr">
        <is>
          <t>T1046</t>
        </is>
      </c>
      <c r="C84" s="13" t="inlineStr">
        <is>
          <t>Network Service Discovery (T1046)</t>
        </is>
      </c>
      <c r="D84" s="13" t="inlineStr">
        <is>
          <t>discovery</t>
        </is>
      </c>
      <c r="E84" s="13" t="inlineStr">
        <is>
          <t>Network Traffic: Network Connection Creation|Network Traffic: Network Traffic Content|Network Traffic: Network Traffic Flow|Process: Process Creation</t>
        </is>
      </c>
      <c r="F84" s="74" t="n">
        <v>4</v>
      </c>
      <c r="G84" s="72">
        <f t="array" ref="G84">SUM(IF(ISERROR(FIND(sources[data source],techniques[[#This Row],[data sources]])),0,1)*IF(sources[available]="yes",1,0))</f>
        <v/>
      </c>
      <c r="H84" s="73">
        <f t="array" ref="H84">IF(techniques[[#This Row],[technique]]=techniques[[#This Row],[id]],SUM(IF(techniques[[#This Row],[id]]=techniques[technique],1,0))-1,"")</f>
        <v/>
      </c>
      <c r="I84" s="74">
        <f t="array" ref="I84">IF(SUM(IF($C84=detections[],IF(detections[is active]="yes",1,0),0))&gt;0,SUM(IF($C84=detections[],IF(detections[is active]="yes",1,0),0)),"")</f>
        <v/>
      </c>
      <c r="J84" s="74">
        <f t="array" ref="J8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84" s="74">
        <f>IF(AND(ISNUMBER(techniques[[#This Row],[number of sub techniques]]),techniques[[#This Row],[number of sub techniques]]&gt;1),techniques[number of sub techniques],1)</f>
        <v/>
      </c>
      <c r="L84" s="72" t="n"/>
      <c r="M84" s="74">
        <f t="array" ref="M8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8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84" s="26">
        <f>IF(techniques[[#This Row],[detection rules]]&gt;=techniques[[#This Row],[expected detection rules]],1,techniques[[#This Row],[detection rules]]/techniques[[#This Row],[expected detection rules]])</f>
        <v/>
      </c>
      <c r="P8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84" s="29">
        <f>IF(ISERROR(SEARCH(techniques[[#This Row],[id]],techniques[[#This Row],[name]])),"ERROR","")</f>
        <v/>
      </c>
      <c r="S8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85" ht="12.75" customHeight="1">
      <c r="A85" s="74" t="inlineStr">
        <is>
          <t>T1047</t>
        </is>
      </c>
      <c r="B85" s="74" t="inlineStr">
        <is>
          <t>T1047</t>
        </is>
      </c>
      <c r="C85" s="13" t="inlineStr">
        <is>
          <t>Windows Management Instrumentation (T1047)</t>
        </is>
      </c>
      <c r="D85" s="13" t="inlineStr">
        <is>
          <t>execution</t>
        </is>
      </c>
      <c r="E85" s="13" t="inlineStr">
        <is>
          <t>Network Traffic: Network Connection Creation|Process: Process Creation|WMI: WMI Creation</t>
        </is>
      </c>
      <c r="F85" s="74" t="n">
        <v>3</v>
      </c>
      <c r="G85" s="72">
        <f t="array" ref="G85">SUM(IF(ISERROR(FIND(sources[data source],techniques[[#This Row],[data sources]])),0,1)*IF(sources[available]="yes",1,0))</f>
        <v/>
      </c>
      <c r="H85" s="73">
        <f t="array" ref="H85">IF(techniques[[#This Row],[technique]]=techniques[[#This Row],[id]],SUM(IF(techniques[[#This Row],[id]]=techniques[technique],1,0))-1,"")</f>
        <v/>
      </c>
      <c r="I85" s="74">
        <f t="array" ref="I85">IF(SUM(IF($C85=detections[],IF(detections[is active]="yes",1,0),0))&gt;0,SUM(IF($C85=detections[],IF(detections[is active]="yes",1,0),0)),"")</f>
        <v/>
      </c>
      <c r="J85" s="74">
        <f t="array" ref="J8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85" s="74">
        <f>IF(AND(ISNUMBER(techniques[[#This Row],[number of sub techniques]]),techniques[[#This Row],[number of sub techniques]]&gt;1),techniques[number of sub techniques],1)</f>
        <v/>
      </c>
      <c r="L85" s="72" t="n"/>
      <c r="M85" s="74">
        <f t="array" ref="M8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8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85" s="26">
        <f>IF(techniques[[#This Row],[detection rules]]&gt;=techniques[[#This Row],[expected detection rules]],1,techniques[[#This Row],[detection rules]]/techniques[[#This Row],[expected detection rules]])</f>
        <v/>
      </c>
      <c r="P8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85" s="29">
        <f>IF(ISERROR(SEARCH(techniques[[#This Row],[id]],techniques[[#This Row],[name]])),"ERROR","")</f>
        <v/>
      </c>
      <c r="S8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86" ht="12.75" customHeight="1">
      <c r="A86" s="74" t="inlineStr">
        <is>
          <t>T1048</t>
        </is>
      </c>
      <c r="B86" s="74" t="inlineStr">
        <is>
          <t>T1048</t>
        </is>
      </c>
      <c r="C86" s="13" t="inlineStr">
        <is>
          <t>Exfiltration Over Alternative Protocol (T1048)</t>
        </is>
      </c>
      <c r="D86" s="13" t="inlineStr">
        <is>
          <t>exfiltration</t>
        </is>
      </c>
      <c r="E86" s="13" t="inlineStr">
        <is>
          <t>Cloud Storage: Cloud Storage Access|Command: Command Execution|File: File Access|File: File Creation|File: File Modification|Network Traffic: Network Connection Creation|Network Traffic: Network Traffic Content|Network Traffic: Network Traffic Flow|Process: Process Creation</t>
        </is>
      </c>
      <c r="F86" s="74" t="n">
        <v>9</v>
      </c>
      <c r="G86" s="72">
        <f t="array" ref="G86">SUM(IF(ISERROR(FIND(sources[data source],techniques[[#This Row],[data sources]])),0,1)*IF(sources[available]="yes",1,0))</f>
        <v/>
      </c>
      <c r="H86" s="73">
        <f t="array" ref="H86">IF(techniques[[#This Row],[technique]]=techniques[[#This Row],[id]],SUM(IF(techniques[[#This Row],[id]]=techniques[technique],1,0))-1,"")</f>
        <v/>
      </c>
      <c r="I86" s="74">
        <f t="array" ref="I86">IF(SUM(IF($C86=detections[],IF(detections[is active]="yes",1,0),0))&gt;0,SUM(IF($C86=detections[],IF(detections[is active]="yes",1,0),0)),"")</f>
        <v/>
      </c>
      <c r="J86" s="74">
        <f t="array" ref="J8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86" s="74">
        <f>IF(AND(ISNUMBER(techniques[[#This Row],[number of sub techniques]]),techniques[[#This Row],[number of sub techniques]]&gt;1),techniques[number of sub techniques],1)</f>
        <v/>
      </c>
      <c r="L86" s="72" t="n"/>
      <c r="M86" s="74">
        <f t="array" ref="M8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8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86" s="26">
        <f>IF(techniques[[#This Row],[detection rules]]&gt;=techniques[[#This Row],[expected detection rules]],1,techniques[[#This Row],[detection rules]]/techniques[[#This Row],[expected detection rules]])</f>
        <v/>
      </c>
      <c r="P8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86" s="29">
        <f>IF(ISERROR(SEARCH(techniques[[#This Row],[id]],techniques[[#This Row],[name]])),"ERROR","")</f>
        <v/>
      </c>
      <c r="S8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87" ht="12.75" customHeight="1">
      <c r="A87" s="74" t="inlineStr">
        <is>
          <t>T1048</t>
        </is>
      </c>
      <c r="B87" s="74" t="inlineStr">
        <is>
          <t>T1048.001</t>
        </is>
      </c>
      <c r="C87" s="13" t="inlineStr">
        <is>
          <t>Exfiltration Over Symmetric Encrypted Non-C2 Protocol (T1048.001)</t>
        </is>
      </c>
      <c r="D87" s="13" t="inlineStr">
        <is>
          <t>exfiltration</t>
        </is>
      </c>
      <c r="E87" s="13" t="inlineStr">
        <is>
          <t>Command: Command Execution|Network Traffic: Network Connection Creation|Network Traffic: Network Traffic Content|Network Traffic: Network Traffic Flow|Process: Process Creation</t>
        </is>
      </c>
      <c r="F87" s="74" t="n">
        <v>5</v>
      </c>
      <c r="G87" s="72">
        <f t="array" ref="G87">SUM(IF(ISERROR(FIND(sources[data source],techniques[[#This Row],[data sources]])),0,1)*IF(sources[available]="yes",1,0))</f>
        <v/>
      </c>
      <c r="H87" s="73">
        <f t="array" ref="H87">IF(techniques[[#This Row],[technique]]=techniques[[#This Row],[id]],SUM(IF(techniques[[#This Row],[id]]=techniques[technique],1,0))-1,"")</f>
        <v/>
      </c>
      <c r="I87" s="74">
        <f t="array" ref="I87">IF(SUM(IF($C87=detections[],IF(detections[is active]="yes",1,0),0))&gt;0,SUM(IF($C87=detections[],IF(detections[is active]="yes",1,0),0)),"")</f>
        <v/>
      </c>
      <c r="J87" s="74">
        <f t="array" ref="J8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87" s="74">
        <f>IF(AND(ISNUMBER(techniques[[#This Row],[number of sub techniques]]),techniques[[#This Row],[number of sub techniques]]&gt;1),techniques[number of sub techniques],1)</f>
        <v/>
      </c>
      <c r="L87" s="72" t="n"/>
      <c r="M87" s="74">
        <f t="array" ref="M8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8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87" s="26">
        <f>IF(techniques[[#This Row],[detection rules]]&gt;=techniques[[#This Row],[expected detection rules]],1,techniques[[#This Row],[detection rules]]/techniques[[#This Row],[expected detection rules]])</f>
        <v/>
      </c>
      <c r="P8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87" s="29">
        <f>IF(ISERROR(SEARCH(techniques[[#This Row],[id]],techniques[[#This Row],[name]])),"ERROR","")</f>
        <v/>
      </c>
      <c r="S8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88" ht="12.75" customHeight="1">
      <c r="A88" s="74" t="inlineStr">
        <is>
          <t>T1048</t>
        </is>
      </c>
      <c r="B88" s="74" t="inlineStr">
        <is>
          <t>T1048.002</t>
        </is>
      </c>
      <c r="C88" s="13" t="inlineStr">
        <is>
          <t>Exfiltration Over Asymmetric Encrypted Non-C2 Protocol (T1048.002)</t>
        </is>
      </c>
      <c r="D88" s="13" t="inlineStr">
        <is>
          <t>exfiltration</t>
        </is>
      </c>
      <c r="E88" s="13" t="inlineStr">
        <is>
          <t>Command: Command Execution|File: File Access|Network Traffic: Network Connection Creation|Network Traffic: Network Traffic Content|Network Traffic: Network Traffic Flow|Process: Process Creation</t>
        </is>
      </c>
      <c r="F88" s="74" t="n">
        <v>6</v>
      </c>
      <c r="G88" s="72">
        <f t="array" ref="G88">SUM(IF(ISERROR(FIND(sources[data source],techniques[[#This Row],[data sources]])),0,1)*IF(sources[available]="yes",1,0))</f>
        <v/>
      </c>
      <c r="H88" s="73">
        <f t="array" ref="H88">IF(techniques[[#This Row],[technique]]=techniques[[#This Row],[id]],SUM(IF(techniques[[#This Row],[id]]=techniques[technique],1,0))-1,"")</f>
        <v/>
      </c>
      <c r="I88" s="74">
        <f t="array" ref="I88">IF(SUM(IF($C88=detections[],IF(detections[is active]="yes",1,0),0))&gt;0,SUM(IF($C88=detections[],IF(detections[is active]="yes",1,0),0)),"")</f>
        <v/>
      </c>
      <c r="J88" s="74">
        <f t="array" ref="J8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88" s="74">
        <f>IF(AND(ISNUMBER(techniques[[#This Row],[number of sub techniques]]),techniques[[#This Row],[number of sub techniques]]&gt;1),techniques[number of sub techniques],1)</f>
        <v/>
      </c>
      <c r="L88" s="72" t="n"/>
      <c r="M88" s="74">
        <f t="array" ref="M8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8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88" s="26">
        <f>IF(techniques[[#This Row],[detection rules]]&gt;=techniques[[#This Row],[expected detection rules]],1,techniques[[#This Row],[detection rules]]/techniques[[#This Row],[expected detection rules]])</f>
        <v/>
      </c>
      <c r="P8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88" s="29">
        <f>IF(ISERROR(SEARCH(techniques[[#This Row],[id]],techniques[[#This Row],[name]])),"ERROR","")</f>
        <v/>
      </c>
      <c r="S8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89" ht="12.75" customHeight="1">
      <c r="A89" s="74" t="inlineStr">
        <is>
          <t>T1048</t>
        </is>
      </c>
      <c r="B89" s="74" t="inlineStr">
        <is>
          <t>T1048.003</t>
        </is>
      </c>
      <c r="C89" s="13" t="inlineStr">
        <is>
          <t>Exfiltration Over Unencrypted Non-C2 Protocol (T1048.003)</t>
        </is>
      </c>
      <c r="D89" s="13" t="inlineStr">
        <is>
          <t>exfiltration</t>
        </is>
      </c>
      <c r="E89" s="13" t="inlineStr">
        <is>
          <t>Command: Command Execution|File: File Access|Network Traffic: Network Connection Creation|Network Traffic: Network Traffic Content|Network Traffic: Network Traffic Flow|Process: Process Creation</t>
        </is>
      </c>
      <c r="F89" s="74" t="n">
        <v>6</v>
      </c>
      <c r="G89" s="72">
        <f t="array" ref="G89">SUM(IF(ISERROR(FIND(sources[data source],techniques[[#This Row],[data sources]])),0,1)*IF(sources[available]="yes",1,0))</f>
        <v/>
      </c>
      <c r="H89" s="73">
        <f t="array" ref="H89">IF(techniques[[#This Row],[technique]]=techniques[[#This Row],[id]],SUM(IF(techniques[[#This Row],[id]]=techniques[technique],1,0))-1,"")</f>
        <v/>
      </c>
      <c r="I89" s="74">
        <f t="array" ref="I89">IF(SUM(IF($C89=detections[],IF(detections[is active]="yes",1,0),0))&gt;0,SUM(IF($C89=detections[],IF(detections[is active]="yes",1,0),0)),"")</f>
        <v/>
      </c>
      <c r="J89" s="74">
        <f t="array" ref="J8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89" s="74">
        <f>IF(AND(ISNUMBER(techniques[[#This Row],[number of sub techniques]]),techniques[[#This Row],[number of sub techniques]]&gt;1),techniques[number of sub techniques],1)</f>
        <v/>
      </c>
      <c r="L89" s="72" t="n"/>
      <c r="M89" s="74">
        <f t="array" ref="M8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8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89" s="26">
        <f>IF(techniques[[#This Row],[detection rules]]&gt;=techniques[[#This Row],[expected detection rules]],1,techniques[[#This Row],[detection rules]]/techniques[[#This Row],[expected detection rules]])</f>
        <v/>
      </c>
      <c r="P8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89" s="29">
        <f>IF(ISERROR(SEARCH(techniques[[#This Row],[id]],techniques[[#This Row],[name]])),"ERROR","")</f>
        <v/>
      </c>
      <c r="S8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90" ht="12.75" customHeight="1">
      <c r="A90" s="74" t="inlineStr">
        <is>
          <t>T1049</t>
        </is>
      </c>
      <c r="B90" s="74" t="inlineStr">
        <is>
          <t>T1049</t>
        </is>
      </c>
      <c r="C90" s="13" t="inlineStr">
        <is>
          <t>System Network Connections Discovery (T1049)</t>
        </is>
      </c>
      <c r="D90" s="13" t="inlineStr">
        <is>
          <t>discovery</t>
        </is>
      </c>
      <c r="E90" s="13" t="inlineStr">
        <is>
          <t>Command: Command Execution|Network Traffic: Network Traffic Content|Process: OS API Execution|Process: Process Creation</t>
        </is>
      </c>
      <c r="F90" s="74" t="n">
        <v>4</v>
      </c>
      <c r="G90" s="72">
        <f t="array" ref="G90">SUM(IF(ISERROR(FIND(sources[data source],techniques[[#This Row],[data sources]])),0,1)*IF(sources[available]="yes",1,0))</f>
        <v/>
      </c>
      <c r="H90" s="73">
        <f t="array" ref="H90">IF(techniques[[#This Row],[technique]]=techniques[[#This Row],[id]],SUM(IF(techniques[[#This Row],[id]]=techniques[technique],1,0))-1,"")</f>
        <v/>
      </c>
      <c r="I90" s="74">
        <f t="array" ref="I90">IF(SUM(IF($C90=detections[],IF(detections[is active]="yes",1,0),0))&gt;0,SUM(IF($C90=detections[],IF(detections[is active]="yes",1,0),0)),"")</f>
        <v/>
      </c>
      <c r="J90" s="74">
        <f t="array" ref="J9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90" s="74">
        <f>IF(AND(ISNUMBER(techniques[[#This Row],[number of sub techniques]]),techniques[[#This Row],[number of sub techniques]]&gt;1),techniques[number of sub techniques],1)</f>
        <v/>
      </c>
      <c r="L90" s="72" t="n"/>
      <c r="M90" s="74">
        <f t="array" ref="M9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9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90" s="26">
        <f>IF(techniques[[#This Row],[detection rules]]&gt;=techniques[[#This Row],[expected detection rules]],1,techniques[[#This Row],[detection rules]]/techniques[[#This Row],[expected detection rules]])</f>
        <v/>
      </c>
      <c r="P9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90" s="29">
        <f>IF(ISERROR(SEARCH(techniques[[#This Row],[id]],techniques[[#This Row],[name]])),"ERROR","")</f>
        <v/>
      </c>
      <c r="S9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91" ht="12.75" customHeight="1">
      <c r="A91" s="74" t="inlineStr">
        <is>
          <t>T1052</t>
        </is>
      </c>
      <c r="B91" s="74" t="inlineStr">
        <is>
          <t>T1052</t>
        </is>
      </c>
      <c r="C91" s="13" t="inlineStr">
        <is>
          <t>Exfiltration Over Physical Medium (T1052)</t>
        </is>
      </c>
      <c r="D91" s="13" t="inlineStr">
        <is>
          <t>exfiltration</t>
        </is>
      </c>
      <c r="E91" s="13" t="inlineStr">
        <is>
          <t>Command: Command Execution|Drive: Drive Creation|File: File Access|File: File Creation|Process: Process Creation</t>
        </is>
      </c>
      <c r="F91" s="74" t="n">
        <v>5</v>
      </c>
      <c r="G91" s="72">
        <f t="array" ref="G91">SUM(IF(ISERROR(FIND(sources[data source],techniques[[#This Row],[data sources]])),0,1)*IF(sources[available]="yes",1,0))</f>
        <v/>
      </c>
      <c r="H91" s="73">
        <f t="array" ref="H91">IF(techniques[[#This Row],[technique]]=techniques[[#This Row],[id]],SUM(IF(techniques[[#This Row],[id]]=techniques[technique],1,0))-1,"")</f>
        <v/>
      </c>
      <c r="I91" s="74">
        <f t="array" ref="I91">IF(SUM(IF($C91=detections[],IF(detections[is active]="yes",1,0),0))&gt;0,SUM(IF($C91=detections[],IF(detections[is active]="yes",1,0),0)),"")</f>
        <v/>
      </c>
      <c r="J91" s="74">
        <f t="array" ref="J9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91" s="74">
        <f>IF(AND(ISNUMBER(techniques[[#This Row],[number of sub techniques]]),techniques[[#This Row],[number of sub techniques]]&gt;1),techniques[number of sub techniques],1)</f>
        <v/>
      </c>
      <c r="L91" s="72" t="n"/>
      <c r="M91" s="74">
        <f t="array" ref="M9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9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91" s="26">
        <f>IF(techniques[[#This Row],[detection rules]]&gt;=techniques[[#This Row],[expected detection rules]],1,techniques[[#This Row],[detection rules]]/techniques[[#This Row],[expected detection rules]])</f>
        <v/>
      </c>
      <c r="P9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91" s="29">
        <f>IF(ISERROR(SEARCH(techniques[[#This Row],[id]],techniques[[#This Row],[name]])),"ERROR","")</f>
        <v/>
      </c>
      <c r="S9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92" ht="12.75" customHeight="1">
      <c r="A92" s="74" t="inlineStr">
        <is>
          <t>T1052</t>
        </is>
      </c>
      <c r="B92" s="74" t="inlineStr">
        <is>
          <t>T1052.001</t>
        </is>
      </c>
      <c r="C92" s="13" t="inlineStr">
        <is>
          <t>Exfiltration over USB (T1052.001)</t>
        </is>
      </c>
      <c r="D92" s="13" t="inlineStr">
        <is>
          <t>exfiltration</t>
        </is>
      </c>
      <c r="E92" s="13" t="inlineStr">
        <is>
          <t>Drive: Drive Creation|File: File Access|File: File Creation|Process: Process Creation</t>
        </is>
      </c>
      <c r="F92" s="74" t="n">
        <v>4</v>
      </c>
      <c r="G92" s="72">
        <f t="array" ref="G92">SUM(IF(ISERROR(FIND(sources[data source],techniques[[#This Row],[data sources]])),0,1)*IF(sources[available]="yes",1,0))</f>
        <v/>
      </c>
      <c r="H92" s="73">
        <f t="array" ref="H92">IF(techniques[[#This Row],[technique]]=techniques[[#This Row],[id]],SUM(IF(techniques[[#This Row],[id]]=techniques[technique],1,0))-1,"")</f>
        <v/>
      </c>
      <c r="I92" s="74">
        <f t="array" ref="I92">IF(SUM(IF($C92=detections[],IF(detections[is active]="yes",1,0),0))&gt;0,SUM(IF($C92=detections[],IF(detections[is active]="yes",1,0),0)),"")</f>
        <v/>
      </c>
      <c r="J92" s="74">
        <f t="array" ref="J9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92" s="74">
        <f>IF(AND(ISNUMBER(techniques[[#This Row],[number of sub techniques]]),techniques[[#This Row],[number of sub techniques]]&gt;1),techniques[number of sub techniques],1)</f>
        <v/>
      </c>
      <c r="L92" s="72" t="n"/>
      <c r="M92" s="74">
        <f t="array" ref="M9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9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92" s="26">
        <f>IF(techniques[[#This Row],[detection rules]]&gt;=techniques[[#This Row],[expected detection rules]],1,techniques[[#This Row],[detection rules]]/techniques[[#This Row],[expected detection rules]])</f>
        <v/>
      </c>
      <c r="P9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92" s="29">
        <f>IF(ISERROR(SEARCH(techniques[[#This Row],[id]],techniques[[#This Row],[name]])),"ERROR","")</f>
        <v/>
      </c>
      <c r="S9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93" ht="12.75" customHeight="1">
      <c r="A93" s="74" t="inlineStr">
        <is>
          <t>T1053</t>
        </is>
      </c>
      <c r="B93" s="74" t="inlineStr">
        <is>
          <t>T1053</t>
        </is>
      </c>
      <c r="C93" s="13" t="inlineStr">
        <is>
          <t>Scheduled Task/Job (T1053)</t>
        </is>
      </c>
      <c r="D93" s="13" t="inlineStr">
        <is>
          <t>execution|persistence|privilege-escalation</t>
        </is>
      </c>
      <c r="E93" s="13" t="inlineStr">
        <is>
          <t>Command: Command Execution|File: File Creation|File: File Modification|Process: Process Creation|Scheduled Job: Scheduled Job Creation</t>
        </is>
      </c>
      <c r="F93" s="74" t="n">
        <v>5</v>
      </c>
      <c r="G93" s="72">
        <f t="array" ref="G93">SUM(IF(ISERROR(FIND(sources[data source],techniques[[#This Row],[data sources]])),0,1)*IF(sources[available]="yes",1,0))</f>
        <v/>
      </c>
      <c r="H93" s="73">
        <f t="array" ref="H93">IF(techniques[[#This Row],[technique]]=techniques[[#This Row],[id]],SUM(IF(techniques[[#This Row],[id]]=techniques[technique],1,0))-1,"")</f>
        <v/>
      </c>
      <c r="I93" s="74">
        <f t="array" ref="I93">IF(SUM(IF($C93=detections[],IF(detections[is active]="yes",1,0),0))&gt;0,SUM(IF($C93=detections[],IF(detections[is active]="yes",1,0),0)),"")</f>
        <v/>
      </c>
      <c r="J93" s="74">
        <f t="array" ref="J9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93" s="74">
        <f>IF(AND(ISNUMBER(techniques[[#This Row],[number of sub techniques]]),techniques[[#This Row],[number of sub techniques]]&gt;1),techniques[number of sub techniques],1)</f>
        <v/>
      </c>
      <c r="L93" s="72" t="n"/>
      <c r="M93" s="74">
        <f t="array" ref="M9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9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93" s="26">
        <f>IF(techniques[[#This Row],[detection rules]]&gt;=techniques[[#This Row],[expected detection rules]],1,techniques[[#This Row],[detection rules]]/techniques[[#This Row],[expected detection rules]])</f>
        <v/>
      </c>
      <c r="P9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93" s="29">
        <f>IF(ISERROR(SEARCH(techniques[[#This Row],[id]],techniques[[#This Row],[name]])),"ERROR","")</f>
        <v/>
      </c>
      <c r="S9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94" ht="12.75" customHeight="1">
      <c r="A94" s="74" t="inlineStr">
        <is>
          <t>T1053</t>
        </is>
      </c>
      <c r="B94" s="74" t="inlineStr">
        <is>
          <t>T1053.002</t>
        </is>
      </c>
      <c r="C94" s="13" t="inlineStr">
        <is>
          <t>At (T1053.002)</t>
        </is>
      </c>
      <c r="D94" s="13" t="inlineStr">
        <is>
          <t>execution|persistence|privilege-escalation</t>
        </is>
      </c>
      <c r="E94" s="13" t="inlineStr">
        <is>
          <t>Command: Command Execution|File: File Modification|Process: Process Creation|Scheduled Job: Scheduled Job Creation</t>
        </is>
      </c>
      <c r="F94" s="74" t="n">
        <v>4</v>
      </c>
      <c r="G94" s="72">
        <f t="array" ref="G94">SUM(IF(ISERROR(FIND(sources[data source],techniques[[#This Row],[data sources]])),0,1)*IF(sources[available]="yes",1,0))</f>
        <v/>
      </c>
      <c r="H94" s="73">
        <f t="array" ref="H94">IF(techniques[[#This Row],[technique]]=techniques[[#This Row],[id]],SUM(IF(techniques[[#This Row],[id]]=techniques[technique],1,0))-1,"")</f>
        <v/>
      </c>
      <c r="I94" s="74">
        <f t="array" ref="I94">IF(SUM(IF($C94=detections[],IF(detections[is active]="yes",1,0),0))&gt;0,SUM(IF($C94=detections[],IF(detections[is active]="yes",1,0),0)),"")</f>
        <v/>
      </c>
      <c r="J94" s="74">
        <f t="array" ref="J9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94" s="74">
        <f>IF(AND(ISNUMBER(techniques[[#This Row],[number of sub techniques]]),techniques[[#This Row],[number of sub techniques]]&gt;1),techniques[number of sub techniques],1)</f>
        <v/>
      </c>
      <c r="L94" s="72" t="n"/>
      <c r="M94" s="74">
        <f t="array" ref="M9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9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94" s="26">
        <f>IF(techniques[[#This Row],[detection rules]]&gt;=techniques[[#This Row],[expected detection rules]],1,techniques[[#This Row],[detection rules]]/techniques[[#This Row],[expected detection rules]])</f>
        <v/>
      </c>
      <c r="P9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94" s="29">
        <f>IF(ISERROR(SEARCH(techniques[[#This Row],[id]],techniques[[#This Row],[name]])),"ERROR","")</f>
        <v/>
      </c>
      <c r="S9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95" ht="12.75" customHeight="1">
      <c r="A95" s="74" t="inlineStr">
        <is>
          <t>T1053</t>
        </is>
      </c>
      <c r="B95" s="74" t="inlineStr">
        <is>
          <t>T1053.003</t>
        </is>
      </c>
      <c r="C95" s="13" t="inlineStr">
        <is>
          <t>Cron (T1053.003)</t>
        </is>
      </c>
      <c r="D95" s="13" t="inlineStr">
        <is>
          <t>execution|persistence|privilege-escalation</t>
        </is>
      </c>
      <c r="E95" s="13" t="inlineStr">
        <is>
          <t>File: File Modification|Process: Process Creation|Scheduled Job: Scheduled Job Creation</t>
        </is>
      </c>
      <c r="F95" s="74" t="n">
        <v>3</v>
      </c>
      <c r="G95" s="72">
        <f t="array" ref="G95">SUM(IF(ISERROR(FIND(sources[data source],techniques[[#This Row],[data sources]])),0,1)*IF(sources[available]="yes",1,0))</f>
        <v/>
      </c>
      <c r="H95" s="73">
        <f t="array" ref="H95">IF(techniques[[#This Row],[technique]]=techniques[[#This Row],[id]],SUM(IF(techniques[[#This Row],[id]]=techniques[technique],1,0))-1,"")</f>
        <v/>
      </c>
      <c r="I95" s="74">
        <f t="array" ref="I95">IF(SUM(IF($C95=detections[],IF(detections[is active]="yes",1,0),0))&gt;0,SUM(IF($C95=detections[],IF(detections[is active]="yes",1,0),0)),"")</f>
        <v/>
      </c>
      <c r="J95" s="74">
        <f t="array" ref="J9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95" s="74">
        <f>IF(AND(ISNUMBER(techniques[[#This Row],[number of sub techniques]]),techniques[[#This Row],[number of sub techniques]]&gt;1),techniques[number of sub techniques],1)</f>
        <v/>
      </c>
      <c r="L95" s="72" t="n"/>
      <c r="M95" s="74">
        <f t="array" ref="M9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9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95" s="26">
        <f>IF(techniques[[#This Row],[detection rules]]&gt;=techniques[[#This Row],[expected detection rules]],1,techniques[[#This Row],[detection rules]]/techniques[[#This Row],[expected detection rules]])</f>
        <v/>
      </c>
      <c r="P9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95" s="29">
        <f>IF(ISERROR(SEARCH(techniques[[#This Row],[id]],techniques[[#This Row],[name]])),"ERROR","")</f>
        <v/>
      </c>
      <c r="S9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96" ht="12.75" customHeight="1">
      <c r="A96" s="74" t="inlineStr">
        <is>
          <t>T1053</t>
        </is>
      </c>
      <c r="B96" s="74" t="inlineStr">
        <is>
          <t>T1053.005</t>
        </is>
      </c>
      <c r="C96" s="13" t="inlineStr">
        <is>
          <t>Scheduled Task (T1053.005)</t>
        </is>
      </c>
      <c r="D96" s="13" t="inlineStr">
        <is>
          <t>execution|persistence|privilege-escalation</t>
        </is>
      </c>
      <c r="E96" s="13" t="inlineStr">
        <is>
          <t>File: File Creation|Process: Process Creation|Scheduled Job: Scheduled Job Creation|Scheduled Job: Scheduled Job Modification|Windows Registry: Windows Registry Key Modification</t>
        </is>
      </c>
      <c r="F96" s="74" t="n">
        <v>5</v>
      </c>
      <c r="G96" s="72">
        <f t="array" ref="G96">SUM(IF(ISERROR(FIND(sources[data source],techniques[[#This Row],[data sources]])),0,1)*IF(sources[available]="yes",1,0))</f>
        <v/>
      </c>
      <c r="H96" s="73">
        <f t="array" ref="H96">IF(techniques[[#This Row],[technique]]=techniques[[#This Row],[id]],SUM(IF(techniques[[#This Row],[id]]=techniques[technique],1,0))-1,"")</f>
        <v/>
      </c>
      <c r="I96" s="74">
        <f t="array" ref="I96">IF(SUM(IF($C96=detections[],IF(detections[is active]="yes",1,0),0))&gt;0,SUM(IF($C96=detections[],IF(detections[is active]="yes",1,0),0)),"")</f>
        <v/>
      </c>
      <c r="J96" s="74">
        <f t="array" ref="J9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96" s="74">
        <f>IF(AND(ISNUMBER(techniques[[#This Row],[number of sub techniques]]),techniques[[#This Row],[number of sub techniques]]&gt;1),techniques[number of sub techniques],1)</f>
        <v/>
      </c>
      <c r="L96" s="72" t="n"/>
      <c r="M96" s="74">
        <f t="array" ref="M9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9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96" s="26">
        <f>IF(techniques[[#This Row],[detection rules]]&gt;=techniques[[#This Row],[expected detection rules]],1,techniques[[#This Row],[detection rules]]/techniques[[#This Row],[expected detection rules]])</f>
        <v/>
      </c>
      <c r="P9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96" s="29">
        <f>IF(ISERROR(SEARCH(techniques[[#This Row],[id]],techniques[[#This Row],[name]])),"ERROR","")</f>
        <v/>
      </c>
      <c r="S9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97" ht="12.75" customHeight="1">
      <c r="A97" s="74" t="inlineStr">
        <is>
          <t>T1053</t>
        </is>
      </c>
      <c r="B97" s="74" t="inlineStr">
        <is>
          <t>T1053.006</t>
        </is>
      </c>
      <c r="C97" s="13" t="inlineStr">
        <is>
          <t>Systemd Timers (T1053.006)</t>
        </is>
      </c>
      <c r="D97" s="13" t="inlineStr">
        <is>
          <t>execution|persistence|privilege-escalation</t>
        </is>
      </c>
      <c r="E97" s="13" t="inlineStr">
        <is>
          <t>File: File Creation|Process: Process Creation|Scheduled Job: Scheduled Job Creation</t>
        </is>
      </c>
      <c r="F97" s="74" t="n">
        <v>3</v>
      </c>
      <c r="G97" s="72">
        <f t="array" ref="G97">SUM(IF(ISERROR(FIND(sources[data source],techniques[[#This Row],[data sources]])),0,1)*IF(sources[available]="yes",1,0))</f>
        <v/>
      </c>
      <c r="H97" s="73">
        <f t="array" ref="H97">IF(techniques[[#This Row],[technique]]=techniques[[#This Row],[id]],SUM(IF(techniques[[#This Row],[id]]=techniques[technique],1,0))-1,"")</f>
        <v/>
      </c>
      <c r="I97" s="74">
        <f t="array" ref="I97">IF(SUM(IF($C97=detections[],IF(detections[is active]="yes",1,0),0))&gt;0,SUM(IF($C97=detections[],IF(detections[is active]="yes",1,0),0)),"")</f>
        <v/>
      </c>
      <c r="J97" s="74">
        <f t="array" ref="J9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97" s="74">
        <f>IF(AND(ISNUMBER(techniques[[#This Row],[number of sub techniques]]),techniques[[#This Row],[number of sub techniques]]&gt;1),techniques[number of sub techniques],1)</f>
        <v/>
      </c>
      <c r="L97" s="72" t="n"/>
      <c r="M97" s="74">
        <f t="array" ref="M9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9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97" s="26">
        <f>IF(techniques[[#This Row],[detection rules]]&gt;=techniques[[#This Row],[expected detection rules]],1,techniques[[#This Row],[detection rules]]/techniques[[#This Row],[expected detection rules]])</f>
        <v/>
      </c>
      <c r="P9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97" s="29">
        <f>IF(ISERROR(SEARCH(techniques[[#This Row],[id]],techniques[[#This Row],[name]])),"ERROR","")</f>
        <v/>
      </c>
      <c r="S9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98" ht="12.75" customHeight="1">
      <c r="A98" s="74" t="inlineStr">
        <is>
          <t>T1053</t>
        </is>
      </c>
      <c r="B98" s="74" t="inlineStr">
        <is>
          <t>T1053.007</t>
        </is>
      </c>
      <c r="C98" s="13" t="inlineStr">
        <is>
          <t>Container Orchestration Job (T1053.007)</t>
        </is>
      </c>
      <c r="D98" s="13" t="inlineStr">
        <is>
          <t>execution|persistence|privilege-escalation</t>
        </is>
      </c>
      <c r="E98" s="13" t="inlineStr">
        <is>
          <t>Container: Container Creation|Network Traffic: Network Traffic Content|Scheduled Job: Scheduled Job Creation</t>
        </is>
      </c>
      <c r="F98" s="74" t="n">
        <v>3</v>
      </c>
      <c r="G98" s="72">
        <f t="array" ref="G98">SUM(IF(ISERROR(FIND(sources[data source],techniques[[#This Row],[data sources]])),0,1)*IF(sources[available]="yes",1,0))</f>
        <v/>
      </c>
      <c r="H98" s="73">
        <f t="array" ref="H98">IF(techniques[[#This Row],[technique]]=techniques[[#This Row],[id]],SUM(IF(techniques[[#This Row],[id]]=techniques[technique],1,0))-1,"")</f>
        <v/>
      </c>
      <c r="I98" s="74">
        <f t="array" ref="I98">IF(SUM(IF($C98=detections[],IF(detections[is active]="yes",1,0),0))&gt;0,SUM(IF($C98=detections[],IF(detections[is active]="yes",1,0),0)),"")</f>
        <v/>
      </c>
      <c r="J98" s="74">
        <f t="array" ref="J9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98" s="74">
        <f>IF(AND(ISNUMBER(techniques[[#This Row],[number of sub techniques]]),techniques[[#This Row],[number of sub techniques]]&gt;1),techniques[number of sub techniques],1)</f>
        <v/>
      </c>
      <c r="L98" s="72" t="n"/>
      <c r="M98" s="74">
        <f t="array" ref="M9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9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98" s="26">
        <f>IF(techniques[[#This Row],[detection rules]]&gt;=techniques[[#This Row],[expected detection rules]],1,techniques[[#This Row],[detection rules]]/techniques[[#This Row],[expected detection rules]])</f>
        <v/>
      </c>
      <c r="P9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98" s="29">
        <f>IF(ISERROR(SEARCH(techniques[[#This Row],[id]],techniques[[#This Row],[name]])),"ERROR","")</f>
        <v/>
      </c>
      <c r="S9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99" ht="12.75" customHeight="1">
      <c r="A99" s="74" t="inlineStr">
        <is>
          <t>T1055</t>
        </is>
      </c>
      <c r="B99" s="74" t="inlineStr">
        <is>
          <t>T1055</t>
        </is>
      </c>
      <c r="C99" s="13" t="inlineStr">
        <is>
          <t>Process Injection (T1055)</t>
        </is>
      </c>
      <c r="D99" s="13" t="inlineStr">
        <is>
          <t>stealth|privilege-escalation</t>
        </is>
      </c>
      <c r="E99" s="13" t="inlineStr">
        <is>
          <t>File: File Access|Module: Module Load|Process: OS API Execution|Process: Process Access|Process: Process Creation|Process: Process Metadata|Process: Process Modification</t>
        </is>
      </c>
      <c r="F99" s="74" t="n">
        <v>7</v>
      </c>
      <c r="G99" s="72">
        <f t="array" ref="G99">SUM(IF(ISERROR(FIND(sources[data source],techniques[[#This Row],[data sources]])),0,1)*IF(sources[available]="yes",1,0))</f>
        <v/>
      </c>
      <c r="H99" s="73">
        <f t="array" ref="H99">IF(techniques[[#This Row],[technique]]=techniques[[#This Row],[id]],SUM(IF(techniques[[#This Row],[id]]=techniques[technique],1,0))-1,"")</f>
        <v/>
      </c>
      <c r="I99" s="74">
        <f t="array" ref="I99">IF(SUM(IF($C99=detections[],IF(detections[is active]="yes",1,0),0))&gt;0,SUM(IF($C99=detections[],IF(detections[is active]="yes",1,0),0)),"")</f>
        <v/>
      </c>
      <c r="J99" s="74">
        <f t="array" ref="J9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99" s="74">
        <f>IF(AND(ISNUMBER(techniques[[#This Row],[number of sub techniques]]),techniques[[#This Row],[number of sub techniques]]&gt;1),techniques[number of sub techniques],1)</f>
        <v/>
      </c>
      <c r="L99" s="72" t="n"/>
      <c r="M99" s="74">
        <f t="array" ref="M9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9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99" s="26">
        <f>IF(techniques[[#This Row],[detection rules]]&gt;=techniques[[#This Row],[expected detection rules]],1,techniques[[#This Row],[detection rules]]/techniques[[#This Row],[expected detection rules]])</f>
        <v/>
      </c>
      <c r="P9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99" s="29">
        <f>IF(ISERROR(SEARCH(techniques[[#This Row],[id]],techniques[[#This Row],[name]])),"ERROR","")</f>
        <v/>
      </c>
      <c r="S9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00" ht="12.75" customHeight="1">
      <c r="A100" s="74" t="inlineStr">
        <is>
          <t>T1055</t>
        </is>
      </c>
      <c r="B100" s="74" t="inlineStr">
        <is>
          <t>T1055.001</t>
        </is>
      </c>
      <c r="C100" s="13" t="inlineStr">
        <is>
          <t>Dynamic-link Library Injection (T1055.001)</t>
        </is>
      </c>
      <c r="D100" s="13" t="inlineStr">
        <is>
          <t>stealth|privilege-escalation</t>
        </is>
      </c>
      <c r="E100" s="13" t="inlineStr">
        <is>
          <t>Module: Module Load|Named Pipe: Named Pipe Metadata|Process: Process Access|Process: Process Creation</t>
        </is>
      </c>
      <c r="F100" s="74" t="n">
        <v>4</v>
      </c>
      <c r="G100" s="72">
        <f t="array" ref="G100">SUM(IF(ISERROR(FIND(sources[data source],techniques[[#This Row],[data sources]])),0,1)*IF(sources[available]="yes",1,0))</f>
        <v/>
      </c>
      <c r="H100" s="73">
        <f t="array" ref="H100">IF(techniques[[#This Row],[technique]]=techniques[[#This Row],[id]],SUM(IF(techniques[[#This Row],[id]]=techniques[technique],1,0))-1,"")</f>
        <v/>
      </c>
      <c r="I100" s="74">
        <f t="array" ref="I100">IF(SUM(IF($C100=detections[],IF(detections[is active]="yes",1,0),0))&gt;0,SUM(IF($C100=detections[],IF(detections[is active]="yes",1,0),0)),"")</f>
        <v/>
      </c>
      <c r="J100" s="74">
        <f t="array" ref="J10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00" s="74">
        <f>IF(AND(ISNUMBER(techniques[[#This Row],[number of sub techniques]]),techniques[[#This Row],[number of sub techniques]]&gt;1),techniques[number of sub techniques],1)</f>
        <v/>
      </c>
      <c r="L100" s="72" t="n"/>
      <c r="M100" s="74">
        <f t="array" ref="M10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0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00" s="26">
        <f>IF(techniques[[#This Row],[detection rules]]&gt;=techniques[[#This Row],[expected detection rules]],1,techniques[[#This Row],[detection rules]]/techniques[[#This Row],[expected detection rules]])</f>
        <v/>
      </c>
      <c r="P10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00" s="29">
        <f>IF(ISERROR(SEARCH(techniques[[#This Row],[id]],techniques[[#This Row],[name]])),"ERROR","")</f>
        <v/>
      </c>
      <c r="S10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01" ht="12.75" customHeight="1">
      <c r="A101" s="74" t="inlineStr">
        <is>
          <t>T1055</t>
        </is>
      </c>
      <c r="B101" s="74" t="inlineStr">
        <is>
          <t>T1055.002</t>
        </is>
      </c>
      <c r="C101" s="13" t="inlineStr">
        <is>
          <t>Portable Executable Injection (T1055.002)</t>
        </is>
      </c>
      <c r="D101" s="13" t="inlineStr">
        <is>
          <t>stealth|privilege-escalation</t>
        </is>
      </c>
      <c r="E101" s="13" t="inlineStr">
        <is>
          <t>File: File Creation|Process: Process Access|Process: Process Creation|Process: Process Modification</t>
        </is>
      </c>
      <c r="F101" s="74" t="n">
        <v>4</v>
      </c>
      <c r="G101" s="72">
        <f t="array" ref="G101">SUM(IF(ISERROR(FIND(sources[data source],techniques[[#This Row],[data sources]])),0,1)*IF(sources[available]="yes",1,0))</f>
        <v/>
      </c>
      <c r="H101" s="73">
        <f t="array" ref="H101">IF(techniques[[#This Row],[technique]]=techniques[[#This Row],[id]],SUM(IF(techniques[[#This Row],[id]]=techniques[technique],1,0))-1,"")</f>
        <v/>
      </c>
      <c r="I101" s="74">
        <f t="array" ref="I101">IF(SUM(IF($C101=detections[],IF(detections[is active]="yes",1,0),0))&gt;0,SUM(IF($C101=detections[],IF(detections[is active]="yes",1,0),0)),"")</f>
        <v/>
      </c>
      <c r="J101" s="74">
        <f t="array" ref="J10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01" s="74">
        <f>IF(AND(ISNUMBER(techniques[[#This Row],[number of sub techniques]]),techniques[[#This Row],[number of sub techniques]]&gt;1),techniques[number of sub techniques],1)</f>
        <v/>
      </c>
      <c r="L101" s="72" t="n"/>
      <c r="M101" s="74">
        <f t="array" ref="M10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0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01" s="26">
        <f>IF(techniques[[#This Row],[detection rules]]&gt;=techniques[[#This Row],[expected detection rules]],1,techniques[[#This Row],[detection rules]]/techniques[[#This Row],[expected detection rules]])</f>
        <v/>
      </c>
      <c r="P10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01" s="29">
        <f>IF(ISERROR(SEARCH(techniques[[#This Row],[id]],techniques[[#This Row],[name]])),"ERROR","")</f>
        <v/>
      </c>
      <c r="S10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02" ht="12.75" customHeight="1">
      <c r="A102" s="74" t="inlineStr">
        <is>
          <t>T1055</t>
        </is>
      </c>
      <c r="B102" s="74" t="inlineStr">
        <is>
          <t>T1055.003</t>
        </is>
      </c>
      <c r="C102" s="13" t="inlineStr">
        <is>
          <t>Thread Execution Hijacking (T1055.003)</t>
        </is>
      </c>
      <c r="D102" s="13" t="inlineStr">
        <is>
          <t>stealth|privilege-escalation</t>
        </is>
      </c>
      <c r="E102" s="13" t="inlineStr">
        <is>
          <t>Process: OS API Execution|Process: Process Access|Process: Process Creation|Process: Process Modification</t>
        </is>
      </c>
      <c r="F102" s="74" t="n">
        <v>4</v>
      </c>
      <c r="G102" s="72">
        <f t="array" ref="G102">SUM(IF(ISERROR(FIND(sources[data source],techniques[[#This Row],[data sources]])),0,1)*IF(sources[available]="yes",1,0))</f>
        <v/>
      </c>
      <c r="H102" s="73">
        <f t="array" ref="H102">IF(techniques[[#This Row],[technique]]=techniques[[#This Row],[id]],SUM(IF(techniques[[#This Row],[id]]=techniques[technique],1,0))-1,"")</f>
        <v/>
      </c>
      <c r="I102" s="74">
        <f t="array" ref="I102">IF(SUM(IF($C102=detections[],IF(detections[is active]="yes",1,0),0))&gt;0,SUM(IF($C102=detections[],IF(detections[is active]="yes",1,0),0)),"")</f>
        <v/>
      </c>
      <c r="J102" s="74">
        <f t="array" ref="J10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02" s="74">
        <f>IF(AND(ISNUMBER(techniques[[#This Row],[number of sub techniques]]),techniques[[#This Row],[number of sub techniques]]&gt;1),techniques[number of sub techniques],1)</f>
        <v/>
      </c>
      <c r="L102" s="72" t="n"/>
      <c r="M102" s="74">
        <f t="array" ref="M10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0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02" s="26">
        <f>IF(techniques[[#This Row],[detection rules]]&gt;=techniques[[#This Row],[expected detection rules]],1,techniques[[#This Row],[detection rules]]/techniques[[#This Row],[expected detection rules]])</f>
        <v/>
      </c>
      <c r="P10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02" s="29">
        <f>IF(ISERROR(SEARCH(techniques[[#This Row],[id]],techniques[[#This Row],[name]])),"ERROR","")</f>
        <v/>
      </c>
      <c r="S10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03" ht="12.75" customHeight="1">
      <c r="A103" s="74" t="inlineStr">
        <is>
          <t>T1055</t>
        </is>
      </c>
      <c r="B103" s="74" t="inlineStr">
        <is>
          <t>T1055.004</t>
        </is>
      </c>
      <c r="C103" s="13" t="inlineStr">
        <is>
          <t>Asynchronous Procedure Call (T1055.004)</t>
        </is>
      </c>
      <c r="D103" s="13" t="inlineStr">
        <is>
          <t>stealth|privilege-escalation</t>
        </is>
      </c>
      <c r="E103" s="13" t="inlineStr">
        <is>
          <t>Process: OS API Execution|Process: Process Access|Process: Process Creation|Process: Process Modification</t>
        </is>
      </c>
      <c r="F103" s="74" t="n">
        <v>4</v>
      </c>
      <c r="G103" s="72">
        <f t="array" ref="G103">SUM(IF(ISERROR(FIND(sources[data source],techniques[[#This Row],[data sources]])),0,1)*IF(sources[available]="yes",1,0))</f>
        <v/>
      </c>
      <c r="H103" s="73">
        <f t="array" ref="H103">IF(techniques[[#This Row],[technique]]=techniques[[#This Row],[id]],SUM(IF(techniques[[#This Row],[id]]=techniques[technique],1,0))-1,"")</f>
        <v/>
      </c>
      <c r="I103" s="74">
        <f t="array" ref="I103">IF(SUM(IF($C103=detections[],IF(detections[is active]="yes",1,0),0))&gt;0,SUM(IF($C103=detections[],IF(detections[is active]="yes",1,0),0)),"")</f>
        <v/>
      </c>
      <c r="J103" s="74">
        <f t="array" ref="J10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03" s="74">
        <f>IF(AND(ISNUMBER(techniques[[#This Row],[number of sub techniques]]),techniques[[#This Row],[number of sub techniques]]&gt;1),techniques[number of sub techniques],1)</f>
        <v/>
      </c>
      <c r="L103" s="72" t="n"/>
      <c r="M103" s="74">
        <f t="array" ref="M10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0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03" s="26">
        <f>IF(techniques[[#This Row],[detection rules]]&gt;=techniques[[#This Row],[expected detection rules]],1,techniques[[#This Row],[detection rules]]/techniques[[#This Row],[expected detection rules]])</f>
        <v/>
      </c>
      <c r="P10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03" s="29">
        <f>IF(ISERROR(SEARCH(techniques[[#This Row],[id]],techniques[[#This Row],[name]])),"ERROR","")</f>
        <v/>
      </c>
      <c r="S10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04" ht="12.75" customHeight="1">
      <c r="A104" s="74" t="inlineStr">
        <is>
          <t>T1055</t>
        </is>
      </c>
      <c r="B104" s="74" t="inlineStr">
        <is>
          <t>T1055.005</t>
        </is>
      </c>
      <c r="C104" s="13" t="inlineStr">
        <is>
          <t>Thread Local Storage (T1055.005)</t>
        </is>
      </c>
      <c r="D104" s="13" t="inlineStr">
        <is>
          <t>stealth|privilege-escalation</t>
        </is>
      </c>
      <c r="E104" s="13" t="inlineStr">
        <is>
          <t>Module: Module Load|Process: OS API Execution|Process: Process Access|Process: Process Modification</t>
        </is>
      </c>
      <c r="F104" s="74" t="n">
        <v>4</v>
      </c>
      <c r="G104" s="72">
        <f t="array" ref="G104">SUM(IF(ISERROR(FIND(sources[data source],techniques[[#This Row],[data sources]])),0,1)*IF(sources[available]="yes",1,0))</f>
        <v/>
      </c>
      <c r="H104" s="73">
        <f t="array" ref="H104">IF(techniques[[#This Row],[technique]]=techniques[[#This Row],[id]],SUM(IF(techniques[[#This Row],[id]]=techniques[technique],1,0))-1,"")</f>
        <v/>
      </c>
      <c r="I104" s="74">
        <f t="array" ref="I104">IF(SUM(IF($C104=detections[],IF(detections[is active]="yes",1,0),0))&gt;0,SUM(IF($C104=detections[],IF(detections[is active]="yes",1,0),0)),"")</f>
        <v/>
      </c>
      <c r="J104" s="74">
        <f t="array" ref="J10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04" s="74">
        <f>IF(AND(ISNUMBER(techniques[[#This Row],[number of sub techniques]]),techniques[[#This Row],[number of sub techniques]]&gt;1),techniques[number of sub techniques],1)</f>
        <v/>
      </c>
      <c r="L104" s="72" t="n"/>
      <c r="M104" s="74">
        <f t="array" ref="M10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0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04" s="26">
        <f>IF(techniques[[#This Row],[detection rules]]&gt;=techniques[[#This Row],[expected detection rules]],1,techniques[[#This Row],[detection rules]]/techniques[[#This Row],[expected detection rules]])</f>
        <v/>
      </c>
      <c r="P10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04" s="29">
        <f>IF(ISERROR(SEARCH(techniques[[#This Row],[id]],techniques[[#This Row],[name]])),"ERROR","")</f>
        <v/>
      </c>
      <c r="S10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05" ht="12.75" customHeight="1">
      <c r="A105" s="74" t="inlineStr">
        <is>
          <t>T1055</t>
        </is>
      </c>
      <c r="B105" s="74" t="inlineStr">
        <is>
          <t>T1055.008</t>
        </is>
      </c>
      <c r="C105" s="13" t="inlineStr">
        <is>
          <t>Ptrace System Calls (T1055.008)</t>
        </is>
      </c>
      <c r="D105" s="13" t="inlineStr">
        <is>
          <t>stealth|privilege-escalation</t>
        </is>
      </c>
      <c r="E105" s="13" t="inlineStr">
        <is>
          <t>Process: OS API Execution|Process: Process Creation|Process: Process Metadata</t>
        </is>
      </c>
      <c r="F105" s="74" t="n">
        <v>3</v>
      </c>
      <c r="G105" s="72">
        <f t="array" ref="G105">SUM(IF(ISERROR(FIND(sources[data source],techniques[[#This Row],[data sources]])),0,1)*IF(sources[available]="yes",1,0))</f>
        <v/>
      </c>
      <c r="H105" s="73">
        <f t="array" ref="H105">IF(techniques[[#This Row],[technique]]=techniques[[#This Row],[id]],SUM(IF(techniques[[#This Row],[id]]=techniques[technique],1,0))-1,"")</f>
        <v/>
      </c>
      <c r="I105" s="74">
        <f t="array" ref="I105">IF(SUM(IF($C105=detections[],IF(detections[is active]="yes",1,0),0))&gt;0,SUM(IF($C105=detections[],IF(detections[is active]="yes",1,0),0)),"")</f>
        <v/>
      </c>
      <c r="J105" s="74">
        <f t="array" ref="J10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05" s="74">
        <f>IF(AND(ISNUMBER(techniques[[#This Row],[number of sub techniques]]),techniques[[#This Row],[number of sub techniques]]&gt;1),techniques[number of sub techniques],1)</f>
        <v/>
      </c>
      <c r="L105" s="72" t="n"/>
      <c r="M105" s="74">
        <f t="array" ref="M10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0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05" s="26">
        <f>IF(techniques[[#This Row],[detection rules]]&gt;=techniques[[#This Row],[expected detection rules]],1,techniques[[#This Row],[detection rules]]/techniques[[#This Row],[expected detection rules]])</f>
        <v/>
      </c>
      <c r="P10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05" s="29">
        <f>IF(ISERROR(SEARCH(techniques[[#This Row],[id]],techniques[[#This Row],[name]])),"ERROR","")</f>
        <v/>
      </c>
      <c r="S10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06" ht="12.75" customHeight="1">
      <c r="A106" s="74" t="inlineStr">
        <is>
          <t>T1055</t>
        </is>
      </c>
      <c r="B106" s="74" t="inlineStr">
        <is>
          <t>T1055.009</t>
        </is>
      </c>
      <c r="C106" s="13" t="inlineStr">
        <is>
          <t>Proc Memory (T1055.009)</t>
        </is>
      </c>
      <c r="D106" s="13" t="inlineStr">
        <is>
          <t>stealth|privilege-escalation</t>
        </is>
      </c>
      <c r="E106" s="13" t="inlineStr">
        <is>
          <t>File: File Access|File: File Modification|Process: OS API Execution</t>
        </is>
      </c>
      <c r="F106" s="74" t="n">
        <v>3</v>
      </c>
      <c r="G106" s="72">
        <f t="array" ref="G106">SUM(IF(ISERROR(FIND(sources[data source],techniques[[#This Row],[data sources]])),0,1)*IF(sources[available]="yes",1,0))</f>
        <v/>
      </c>
      <c r="H106" s="73">
        <f t="array" ref="H106">IF(techniques[[#This Row],[technique]]=techniques[[#This Row],[id]],SUM(IF(techniques[[#This Row],[id]]=techniques[technique],1,0))-1,"")</f>
        <v/>
      </c>
      <c r="I106" s="74">
        <f t="array" ref="I106">IF(SUM(IF($C106=detections[],IF(detections[is active]="yes",1,0),0))&gt;0,SUM(IF($C106=detections[],IF(detections[is active]="yes",1,0),0)),"")</f>
        <v/>
      </c>
      <c r="J106" s="74">
        <f t="array" ref="J10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06" s="74">
        <f>IF(AND(ISNUMBER(techniques[[#This Row],[number of sub techniques]]),techniques[[#This Row],[number of sub techniques]]&gt;1),techniques[number of sub techniques],1)</f>
        <v/>
      </c>
      <c r="L106" s="72" t="n"/>
      <c r="M106" s="74">
        <f t="array" ref="M10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0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06" s="26">
        <f>IF(techniques[[#This Row],[detection rules]]&gt;=techniques[[#This Row],[expected detection rules]],1,techniques[[#This Row],[detection rules]]/techniques[[#This Row],[expected detection rules]])</f>
        <v/>
      </c>
      <c r="P10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06" s="29">
        <f>IF(ISERROR(SEARCH(techniques[[#This Row],[id]],techniques[[#This Row],[name]])),"ERROR","")</f>
        <v/>
      </c>
      <c r="S10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07" ht="12.75" customHeight="1">
      <c r="A107" s="74" t="inlineStr">
        <is>
          <t>T1055</t>
        </is>
      </c>
      <c r="B107" s="74" t="inlineStr">
        <is>
          <t>T1055.011</t>
        </is>
      </c>
      <c r="C107" s="13" t="inlineStr">
        <is>
          <t>Extra Window Memory Injection (T1055.011)</t>
        </is>
      </c>
      <c r="D107" s="13" t="inlineStr">
        <is>
          <t>stealth|privilege-escalation</t>
        </is>
      </c>
      <c r="E107" s="13" t="inlineStr">
        <is>
          <t>Process: OS API Execution|Process: Process Access|Process: Process Creation</t>
        </is>
      </c>
      <c r="F107" s="74" t="n">
        <v>3</v>
      </c>
      <c r="G107" s="72">
        <f t="array" ref="G107">SUM(IF(ISERROR(FIND(sources[data source],techniques[[#This Row],[data sources]])),0,1)*IF(sources[available]="yes",1,0))</f>
        <v/>
      </c>
      <c r="H107" s="73">
        <f t="array" ref="H107">IF(techniques[[#This Row],[technique]]=techniques[[#This Row],[id]],SUM(IF(techniques[[#This Row],[id]]=techniques[technique],1,0))-1,"")</f>
        <v/>
      </c>
      <c r="I107" s="74">
        <f t="array" ref="I107">IF(SUM(IF($C107=detections[],IF(detections[is active]="yes",1,0),0))&gt;0,SUM(IF($C107=detections[],IF(detections[is active]="yes",1,0),0)),"")</f>
        <v/>
      </c>
      <c r="J107" s="74">
        <f t="array" ref="J10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07" s="74">
        <f>IF(AND(ISNUMBER(techniques[[#This Row],[number of sub techniques]]),techniques[[#This Row],[number of sub techniques]]&gt;1),techniques[number of sub techniques],1)</f>
        <v/>
      </c>
      <c r="L107" s="72" t="n"/>
      <c r="M107" s="74">
        <f t="array" ref="M10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0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07" s="26">
        <f>IF(techniques[[#This Row],[detection rules]]&gt;=techniques[[#This Row],[expected detection rules]],1,techniques[[#This Row],[detection rules]]/techniques[[#This Row],[expected detection rules]])</f>
        <v/>
      </c>
      <c r="P10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07" s="29">
        <f>IF(ISERROR(SEARCH(techniques[[#This Row],[id]],techniques[[#This Row],[name]])),"ERROR","")</f>
        <v/>
      </c>
      <c r="S10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08" ht="12.75" customHeight="1">
      <c r="A108" s="74" t="inlineStr">
        <is>
          <t>T1055</t>
        </is>
      </c>
      <c r="B108" s="74" t="inlineStr">
        <is>
          <t>T1055.012</t>
        </is>
      </c>
      <c r="C108" s="13" t="inlineStr">
        <is>
          <t>Process Hollowing (T1055.012)</t>
        </is>
      </c>
      <c r="D108" s="13" t="inlineStr">
        <is>
          <t>stealth|privilege-escalation</t>
        </is>
      </c>
      <c r="E108" s="13" t="inlineStr">
        <is>
          <t>Process: OS API Execution|Process: Process Access|Process: Process Creation|Process: Process Modification</t>
        </is>
      </c>
      <c r="F108" s="74" t="n">
        <v>4</v>
      </c>
      <c r="G108" s="72">
        <f t="array" ref="G108">SUM(IF(ISERROR(FIND(sources[data source],techniques[[#This Row],[data sources]])),0,1)*IF(sources[available]="yes",1,0))</f>
        <v/>
      </c>
      <c r="H108" s="73">
        <f t="array" ref="H108">IF(techniques[[#This Row],[technique]]=techniques[[#This Row],[id]],SUM(IF(techniques[[#This Row],[id]]=techniques[technique],1,0))-1,"")</f>
        <v/>
      </c>
      <c r="I108" s="74">
        <f t="array" ref="I108">IF(SUM(IF($C108=detections[],IF(detections[is active]="yes",1,0),0))&gt;0,SUM(IF($C108=detections[],IF(detections[is active]="yes",1,0),0)),"")</f>
        <v/>
      </c>
      <c r="J108" s="74">
        <f t="array" ref="J10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08" s="74">
        <f>IF(AND(ISNUMBER(techniques[[#This Row],[number of sub techniques]]),techniques[[#This Row],[number of sub techniques]]&gt;1),techniques[number of sub techniques],1)</f>
        <v/>
      </c>
      <c r="L108" s="72" t="n"/>
      <c r="M108" s="74">
        <f t="array" ref="M10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0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08" s="26">
        <f>IF(techniques[[#This Row],[detection rules]]&gt;=techniques[[#This Row],[expected detection rules]],1,techniques[[#This Row],[detection rules]]/techniques[[#This Row],[expected detection rules]])</f>
        <v/>
      </c>
      <c r="P10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08" s="29">
        <f>IF(ISERROR(SEARCH(techniques[[#This Row],[id]],techniques[[#This Row],[name]])),"ERROR","")</f>
        <v/>
      </c>
      <c r="S10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09" ht="12.75" customHeight="1">
      <c r="A109" s="74" t="inlineStr">
        <is>
          <t>T1055</t>
        </is>
      </c>
      <c r="B109" s="74" t="inlineStr">
        <is>
          <t>T1055.013</t>
        </is>
      </c>
      <c r="C109" s="13" t="inlineStr">
        <is>
          <t>Process Doppelgänging (T1055.013)</t>
        </is>
      </c>
      <c r="D109" s="13" t="inlineStr">
        <is>
          <t>stealth|privilege-escalation</t>
        </is>
      </c>
      <c r="E109" s="13" t="inlineStr">
        <is>
          <t>File: File Creation|Process: OS API Execution|Process: Process Access|Process: Process Creation</t>
        </is>
      </c>
      <c r="F109" s="74" t="n">
        <v>4</v>
      </c>
      <c r="G109" s="72">
        <f t="array" ref="G109">SUM(IF(ISERROR(FIND(sources[data source],techniques[[#This Row],[data sources]])),0,1)*IF(sources[available]="yes",1,0))</f>
        <v/>
      </c>
      <c r="H109" s="73">
        <f t="array" ref="H109">IF(techniques[[#This Row],[technique]]=techniques[[#This Row],[id]],SUM(IF(techniques[[#This Row],[id]]=techniques[technique],1,0))-1,"")</f>
        <v/>
      </c>
      <c r="I109" s="74">
        <f t="array" ref="I109">IF(SUM(IF($C109=detections[],IF(detections[is active]="yes",1,0),0))&gt;0,SUM(IF($C109=detections[],IF(detections[is active]="yes",1,0),0)),"")</f>
        <v/>
      </c>
      <c r="J109" s="74">
        <f t="array" ref="J10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09" s="74">
        <f>IF(AND(ISNUMBER(techniques[[#This Row],[number of sub techniques]]),techniques[[#This Row],[number of sub techniques]]&gt;1),techniques[number of sub techniques],1)</f>
        <v/>
      </c>
      <c r="L109" s="72" t="n"/>
      <c r="M109" s="74">
        <f t="array" ref="M10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0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09" s="26">
        <f>IF(techniques[[#This Row],[detection rules]]&gt;=techniques[[#This Row],[expected detection rules]],1,techniques[[#This Row],[detection rules]]/techniques[[#This Row],[expected detection rules]])</f>
        <v/>
      </c>
      <c r="P10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09" s="29">
        <f>IF(ISERROR(SEARCH(techniques[[#This Row],[id]],techniques[[#This Row],[name]])),"ERROR","")</f>
        <v/>
      </c>
      <c r="S10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10" ht="12.75" customHeight="1">
      <c r="A110" s="74" t="inlineStr">
        <is>
          <t>T1055</t>
        </is>
      </c>
      <c r="B110" s="74" t="inlineStr">
        <is>
          <t>T1055.014</t>
        </is>
      </c>
      <c r="C110" s="13" t="inlineStr">
        <is>
          <t>VDSO Hijacking (T1055.014)</t>
        </is>
      </c>
      <c r="D110" s="13" t="inlineStr">
        <is>
          <t>stealth|privilege-escalation</t>
        </is>
      </c>
      <c r="E110" s="13" t="inlineStr">
        <is>
          <t>Module: Module Load|Process: OS API Execution|Process: Process Creation|Process: Process Modification</t>
        </is>
      </c>
      <c r="F110" s="74" t="n">
        <v>4</v>
      </c>
      <c r="G110" s="72">
        <f t="array" ref="G110">SUM(IF(ISERROR(FIND(sources[data source],techniques[[#This Row],[data sources]])),0,1)*IF(sources[available]="yes",1,0))</f>
        <v/>
      </c>
      <c r="H110" s="73">
        <f t="array" ref="H110">IF(techniques[[#This Row],[technique]]=techniques[[#This Row],[id]],SUM(IF(techniques[[#This Row],[id]]=techniques[technique],1,0))-1,"")</f>
        <v/>
      </c>
      <c r="I110" s="74">
        <f t="array" ref="I110">IF(SUM(IF($C110=detections[],IF(detections[is active]="yes",1,0),0))&gt;0,SUM(IF($C110=detections[],IF(detections[is active]="yes",1,0),0)),"")</f>
        <v/>
      </c>
      <c r="J110" s="74">
        <f t="array" ref="J11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10" s="74">
        <f>IF(AND(ISNUMBER(techniques[[#This Row],[number of sub techniques]]),techniques[[#This Row],[number of sub techniques]]&gt;1),techniques[number of sub techniques],1)</f>
        <v/>
      </c>
      <c r="L110" s="72" t="n"/>
      <c r="M110" s="74">
        <f t="array" ref="M11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1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10" s="26">
        <f>IF(techniques[[#This Row],[detection rules]]&gt;=techniques[[#This Row],[expected detection rules]],1,techniques[[#This Row],[detection rules]]/techniques[[#This Row],[expected detection rules]])</f>
        <v/>
      </c>
      <c r="P11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10" s="29">
        <f>IF(ISERROR(SEARCH(techniques[[#This Row],[id]],techniques[[#This Row],[name]])),"ERROR","")</f>
        <v/>
      </c>
      <c r="S11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11" ht="12.75" customHeight="1">
      <c r="A111" s="74" t="inlineStr">
        <is>
          <t>T1055</t>
        </is>
      </c>
      <c r="B111" s="74" t="inlineStr">
        <is>
          <t>T1055.015</t>
        </is>
      </c>
      <c r="C111" s="13" t="inlineStr">
        <is>
          <t>ListPlanting (T1055.015)</t>
        </is>
      </c>
      <c r="D111" s="13" t="inlineStr">
        <is>
          <t>stealth|privilege-escalation</t>
        </is>
      </c>
      <c r="E111" s="13" t="inlineStr">
        <is>
          <t>Process: OS API Execution|Process: Process Access|Process: Process Creation|Process: Process Modification</t>
        </is>
      </c>
      <c r="F111" s="74" t="n">
        <v>4</v>
      </c>
      <c r="G111" s="72">
        <f t="array" ref="G111">SUM(IF(ISERROR(FIND(sources[data source],techniques[[#This Row],[data sources]])),0,1)*IF(sources[available]="yes",1,0))</f>
        <v/>
      </c>
      <c r="H111" s="73">
        <f t="array" ref="H111">IF(techniques[[#This Row],[technique]]=techniques[[#This Row],[id]],SUM(IF(techniques[[#This Row],[id]]=techniques[technique],1,0))-1,"")</f>
        <v/>
      </c>
      <c r="I111" s="74">
        <f t="array" ref="I111">IF(SUM(IF($C111=detections[],IF(detections[is active]="yes",1,0),0))&gt;0,SUM(IF($C111=detections[],IF(detections[is active]="yes",1,0),0)),"")</f>
        <v/>
      </c>
      <c r="J111" s="74">
        <f t="array" ref="J11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11" s="74">
        <f>IF(AND(ISNUMBER(techniques[[#This Row],[number of sub techniques]]),techniques[[#This Row],[number of sub techniques]]&gt;1),techniques[number of sub techniques],1)</f>
        <v/>
      </c>
      <c r="L111" s="72" t="n"/>
      <c r="M111" s="74">
        <f t="array" ref="M11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1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11" s="26">
        <f>IF(techniques[[#This Row],[detection rules]]&gt;=techniques[[#This Row],[expected detection rules]],1,techniques[[#This Row],[detection rules]]/techniques[[#This Row],[expected detection rules]])</f>
        <v/>
      </c>
      <c r="P11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11" s="29">
        <f>IF(ISERROR(SEARCH(techniques[[#This Row],[id]],techniques[[#This Row],[name]])),"ERROR","")</f>
        <v/>
      </c>
      <c r="S11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12" ht="12.75" customHeight="1">
      <c r="A112" s="74" t="inlineStr">
        <is>
          <t>T1056</t>
        </is>
      </c>
      <c r="B112" s="74" t="inlineStr">
        <is>
          <t>T1056</t>
        </is>
      </c>
      <c r="C112" s="13" t="inlineStr">
        <is>
          <t>Input Capture (T1056)</t>
        </is>
      </c>
      <c r="D112" s="13" t="inlineStr">
        <is>
          <t>collection|credential-access</t>
        </is>
      </c>
      <c r="E112" s="13" t="inlineStr">
        <is>
          <t>File: File Access|File: File Modification|Network Traffic: Network Connection Creation|Network Traffic: Network Traffic Content|Process: OS API Execution|Process: Process Access|Process: Process Creation|Process: Process Metadata</t>
        </is>
      </c>
      <c r="F112" s="74" t="n">
        <v>8</v>
      </c>
      <c r="G112" s="72">
        <f t="array" ref="G112">SUM(IF(ISERROR(FIND(sources[data source],techniques[[#This Row],[data sources]])),0,1)*IF(sources[available]="yes",1,0))</f>
        <v/>
      </c>
      <c r="H112" s="73">
        <f t="array" ref="H112">IF(techniques[[#This Row],[technique]]=techniques[[#This Row],[id]],SUM(IF(techniques[[#This Row],[id]]=techniques[technique],1,0))-1,"")</f>
        <v/>
      </c>
      <c r="I112" s="74">
        <f t="array" ref="I112">IF(SUM(IF($C112=detections[],IF(detections[is active]="yes",1,0),0))&gt;0,SUM(IF($C112=detections[],IF(detections[is active]="yes",1,0),0)),"")</f>
        <v/>
      </c>
      <c r="J112" s="74">
        <f t="array" ref="J11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12" s="74">
        <f>IF(AND(ISNUMBER(techniques[[#This Row],[number of sub techniques]]),techniques[[#This Row],[number of sub techniques]]&gt;1),techniques[number of sub techniques],1)</f>
        <v/>
      </c>
      <c r="L112" s="72" t="n"/>
      <c r="M112" s="74">
        <f t="array" ref="M11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1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12" s="26">
        <f>IF(techniques[[#This Row],[detection rules]]&gt;=techniques[[#This Row],[expected detection rules]],1,techniques[[#This Row],[detection rules]]/techniques[[#This Row],[expected detection rules]])</f>
        <v/>
      </c>
      <c r="P11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12" s="29">
        <f>IF(ISERROR(SEARCH(techniques[[#This Row],[id]],techniques[[#This Row],[name]])),"ERROR","")</f>
        <v/>
      </c>
      <c r="S11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13" ht="12.75" customHeight="1">
      <c r="A113" s="74" t="inlineStr">
        <is>
          <t>T1056</t>
        </is>
      </c>
      <c r="B113" s="74" t="inlineStr">
        <is>
          <t>T1056.001</t>
        </is>
      </c>
      <c r="C113" s="13" t="inlineStr">
        <is>
          <t>Keylogging (T1056.001)</t>
        </is>
      </c>
      <c r="D113" s="13" t="inlineStr">
        <is>
          <t>collection|credential-access</t>
        </is>
      </c>
      <c r="E113" s="13" t="inlineStr">
        <is>
          <t>File: File Access|Firmware: Firmware Modification|Network Traffic: Network Traffic Content|Process: OS API Execution|Process: Process Access|Process: Process Creation|Process: Process Metadata|Service: Service Creation|Windows Registry: Windows Registry Key Modification</t>
        </is>
      </c>
      <c r="F113" s="74" t="n">
        <v>9</v>
      </c>
      <c r="G113" s="72">
        <f t="array" ref="G113">SUM(IF(ISERROR(FIND(sources[data source],techniques[[#This Row],[data sources]])),0,1)*IF(sources[available]="yes",1,0))</f>
        <v/>
      </c>
      <c r="H113" s="73">
        <f t="array" ref="H113">IF(techniques[[#This Row],[technique]]=techniques[[#This Row],[id]],SUM(IF(techniques[[#This Row],[id]]=techniques[technique],1,0))-1,"")</f>
        <v/>
      </c>
      <c r="I113" s="74">
        <f t="array" ref="I113">IF(SUM(IF($C113=detections[],IF(detections[is active]="yes",1,0),0))&gt;0,SUM(IF($C113=detections[],IF(detections[is active]="yes",1,0),0)),"")</f>
        <v/>
      </c>
      <c r="J113" s="74">
        <f t="array" ref="J11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13" s="74">
        <f>IF(AND(ISNUMBER(techniques[[#This Row],[number of sub techniques]]),techniques[[#This Row],[number of sub techniques]]&gt;1),techniques[number of sub techniques],1)</f>
        <v/>
      </c>
      <c r="L113" s="72" t="n"/>
      <c r="M113" s="74">
        <f t="array" ref="M11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1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13" s="26">
        <f>IF(techniques[[#This Row],[detection rules]]&gt;=techniques[[#This Row],[expected detection rules]],1,techniques[[#This Row],[detection rules]]/techniques[[#This Row],[expected detection rules]])</f>
        <v/>
      </c>
      <c r="P11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13" s="29">
        <f>IF(ISERROR(SEARCH(techniques[[#This Row],[id]],techniques[[#This Row],[name]])),"ERROR","")</f>
        <v/>
      </c>
      <c r="S11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14" ht="12.75" customHeight="1">
      <c r="A114" s="74" t="inlineStr">
        <is>
          <t>T1056</t>
        </is>
      </c>
      <c r="B114" s="74" t="inlineStr">
        <is>
          <t>T1056.002</t>
        </is>
      </c>
      <c r="C114" s="13" t="inlineStr">
        <is>
          <t>GUI Input Capture (T1056.002)</t>
        </is>
      </c>
      <c r="D114" s="13" t="inlineStr">
        <is>
          <t>collection|credential-access</t>
        </is>
      </c>
      <c r="E114" s="13" t="inlineStr">
        <is>
          <t>Command: Command Execution|Process: Process Creation|Script: Script Execution</t>
        </is>
      </c>
      <c r="F114" s="74" t="n">
        <v>3</v>
      </c>
      <c r="G114" s="72">
        <f t="array" ref="G114">SUM(IF(ISERROR(FIND(sources[data source],techniques[[#This Row],[data sources]])),0,1)*IF(sources[available]="yes",1,0))</f>
        <v/>
      </c>
      <c r="H114" s="73">
        <f t="array" ref="H114">IF(techniques[[#This Row],[technique]]=techniques[[#This Row],[id]],SUM(IF(techniques[[#This Row],[id]]=techniques[technique],1,0))-1,"")</f>
        <v/>
      </c>
      <c r="I114" s="74">
        <f t="array" ref="I114">IF(SUM(IF($C114=detections[],IF(detections[is active]="yes",1,0),0))&gt;0,SUM(IF($C114=detections[],IF(detections[is active]="yes",1,0),0)),"")</f>
        <v/>
      </c>
      <c r="J114" s="74">
        <f t="array" ref="J11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14" s="74">
        <f>IF(AND(ISNUMBER(techniques[[#This Row],[number of sub techniques]]),techniques[[#This Row],[number of sub techniques]]&gt;1),techniques[number of sub techniques],1)</f>
        <v/>
      </c>
      <c r="L114" s="72" t="n"/>
      <c r="M114" s="74">
        <f t="array" ref="M11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1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14" s="26">
        <f>IF(techniques[[#This Row],[detection rules]]&gt;=techniques[[#This Row],[expected detection rules]],1,techniques[[#This Row],[detection rules]]/techniques[[#This Row],[expected detection rules]])</f>
        <v/>
      </c>
      <c r="P11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14" s="29">
        <f>IF(ISERROR(SEARCH(techniques[[#This Row],[id]],techniques[[#This Row],[name]])),"ERROR","")</f>
        <v/>
      </c>
      <c r="S11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15" ht="12.75" customHeight="1">
      <c r="A115" s="74" t="inlineStr">
        <is>
          <t>T1056</t>
        </is>
      </c>
      <c r="B115" s="74" t="inlineStr">
        <is>
          <t>T1056.003</t>
        </is>
      </c>
      <c r="C115" s="13" t="inlineStr">
        <is>
          <t>Web Portal Capture (T1056.003)</t>
        </is>
      </c>
      <c r="D115" s="13" t="inlineStr">
        <is>
          <t>collection|credential-access</t>
        </is>
      </c>
      <c r="E115" s="13" t="inlineStr">
        <is>
          <t>File: File Creation|File: File Modification|Network Traffic: Network Traffic Content</t>
        </is>
      </c>
      <c r="F115" s="74" t="n">
        <v>3</v>
      </c>
      <c r="G115" s="72">
        <f t="array" ref="G115">SUM(IF(ISERROR(FIND(sources[data source],techniques[[#This Row],[data sources]])),0,1)*IF(sources[available]="yes",1,0))</f>
        <v/>
      </c>
      <c r="H115" s="73">
        <f t="array" ref="H115">IF(techniques[[#This Row],[technique]]=techniques[[#This Row],[id]],SUM(IF(techniques[[#This Row],[id]]=techniques[technique],1,0))-1,"")</f>
        <v/>
      </c>
      <c r="I115" s="74">
        <f t="array" ref="I115">IF(SUM(IF($C115=detections[],IF(detections[is active]="yes",1,0),0))&gt;0,SUM(IF($C115=detections[],IF(detections[is active]="yes",1,0),0)),"")</f>
        <v/>
      </c>
      <c r="J115" s="74">
        <f t="array" ref="J11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15" s="74">
        <f>IF(AND(ISNUMBER(techniques[[#This Row],[number of sub techniques]]),techniques[[#This Row],[number of sub techniques]]&gt;1),techniques[number of sub techniques],1)</f>
        <v/>
      </c>
      <c r="L115" s="72" t="n"/>
      <c r="M115" s="74">
        <f t="array" ref="M11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1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15" s="26">
        <f>IF(techniques[[#This Row],[detection rules]]&gt;=techniques[[#This Row],[expected detection rules]],1,techniques[[#This Row],[detection rules]]/techniques[[#This Row],[expected detection rules]])</f>
        <v/>
      </c>
      <c r="P11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15" s="29">
        <f>IF(ISERROR(SEARCH(techniques[[#This Row],[id]],techniques[[#This Row],[name]])),"ERROR","")</f>
        <v/>
      </c>
      <c r="S11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16" ht="12.75" customHeight="1">
      <c r="A116" s="74" t="inlineStr">
        <is>
          <t>T1056</t>
        </is>
      </c>
      <c r="B116" s="74" t="inlineStr">
        <is>
          <t>T1056.004</t>
        </is>
      </c>
      <c r="C116" s="13" t="inlineStr">
        <is>
          <t>Credential API Hooking (T1056.004)</t>
        </is>
      </c>
      <c r="D116" s="13" t="inlineStr">
        <is>
          <t>collection|credential-access</t>
        </is>
      </c>
      <c r="E116" s="13" t="inlineStr">
        <is>
          <t>File: File Access|Module: Module Load|Process: Process Access|Process: Process Creation|Process: Process Modification</t>
        </is>
      </c>
      <c r="F116" s="74" t="n">
        <v>5</v>
      </c>
      <c r="G116" s="72">
        <f t="array" ref="G116">SUM(IF(ISERROR(FIND(sources[data source],techniques[[#This Row],[data sources]])),0,1)*IF(sources[available]="yes",1,0))</f>
        <v/>
      </c>
      <c r="H116" s="73">
        <f t="array" ref="H116">IF(techniques[[#This Row],[technique]]=techniques[[#This Row],[id]],SUM(IF(techniques[[#This Row],[id]]=techniques[technique],1,0))-1,"")</f>
        <v/>
      </c>
      <c r="I116" s="74">
        <f t="array" ref="I116">IF(SUM(IF($C116=detections[],IF(detections[is active]="yes",1,0),0))&gt;0,SUM(IF($C116=detections[],IF(detections[is active]="yes",1,0),0)),"")</f>
        <v/>
      </c>
      <c r="J116" s="74">
        <f t="array" ref="J11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16" s="74">
        <f>IF(AND(ISNUMBER(techniques[[#This Row],[number of sub techniques]]),techniques[[#This Row],[number of sub techniques]]&gt;1),techniques[number of sub techniques],1)</f>
        <v/>
      </c>
      <c r="L116" s="72" t="n"/>
      <c r="M116" s="74">
        <f t="array" ref="M11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1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16" s="26">
        <f>IF(techniques[[#This Row],[detection rules]]&gt;=techniques[[#This Row],[expected detection rules]],1,techniques[[#This Row],[detection rules]]/techniques[[#This Row],[expected detection rules]])</f>
        <v/>
      </c>
      <c r="P11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16" s="29">
        <f>IF(ISERROR(SEARCH(techniques[[#This Row],[id]],techniques[[#This Row],[name]])),"ERROR","")</f>
        <v/>
      </c>
      <c r="S11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17" ht="12.75" customHeight="1">
      <c r="A117" s="74" t="inlineStr">
        <is>
          <t>T1057</t>
        </is>
      </c>
      <c r="B117" s="74" t="inlineStr">
        <is>
          <t>T1057</t>
        </is>
      </c>
      <c r="C117" s="13" t="inlineStr">
        <is>
          <t>Process Discovery (T1057)</t>
        </is>
      </c>
      <c r="D117" s="13" t="inlineStr">
        <is>
          <t>discovery</t>
        </is>
      </c>
      <c r="E117" s="13" t="inlineStr">
        <is>
          <t>Command: Command Execution|File: File Access|Process: Process Access|Process: Process Creation|Process: Process Metadata</t>
        </is>
      </c>
      <c r="F117" s="74" t="n">
        <v>5</v>
      </c>
      <c r="G117" s="72">
        <f t="array" ref="G117">SUM(IF(ISERROR(FIND(sources[data source],techniques[[#This Row],[data sources]])),0,1)*IF(sources[available]="yes",1,0))</f>
        <v/>
      </c>
      <c r="H117" s="73">
        <f t="array" ref="H117">IF(techniques[[#This Row],[technique]]=techniques[[#This Row],[id]],SUM(IF(techniques[[#This Row],[id]]=techniques[technique],1,0))-1,"")</f>
        <v/>
      </c>
      <c r="I117" s="74">
        <f t="array" ref="I117">IF(SUM(IF($C117=detections[],IF(detections[is active]="yes",1,0),0))&gt;0,SUM(IF($C117=detections[],IF(detections[is active]="yes",1,0),0)),"")</f>
        <v/>
      </c>
      <c r="J117" s="74">
        <f t="array" ref="J11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17" s="74">
        <f>IF(AND(ISNUMBER(techniques[[#This Row],[number of sub techniques]]),techniques[[#This Row],[number of sub techniques]]&gt;1),techniques[number of sub techniques],1)</f>
        <v/>
      </c>
      <c r="L117" s="72" t="n"/>
      <c r="M117" s="74">
        <f t="array" ref="M11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1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17" s="26">
        <f>IF(techniques[[#This Row],[detection rules]]&gt;=techniques[[#This Row],[expected detection rules]],1,techniques[[#This Row],[detection rules]]/techniques[[#This Row],[expected detection rules]])</f>
        <v/>
      </c>
      <c r="P11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17" s="29">
        <f>IF(ISERROR(SEARCH(techniques[[#This Row],[id]],techniques[[#This Row],[name]])),"ERROR","")</f>
        <v/>
      </c>
      <c r="S11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18" ht="12.75" customHeight="1">
      <c r="A118" s="74" t="inlineStr">
        <is>
          <t>T1059</t>
        </is>
      </c>
      <c r="B118" s="74" t="inlineStr">
        <is>
          <t>T1059</t>
        </is>
      </c>
      <c r="C118" s="13" t="inlineStr">
        <is>
          <t>Command and Scripting Interpreter (T1059)</t>
        </is>
      </c>
      <c r="D118" s="13" t="inlineStr">
        <is>
          <t>execution</t>
        </is>
      </c>
      <c r="E118" s="13" t="inlineStr">
        <is>
          <t>Command: Command Execution|Process: Process Creation|User Account: User Account Authentication</t>
        </is>
      </c>
      <c r="F118" s="74" t="n">
        <v>3</v>
      </c>
      <c r="G118" s="72">
        <f t="array" ref="G118">SUM(IF(ISERROR(FIND(sources[data source],techniques[[#This Row],[data sources]])),0,1)*IF(sources[available]="yes",1,0))</f>
        <v/>
      </c>
      <c r="H118" s="73">
        <f t="array" ref="H118">IF(techniques[[#This Row],[technique]]=techniques[[#This Row],[id]],SUM(IF(techniques[[#This Row],[id]]=techniques[technique],1,0))-1,"")</f>
        <v/>
      </c>
      <c r="I118" s="74">
        <f t="array" ref="I118">IF(SUM(IF($C118=detections[],IF(detections[is active]="yes",1,0),0))&gt;0,SUM(IF($C118=detections[],IF(detections[is active]="yes",1,0),0)),"")</f>
        <v/>
      </c>
      <c r="J118" s="74">
        <f t="array" ref="J11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18" s="74">
        <f>IF(AND(ISNUMBER(techniques[[#This Row],[number of sub techniques]]),techniques[[#This Row],[number of sub techniques]]&gt;1),techniques[number of sub techniques],1)</f>
        <v/>
      </c>
      <c r="L118" s="72" t="n"/>
      <c r="M118" s="74">
        <f t="array" ref="M11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1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18" s="26">
        <f>IF(techniques[[#This Row],[detection rules]]&gt;=techniques[[#This Row],[expected detection rules]],1,techniques[[#This Row],[detection rules]]/techniques[[#This Row],[expected detection rules]])</f>
        <v/>
      </c>
      <c r="P11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18" s="29">
        <f>IF(ISERROR(SEARCH(techniques[[#This Row],[id]],techniques[[#This Row],[name]])),"ERROR","")</f>
        <v/>
      </c>
      <c r="S11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19" ht="12.75" customHeight="1">
      <c r="A119" s="74" t="inlineStr">
        <is>
          <t>T1059</t>
        </is>
      </c>
      <c r="B119" s="74" t="inlineStr">
        <is>
          <t>T1059.001</t>
        </is>
      </c>
      <c r="C119" s="13" t="inlineStr">
        <is>
          <t>PowerShell (T1059.001)</t>
        </is>
      </c>
      <c r="D119" s="13" t="inlineStr">
        <is>
          <t>execution</t>
        </is>
      </c>
      <c r="E119" s="13" t="inlineStr">
        <is>
          <t>Command: Command Execution|Module: Module Load|Process: Process Creation|Process: Process Metadata</t>
        </is>
      </c>
      <c r="F119" s="74" t="n">
        <v>4</v>
      </c>
      <c r="G119" s="72">
        <f t="array" ref="G119">SUM(IF(ISERROR(FIND(sources[data source],techniques[[#This Row],[data sources]])),0,1)*IF(sources[available]="yes",1,0))</f>
        <v/>
      </c>
      <c r="H119" s="73">
        <f t="array" ref="H119">IF(techniques[[#This Row],[technique]]=techniques[[#This Row],[id]],SUM(IF(techniques[[#This Row],[id]]=techniques[technique],1,0))-1,"")</f>
        <v/>
      </c>
      <c r="I119" s="74">
        <f t="array" ref="I119">IF(SUM(IF($C119=detections[],IF(detections[is active]="yes",1,0),0))&gt;0,SUM(IF($C119=detections[],IF(detections[is active]="yes",1,0),0)),"")</f>
        <v/>
      </c>
      <c r="J119" s="74">
        <f t="array" ref="J11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19" s="74">
        <f>IF(AND(ISNUMBER(techniques[[#This Row],[number of sub techniques]]),techniques[[#This Row],[number of sub techniques]]&gt;1),techniques[number of sub techniques],1)</f>
        <v/>
      </c>
      <c r="L119" s="72" t="n"/>
      <c r="M119" s="74">
        <f t="array" ref="M11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1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19" s="26">
        <f>IF(techniques[[#This Row],[detection rules]]&gt;=techniques[[#This Row],[expected detection rules]],1,techniques[[#This Row],[detection rules]]/techniques[[#This Row],[expected detection rules]])</f>
        <v/>
      </c>
      <c r="P11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19" s="29">
        <f>IF(ISERROR(SEARCH(techniques[[#This Row],[id]],techniques[[#This Row],[name]])),"ERROR","")</f>
        <v/>
      </c>
      <c r="S11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20" ht="12.75" customHeight="1">
      <c r="A120" s="74" t="inlineStr">
        <is>
          <t>T1059</t>
        </is>
      </c>
      <c r="B120" s="74" t="inlineStr">
        <is>
          <t>T1059.002</t>
        </is>
      </c>
      <c r="C120" s="13" t="inlineStr">
        <is>
          <t>AppleScript (T1059.002)</t>
        </is>
      </c>
      <c r="D120" s="13" t="inlineStr">
        <is>
          <t>execution</t>
        </is>
      </c>
      <c r="E120" s="13" t="inlineStr">
        <is>
          <t>Process: Process Creation</t>
        </is>
      </c>
      <c r="F120" s="74" t="n">
        <v>1</v>
      </c>
      <c r="G120" s="72">
        <f t="array" ref="G120">SUM(IF(ISERROR(FIND(sources[data source],techniques[[#This Row],[data sources]])),0,1)*IF(sources[available]="yes",1,0))</f>
        <v/>
      </c>
      <c r="H120" s="73">
        <f t="array" ref="H120">IF(techniques[[#This Row],[technique]]=techniques[[#This Row],[id]],SUM(IF(techniques[[#This Row],[id]]=techniques[technique],1,0))-1,"")</f>
        <v/>
      </c>
      <c r="I120" s="74">
        <f t="array" ref="I120">IF(SUM(IF($C120=detections[],IF(detections[is active]="yes",1,0),0))&gt;0,SUM(IF($C120=detections[],IF(detections[is active]="yes",1,0),0)),"")</f>
        <v/>
      </c>
      <c r="J120" s="74">
        <f t="array" ref="J12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20" s="74">
        <f>IF(AND(ISNUMBER(techniques[[#This Row],[number of sub techniques]]),techniques[[#This Row],[number of sub techniques]]&gt;1),techniques[number of sub techniques],1)</f>
        <v/>
      </c>
      <c r="L120" s="72" t="n"/>
      <c r="M120" s="74">
        <f t="array" ref="M12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2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20" s="26">
        <f>IF(techniques[[#This Row],[detection rules]]&gt;=techniques[[#This Row],[expected detection rules]],1,techniques[[#This Row],[detection rules]]/techniques[[#This Row],[expected detection rules]])</f>
        <v/>
      </c>
      <c r="P12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20" s="29">
        <f>IF(ISERROR(SEARCH(techniques[[#This Row],[id]],techniques[[#This Row],[name]])),"ERROR","")</f>
        <v/>
      </c>
      <c r="S12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21" ht="12.75" customHeight="1">
      <c r="A121" s="74" t="inlineStr">
        <is>
          <t>T1059</t>
        </is>
      </c>
      <c r="B121" s="74" t="inlineStr">
        <is>
          <t>T1059.003</t>
        </is>
      </c>
      <c r="C121" s="13" t="inlineStr">
        <is>
          <t>Windows Command Shell (T1059.003)</t>
        </is>
      </c>
      <c r="D121" s="13" t="inlineStr">
        <is>
          <t>execution</t>
        </is>
      </c>
      <c r="E121" s="13" t="inlineStr">
        <is>
          <t>Module: Module Load|Process: Process Creation|Script: Script Execution</t>
        </is>
      </c>
      <c r="F121" s="74" t="n">
        <v>3</v>
      </c>
      <c r="G121" s="72">
        <f t="array" ref="G121">SUM(IF(ISERROR(FIND(sources[data source],techniques[[#This Row],[data sources]])),0,1)*IF(sources[available]="yes",1,0))</f>
        <v/>
      </c>
      <c r="H121" s="73">
        <f t="array" ref="H121">IF(techniques[[#This Row],[technique]]=techniques[[#This Row],[id]],SUM(IF(techniques[[#This Row],[id]]=techniques[technique],1,0))-1,"")</f>
        <v/>
      </c>
      <c r="I121" s="74">
        <f t="array" ref="I121">IF(SUM(IF($C121=detections[],IF(detections[is active]="yes",1,0),0))&gt;0,SUM(IF($C121=detections[],IF(detections[is active]="yes",1,0),0)),"")</f>
        <v/>
      </c>
      <c r="J121" s="74">
        <f t="array" ref="J12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21" s="74">
        <f>IF(AND(ISNUMBER(techniques[[#This Row],[number of sub techniques]]),techniques[[#This Row],[number of sub techniques]]&gt;1),techniques[number of sub techniques],1)</f>
        <v/>
      </c>
      <c r="L121" s="72" t="n"/>
      <c r="M121" s="74">
        <f t="array" ref="M12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2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21" s="26">
        <f>IF(techniques[[#This Row],[detection rules]]&gt;=techniques[[#This Row],[expected detection rules]],1,techniques[[#This Row],[detection rules]]/techniques[[#This Row],[expected detection rules]])</f>
        <v/>
      </c>
      <c r="P12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21" s="29">
        <f>IF(ISERROR(SEARCH(techniques[[#This Row],[id]],techniques[[#This Row],[name]])),"ERROR","")</f>
        <v/>
      </c>
      <c r="S12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22" ht="12.75" customHeight="1">
      <c r="A122" s="74" t="inlineStr">
        <is>
          <t>T1059</t>
        </is>
      </c>
      <c r="B122" s="74" t="inlineStr">
        <is>
          <t>T1059.004</t>
        </is>
      </c>
      <c r="C122" s="13" t="inlineStr">
        <is>
          <t>Unix Shell (T1059.004)</t>
        </is>
      </c>
      <c r="D122" s="13" t="inlineStr">
        <is>
          <t>execution</t>
        </is>
      </c>
      <c r="E122" s="13" t="inlineStr">
        <is>
          <t>Command: Command Execution|Logon Session: Logon Session Creation|Network Traffic: Network Connection Creation|Network Traffic: Network Traffic Flow|Process: Process Creation|Script: Script Execution</t>
        </is>
      </c>
      <c r="F122" s="74" t="n">
        <v>6</v>
      </c>
      <c r="G122" s="72">
        <f t="array" ref="G122">SUM(IF(ISERROR(FIND(sources[data source],techniques[[#This Row],[data sources]])),0,1)*IF(sources[available]="yes",1,0))</f>
        <v/>
      </c>
      <c r="H122" s="73">
        <f t="array" ref="H122">IF(techniques[[#This Row],[technique]]=techniques[[#This Row],[id]],SUM(IF(techniques[[#This Row],[id]]=techniques[technique],1,0))-1,"")</f>
        <v/>
      </c>
      <c r="I122" s="74">
        <f t="array" ref="I122">IF(SUM(IF($C122=detections[],IF(detections[is active]="yes",1,0),0))&gt;0,SUM(IF($C122=detections[],IF(detections[is active]="yes",1,0),0)),"")</f>
        <v/>
      </c>
      <c r="J122" s="74">
        <f t="array" ref="J12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22" s="74">
        <f>IF(AND(ISNUMBER(techniques[[#This Row],[number of sub techniques]]),techniques[[#This Row],[number of sub techniques]]&gt;1),techniques[number of sub techniques],1)</f>
        <v/>
      </c>
      <c r="L122" s="72" t="n"/>
      <c r="M122" s="74">
        <f t="array" ref="M12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2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22" s="26">
        <f>IF(techniques[[#This Row],[detection rules]]&gt;=techniques[[#This Row],[expected detection rules]],1,techniques[[#This Row],[detection rules]]/techniques[[#This Row],[expected detection rules]])</f>
        <v/>
      </c>
      <c r="P12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22" s="29">
        <f>IF(ISERROR(SEARCH(techniques[[#This Row],[id]],techniques[[#This Row],[name]])),"ERROR","")</f>
        <v/>
      </c>
      <c r="S12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23" ht="12.75" customHeight="1">
      <c r="A123" s="74" t="inlineStr">
        <is>
          <t>T1059</t>
        </is>
      </c>
      <c r="B123" s="74" t="inlineStr">
        <is>
          <t>T1059.005</t>
        </is>
      </c>
      <c r="C123" s="13" t="inlineStr">
        <is>
          <t>Visual Basic (T1059.005)</t>
        </is>
      </c>
      <c r="D123" s="13" t="inlineStr">
        <is>
          <t>execution</t>
        </is>
      </c>
      <c r="E123" s="13" t="inlineStr">
        <is>
          <t>Command: Command Execution|Module: Module Load|Process: Process Creation|Script: Script Execution</t>
        </is>
      </c>
      <c r="F123" s="74" t="n">
        <v>4</v>
      </c>
      <c r="G123" s="72">
        <f t="array" ref="G123">SUM(IF(ISERROR(FIND(sources[data source],techniques[[#This Row],[data sources]])),0,1)*IF(sources[available]="yes",1,0))</f>
        <v/>
      </c>
      <c r="H123" s="73">
        <f t="array" ref="H123">IF(techniques[[#This Row],[technique]]=techniques[[#This Row],[id]],SUM(IF(techniques[[#This Row],[id]]=techniques[technique],1,0))-1,"")</f>
        <v/>
      </c>
      <c r="I123" s="74">
        <f t="array" ref="I123">IF(SUM(IF($C123=detections[],IF(detections[is active]="yes",1,0),0))&gt;0,SUM(IF($C123=detections[],IF(detections[is active]="yes",1,0),0)),"")</f>
        <v/>
      </c>
      <c r="J123" s="74">
        <f t="array" ref="J12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23" s="74">
        <f>IF(AND(ISNUMBER(techniques[[#This Row],[number of sub techniques]]),techniques[[#This Row],[number of sub techniques]]&gt;1),techniques[number of sub techniques],1)</f>
        <v/>
      </c>
      <c r="L123" s="72" t="n"/>
      <c r="M123" s="74">
        <f t="array" ref="M12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2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23" s="26">
        <f>IF(techniques[[#This Row],[detection rules]]&gt;=techniques[[#This Row],[expected detection rules]],1,techniques[[#This Row],[detection rules]]/techniques[[#This Row],[expected detection rules]])</f>
        <v/>
      </c>
      <c r="P12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23" s="29">
        <f>IF(ISERROR(SEARCH(techniques[[#This Row],[id]],techniques[[#This Row],[name]])),"ERROR","")</f>
        <v/>
      </c>
      <c r="S12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24" ht="12.75" customHeight="1">
      <c r="A124" s="74" t="inlineStr">
        <is>
          <t>T1059</t>
        </is>
      </c>
      <c r="B124" s="74" t="inlineStr">
        <is>
          <t>T1059.006</t>
        </is>
      </c>
      <c r="C124" s="13" t="inlineStr">
        <is>
          <t>Python (T1059.006)</t>
        </is>
      </c>
      <c r="D124" s="13" t="inlineStr">
        <is>
          <t>execution</t>
        </is>
      </c>
      <c r="E124" s="13" t="inlineStr">
        <is>
          <t>Command: Command Execution|Network Traffic: Network Traffic Content|Process: Process Creation|Script: Script Execution</t>
        </is>
      </c>
      <c r="F124" s="74" t="n">
        <v>4</v>
      </c>
      <c r="G124" s="72">
        <f t="array" ref="G124">SUM(IF(ISERROR(FIND(sources[data source],techniques[[#This Row],[data sources]])),0,1)*IF(sources[available]="yes",1,0))</f>
        <v/>
      </c>
      <c r="H124" s="73">
        <f t="array" ref="H124">IF(techniques[[#This Row],[technique]]=techniques[[#This Row],[id]],SUM(IF(techniques[[#This Row],[id]]=techniques[technique],1,0))-1,"")</f>
        <v/>
      </c>
      <c r="I124" s="74">
        <f t="array" ref="I124">IF(SUM(IF($C124=detections[],IF(detections[is active]="yes",1,0),0))&gt;0,SUM(IF($C124=detections[],IF(detections[is active]="yes",1,0),0)),"")</f>
        <v/>
      </c>
      <c r="J124" s="74">
        <f t="array" ref="J12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24" s="74">
        <f>IF(AND(ISNUMBER(techniques[[#This Row],[number of sub techniques]]),techniques[[#This Row],[number of sub techniques]]&gt;1),techniques[number of sub techniques],1)</f>
        <v/>
      </c>
      <c r="L124" s="72" t="n"/>
      <c r="M124" s="74">
        <f t="array" ref="M12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2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24" s="26">
        <f>IF(techniques[[#This Row],[detection rules]]&gt;=techniques[[#This Row],[expected detection rules]],1,techniques[[#This Row],[detection rules]]/techniques[[#This Row],[expected detection rules]])</f>
        <v/>
      </c>
      <c r="P12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24" s="29">
        <f>IF(ISERROR(SEARCH(techniques[[#This Row],[id]],techniques[[#This Row],[name]])),"ERROR","")</f>
        <v/>
      </c>
      <c r="S12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25" ht="12.75" customHeight="1">
      <c r="A125" s="74" t="inlineStr">
        <is>
          <t>T1059</t>
        </is>
      </c>
      <c r="B125" s="74" t="inlineStr">
        <is>
          <t>T1059.007</t>
        </is>
      </c>
      <c r="C125" s="13" t="inlineStr">
        <is>
          <t>JavaScript (T1059.007)</t>
        </is>
      </c>
      <c r="D125" s="13" t="inlineStr">
        <is>
          <t>execution</t>
        </is>
      </c>
      <c r="E125" s="13" t="inlineStr">
        <is>
          <t>Command: Command Execution|Module: Module Load|Process: Process Creation|Script: Script Execution</t>
        </is>
      </c>
      <c r="F125" s="74" t="n">
        <v>4</v>
      </c>
      <c r="G125" s="72">
        <f t="array" ref="G125">SUM(IF(ISERROR(FIND(sources[data source],techniques[[#This Row],[data sources]])),0,1)*IF(sources[available]="yes",1,0))</f>
        <v/>
      </c>
      <c r="H125" s="73">
        <f t="array" ref="H125">IF(techniques[[#This Row],[technique]]=techniques[[#This Row],[id]],SUM(IF(techniques[[#This Row],[id]]=techniques[technique],1,0))-1,"")</f>
        <v/>
      </c>
      <c r="I125" s="74">
        <f t="array" ref="I125">IF(SUM(IF($C125=detections[],IF(detections[is active]="yes",1,0),0))&gt;0,SUM(IF($C125=detections[],IF(detections[is active]="yes",1,0),0)),"")</f>
        <v/>
      </c>
      <c r="J125" s="74">
        <f t="array" ref="J12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25" s="74">
        <f>IF(AND(ISNUMBER(techniques[[#This Row],[number of sub techniques]]),techniques[[#This Row],[number of sub techniques]]&gt;1),techniques[number of sub techniques],1)</f>
        <v/>
      </c>
      <c r="L125" s="72" t="n"/>
      <c r="M125" s="74">
        <f t="array" ref="M12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2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25" s="26">
        <f>IF(techniques[[#This Row],[detection rules]]&gt;=techniques[[#This Row],[expected detection rules]],1,techniques[[#This Row],[detection rules]]/techniques[[#This Row],[expected detection rules]])</f>
        <v/>
      </c>
      <c r="P12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25" s="29">
        <f>IF(ISERROR(SEARCH(techniques[[#This Row],[id]],techniques[[#This Row],[name]])),"ERROR","")</f>
        <v/>
      </c>
      <c r="S12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26" ht="12.75" customHeight="1">
      <c r="A126" s="74" t="inlineStr">
        <is>
          <t>T1059</t>
        </is>
      </c>
      <c r="B126" s="74" t="inlineStr">
        <is>
          <t>T1059.008</t>
        </is>
      </c>
      <c r="C126" s="13" t="inlineStr">
        <is>
          <t>Network Device CLI (T1059.008)</t>
        </is>
      </c>
      <c r="D126" s="13" t="inlineStr">
        <is>
          <t>execution</t>
        </is>
      </c>
      <c r="E126" s="13" t="inlineStr">
        <is>
          <t>Command: Command Execution|Network Traffic: Network Traffic Content|User Account: User Account Authentication</t>
        </is>
      </c>
      <c r="F126" s="74" t="n">
        <v>3</v>
      </c>
      <c r="G126" s="72">
        <f t="array" ref="G126">SUM(IF(ISERROR(FIND(sources[data source],techniques[[#This Row],[data sources]])),0,1)*IF(sources[available]="yes",1,0))</f>
        <v/>
      </c>
      <c r="H126" s="73">
        <f t="array" ref="H126">IF(techniques[[#This Row],[technique]]=techniques[[#This Row],[id]],SUM(IF(techniques[[#This Row],[id]]=techniques[technique],1,0))-1,"")</f>
        <v/>
      </c>
      <c r="I126" s="74">
        <f t="array" ref="I126">IF(SUM(IF($C126=detections[],IF(detections[is active]="yes",1,0),0))&gt;0,SUM(IF($C126=detections[],IF(detections[is active]="yes",1,0),0)),"")</f>
        <v/>
      </c>
      <c r="J126" s="74">
        <f t="array" ref="J12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26" s="74">
        <f>IF(AND(ISNUMBER(techniques[[#This Row],[number of sub techniques]]),techniques[[#This Row],[number of sub techniques]]&gt;1),techniques[number of sub techniques],1)</f>
        <v/>
      </c>
      <c r="L126" s="72" t="n"/>
      <c r="M126" s="74">
        <f t="array" ref="M12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2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26" s="26">
        <f>IF(techniques[[#This Row],[detection rules]]&gt;=techniques[[#This Row],[expected detection rules]],1,techniques[[#This Row],[detection rules]]/techniques[[#This Row],[expected detection rules]])</f>
        <v/>
      </c>
      <c r="P12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26" s="29">
        <f>IF(ISERROR(SEARCH(techniques[[#This Row],[id]],techniques[[#This Row],[name]])),"ERROR","")</f>
        <v/>
      </c>
      <c r="S12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27" ht="12.75" customHeight="1">
      <c r="A127" s="74" t="inlineStr">
        <is>
          <t>T1059</t>
        </is>
      </c>
      <c r="B127" s="74" t="inlineStr">
        <is>
          <t>T1059.009</t>
        </is>
      </c>
      <c r="C127" s="13" t="inlineStr">
        <is>
          <t>Cloud API (T1059.009)</t>
        </is>
      </c>
      <c r="D127" s="13" t="inlineStr">
        <is>
          <t>execution</t>
        </is>
      </c>
      <c r="E127" s="13" t="inlineStr">
        <is>
          <t>Cloud Service: Cloud Service Modification|Command: Command Execution|User Account: User Account Authentication</t>
        </is>
      </c>
      <c r="F127" s="74" t="n">
        <v>3</v>
      </c>
      <c r="G127" s="72">
        <f t="array" ref="G127">SUM(IF(ISERROR(FIND(sources[data source],techniques[[#This Row],[data sources]])),0,1)*IF(sources[available]="yes",1,0))</f>
        <v/>
      </c>
      <c r="H127" s="73">
        <f t="array" ref="H127">IF(techniques[[#This Row],[technique]]=techniques[[#This Row],[id]],SUM(IF(techniques[[#This Row],[id]]=techniques[technique],1,0))-1,"")</f>
        <v/>
      </c>
      <c r="I127" s="74">
        <f t="array" ref="I127">IF(SUM(IF($C127=detections[],IF(detections[is active]="yes",1,0),0))&gt;0,SUM(IF($C127=detections[],IF(detections[is active]="yes",1,0),0)),"")</f>
        <v/>
      </c>
      <c r="J127" s="74">
        <f t="array" ref="J12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27" s="74">
        <f>IF(AND(ISNUMBER(techniques[[#This Row],[number of sub techniques]]),techniques[[#This Row],[number of sub techniques]]&gt;1),techniques[number of sub techniques],1)</f>
        <v/>
      </c>
      <c r="L127" s="72" t="n"/>
      <c r="M127" s="74">
        <f t="array" ref="M12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2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27" s="26">
        <f>IF(techniques[[#This Row],[detection rules]]&gt;=techniques[[#This Row],[expected detection rules]],1,techniques[[#This Row],[detection rules]]/techniques[[#This Row],[expected detection rules]])</f>
        <v/>
      </c>
      <c r="P12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27" s="29">
        <f>IF(ISERROR(SEARCH(techniques[[#This Row],[id]],techniques[[#This Row],[name]])),"ERROR","")</f>
        <v/>
      </c>
      <c r="S12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28" ht="12.75" customHeight="1">
      <c r="A128" s="74" t="inlineStr">
        <is>
          <t>T1059</t>
        </is>
      </c>
      <c r="B128" s="74" t="inlineStr">
        <is>
          <t>T1059.010</t>
        </is>
      </c>
      <c r="C128" s="13" t="inlineStr">
        <is>
          <t>AutoHotKey &amp; AutoIT (T1059.010)</t>
        </is>
      </c>
      <c r="D128" s="13" t="inlineStr">
        <is>
          <t>execution</t>
        </is>
      </c>
      <c r="E128" s="13" t="inlineStr">
        <is>
          <t>File: File Creation|Process: Process Access|Process: Process Creation</t>
        </is>
      </c>
      <c r="F128" s="74" t="n">
        <v>3</v>
      </c>
      <c r="G128" s="72">
        <f t="array" ref="G128">SUM(IF(ISERROR(FIND(sources[data source],techniques[[#This Row],[data sources]])),0,1)*IF(sources[available]="yes",1,0))</f>
        <v/>
      </c>
      <c r="H128" s="73">
        <f t="array" ref="H128">IF(techniques[[#This Row],[technique]]=techniques[[#This Row],[id]],SUM(IF(techniques[[#This Row],[id]]=techniques[technique],1,0))-1,"")</f>
        <v/>
      </c>
      <c r="I128" s="74">
        <f t="array" ref="I128">IF(SUM(IF($C128=detections[],IF(detections[is active]="yes",1,0),0))&gt;0,SUM(IF($C128=detections[],IF(detections[is active]="yes",1,0),0)),"")</f>
        <v/>
      </c>
      <c r="J128" s="74">
        <f t="array" ref="J12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28" s="74">
        <f>IF(AND(ISNUMBER(techniques[[#This Row],[number of sub techniques]]),techniques[[#This Row],[number of sub techniques]]&gt;1),techniques[number of sub techniques],1)</f>
        <v/>
      </c>
      <c r="L128" s="72" t="n"/>
      <c r="M128" s="74">
        <f t="array" ref="M12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2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28" s="26">
        <f>IF(techniques[[#This Row],[detection rules]]&gt;=techniques[[#This Row],[expected detection rules]],1,techniques[[#This Row],[detection rules]]/techniques[[#This Row],[expected detection rules]])</f>
        <v/>
      </c>
      <c r="P12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28" s="29">
        <f>IF(ISERROR(SEARCH(techniques[[#This Row],[id]],techniques[[#This Row],[name]])),"ERROR","")</f>
        <v/>
      </c>
      <c r="S12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29" ht="12.75" customHeight="1">
      <c r="A129" s="74" t="inlineStr">
        <is>
          <t>T1059</t>
        </is>
      </c>
      <c r="B129" s="74" t="inlineStr">
        <is>
          <t>T1059.011</t>
        </is>
      </c>
      <c r="C129" s="13" t="inlineStr">
        <is>
          <t>Lua (T1059.011)</t>
        </is>
      </c>
      <c r="D129" s="13" t="inlineStr">
        <is>
          <t>execution</t>
        </is>
      </c>
      <c r="E129" s="13" t="inlineStr">
        <is>
          <t>Command: Command Execution|File: File Creation|File: File Metadata|Process: Process Creation|Script: Script Execution</t>
        </is>
      </c>
      <c r="F129" s="74" t="n">
        <v>5</v>
      </c>
      <c r="G129" s="72">
        <f t="array" ref="G129">SUM(IF(ISERROR(FIND(sources[data source],techniques[[#This Row],[data sources]])),0,1)*IF(sources[available]="yes",1,0))</f>
        <v/>
      </c>
      <c r="H129" s="73">
        <f t="array" ref="H129">IF(techniques[[#This Row],[technique]]=techniques[[#This Row],[id]],SUM(IF(techniques[[#This Row],[id]]=techniques[technique],1,0))-1,"")</f>
        <v/>
      </c>
      <c r="I129" s="74">
        <f t="array" ref="I129">IF(SUM(IF($C129=detections[],IF(detections[is active]="yes",1,0),0))&gt;0,SUM(IF($C129=detections[],IF(detections[is active]="yes",1,0),0)),"")</f>
        <v/>
      </c>
      <c r="J129" s="74">
        <f t="array" ref="J12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29" s="74">
        <f>IF(AND(ISNUMBER(techniques[[#This Row],[number of sub techniques]]),techniques[[#This Row],[number of sub techniques]]&gt;1),techniques[number of sub techniques],1)</f>
        <v/>
      </c>
      <c r="L129" s="72" t="n"/>
      <c r="M129" s="74">
        <f t="array" ref="M12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2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29" s="26">
        <f>IF(techniques[[#This Row],[detection rules]]&gt;=techniques[[#This Row],[expected detection rules]],1,techniques[[#This Row],[detection rules]]/techniques[[#This Row],[expected detection rules]])</f>
        <v/>
      </c>
      <c r="P12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29" s="29">
        <f>IF(ISERROR(SEARCH(techniques[[#This Row],[id]],techniques[[#This Row],[name]])),"ERROR","")</f>
        <v/>
      </c>
      <c r="S12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30" ht="12.75" customHeight="1">
      <c r="A130" s="74" t="inlineStr">
        <is>
          <t>T1059</t>
        </is>
      </c>
      <c r="B130" s="74" t="inlineStr">
        <is>
          <t>T1059.012</t>
        </is>
      </c>
      <c r="C130" s="13" t="inlineStr">
        <is>
          <t>Hypervisor CLI (T1059.012)</t>
        </is>
      </c>
      <c r="D130" s="13" t="inlineStr">
        <is>
          <t>execution</t>
        </is>
      </c>
      <c r="E130" s="13" t="inlineStr">
        <is>
          <t>Command: Command Execution|User Account: User Account Authentication</t>
        </is>
      </c>
      <c r="F130" s="74" t="n">
        <v>2</v>
      </c>
      <c r="G130" s="72">
        <f t="array" ref="G130">SUM(IF(ISERROR(FIND(sources[data source],techniques[[#This Row],[data sources]])),0,1)*IF(sources[available]="yes",1,0))</f>
        <v/>
      </c>
      <c r="H130" s="73">
        <f t="array" ref="H130">IF(techniques[[#This Row],[technique]]=techniques[[#This Row],[id]],SUM(IF(techniques[[#This Row],[id]]=techniques[technique],1,0))-1,"")</f>
        <v/>
      </c>
      <c r="I130" s="74">
        <f t="array" ref="I130">IF(SUM(IF($C130=detections[],IF(detections[is active]="yes",1,0),0))&gt;0,SUM(IF($C130=detections[],IF(detections[is active]="yes",1,0),0)),"")</f>
        <v/>
      </c>
      <c r="J130" s="74">
        <f t="array" ref="J13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30" s="74">
        <f>IF(AND(ISNUMBER(techniques[[#This Row],[number of sub techniques]]),techniques[[#This Row],[number of sub techniques]]&gt;1),techniques[number of sub techniques],1)</f>
        <v/>
      </c>
      <c r="L130" s="72" t="n"/>
      <c r="M130" s="74">
        <f t="array" ref="M13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3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30" s="26">
        <f>IF(techniques[[#This Row],[detection rules]]&gt;=techniques[[#This Row],[expected detection rules]],1,techniques[[#This Row],[detection rules]]/techniques[[#This Row],[expected detection rules]])</f>
        <v/>
      </c>
      <c r="P13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30" s="29">
        <f>IF(ISERROR(SEARCH(techniques[[#This Row],[id]],techniques[[#This Row],[name]])),"ERROR","")</f>
        <v/>
      </c>
      <c r="S13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31" ht="12.75" customHeight="1">
      <c r="A131" s="74" t="inlineStr">
        <is>
          <t>T1059</t>
        </is>
      </c>
      <c r="B131" s="74" t="inlineStr">
        <is>
          <t>T1059.013</t>
        </is>
      </c>
      <c r="C131" s="13" t="inlineStr">
        <is>
          <t>Container CLI/API (T1059.013)</t>
        </is>
      </c>
      <c r="D131" s="13" t="inlineStr">
        <is>
          <t>execution</t>
        </is>
      </c>
      <c r="E131" s="13" t="inlineStr">
        <is>
          <t>Command: Command Execution|Container: Container Creation|Container: Container Start|Pod: Pod Creation|Process: Process Creation</t>
        </is>
      </c>
      <c r="F131" s="74" t="n">
        <v>5</v>
      </c>
      <c r="G131" s="72">
        <f t="array" ref="G131">SUM(IF(ISERROR(FIND(sources[data source],techniques[[#This Row],[data sources]])),0,1)*IF(sources[available]="yes",1,0))</f>
        <v/>
      </c>
      <c r="H131" s="73">
        <f t="array" ref="H131">IF(techniques[[#This Row],[technique]]=techniques[[#This Row],[id]],SUM(IF(techniques[[#This Row],[id]]=techniques[technique],1,0))-1,"")</f>
        <v/>
      </c>
      <c r="I131" s="74">
        <f t="array" ref="I131">IF(SUM(IF($C131=detections[],IF(detections[is active]="yes",1,0),0))&gt;0,SUM(IF($C131=detections[],IF(detections[is active]="yes",1,0),0)),"")</f>
        <v/>
      </c>
      <c r="J131" s="74">
        <f t="array" ref="J13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31" s="74">
        <f>IF(AND(ISNUMBER(techniques[[#This Row],[number of sub techniques]]),techniques[[#This Row],[number of sub techniques]]&gt;1),techniques[number of sub techniques],1)</f>
        <v/>
      </c>
      <c r="L131" s="72" t="n"/>
      <c r="M131" s="74">
        <f t="array" ref="M13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3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31" s="26">
        <f>IF(techniques[[#This Row],[detection rules]]&gt;=techniques[[#This Row],[expected detection rules]],1,techniques[[#This Row],[detection rules]]/techniques[[#This Row],[expected detection rules]])</f>
        <v/>
      </c>
      <c r="P13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31" s="29">
        <f>IF(ISERROR(SEARCH(techniques[[#This Row],[id]],techniques[[#This Row],[name]])),"ERROR","")</f>
        <v/>
      </c>
      <c r="S13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32" ht="12.75" customHeight="1">
      <c r="A132" s="74" t="inlineStr">
        <is>
          <t>T1068</t>
        </is>
      </c>
      <c r="B132" s="74" t="inlineStr">
        <is>
          <t>T1068</t>
        </is>
      </c>
      <c r="C132" s="13" t="inlineStr">
        <is>
          <t>Exploitation for Privilege Escalation (T1068)</t>
        </is>
      </c>
      <c r="D132" s="13" t="inlineStr">
        <is>
          <t>privilege-escalation</t>
        </is>
      </c>
      <c r="E132" s="13" t="inlineStr">
        <is>
          <t>Container: Container Enumeration|Driver: Driver Load|Logon Session: Logon Session Creation|Logon Session: Logon Session Metadata|Module: Module Load|Process: Process Access|Process: Process Creation</t>
        </is>
      </c>
      <c r="F132" s="74" t="n">
        <v>7</v>
      </c>
      <c r="G132" s="72">
        <f t="array" ref="G132">SUM(IF(ISERROR(FIND(sources[data source],techniques[[#This Row],[data sources]])),0,1)*IF(sources[available]="yes",1,0))</f>
        <v/>
      </c>
      <c r="H132" s="73">
        <f t="array" ref="H132">IF(techniques[[#This Row],[technique]]=techniques[[#This Row],[id]],SUM(IF(techniques[[#This Row],[id]]=techniques[technique],1,0))-1,"")</f>
        <v/>
      </c>
      <c r="I132" s="74">
        <f t="array" ref="I132">IF(SUM(IF($C132=detections[],IF(detections[is active]="yes",1,0),0))&gt;0,SUM(IF($C132=detections[],IF(detections[is active]="yes",1,0),0)),"")</f>
        <v/>
      </c>
      <c r="J132" s="74">
        <f t="array" ref="J13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32" s="74">
        <f>IF(AND(ISNUMBER(techniques[[#This Row],[number of sub techniques]]),techniques[[#This Row],[number of sub techniques]]&gt;1),techniques[number of sub techniques],1)</f>
        <v/>
      </c>
      <c r="L132" s="72" t="n"/>
      <c r="M132" s="74">
        <f t="array" ref="M13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3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32" s="26">
        <f>IF(techniques[[#This Row],[detection rules]]&gt;=techniques[[#This Row],[expected detection rules]],1,techniques[[#This Row],[detection rules]]/techniques[[#This Row],[expected detection rules]])</f>
        <v/>
      </c>
      <c r="P13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32" s="29">
        <f>IF(ISERROR(SEARCH(techniques[[#This Row],[id]],techniques[[#This Row],[name]])),"ERROR","")</f>
        <v/>
      </c>
      <c r="S13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33" ht="12.75" customHeight="1">
      <c r="A133" s="74" t="inlineStr">
        <is>
          <t>T1069</t>
        </is>
      </c>
      <c r="B133" s="74" t="inlineStr">
        <is>
          <t>T1069</t>
        </is>
      </c>
      <c r="C133" s="13" t="inlineStr">
        <is>
          <t>Permission Groups Discovery (T1069)</t>
        </is>
      </c>
      <c r="D133" s="13" t="inlineStr">
        <is>
          <t>discovery</t>
        </is>
      </c>
      <c r="E133" s="13" t="inlineStr">
        <is>
          <t>Command: Command Execution|Process: Process Creation</t>
        </is>
      </c>
      <c r="F133" s="74" t="n">
        <v>2</v>
      </c>
      <c r="G133" s="72">
        <f t="array" ref="G133">SUM(IF(ISERROR(FIND(sources[data source],techniques[[#This Row],[data sources]])),0,1)*IF(sources[available]="yes",1,0))</f>
        <v/>
      </c>
      <c r="H133" s="73">
        <f t="array" ref="H133">IF(techniques[[#This Row],[technique]]=techniques[[#This Row],[id]],SUM(IF(techniques[[#This Row],[id]]=techniques[technique],1,0))-1,"")</f>
        <v/>
      </c>
      <c r="I133" s="74">
        <f t="array" ref="I133">IF(SUM(IF($C133=detections[],IF(detections[is active]="yes",1,0),0))&gt;0,SUM(IF($C133=detections[],IF(detections[is active]="yes",1,0),0)),"")</f>
        <v/>
      </c>
      <c r="J133" s="74">
        <f t="array" ref="J13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33" s="74">
        <f>IF(AND(ISNUMBER(techniques[[#This Row],[number of sub techniques]]),techniques[[#This Row],[number of sub techniques]]&gt;1),techniques[number of sub techniques],1)</f>
        <v/>
      </c>
      <c r="L133" s="72" t="n"/>
      <c r="M133" s="74">
        <f t="array" ref="M13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3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33" s="26">
        <f>IF(techniques[[#This Row],[detection rules]]&gt;=techniques[[#This Row],[expected detection rules]],1,techniques[[#This Row],[detection rules]]/techniques[[#This Row],[expected detection rules]])</f>
        <v/>
      </c>
      <c r="P13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33" s="29">
        <f>IF(ISERROR(SEARCH(techniques[[#This Row],[id]],techniques[[#This Row],[name]])),"ERROR","")</f>
        <v/>
      </c>
      <c r="S13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34" ht="12.75" customHeight="1">
      <c r="A134" s="74" t="inlineStr">
        <is>
          <t>T1069</t>
        </is>
      </c>
      <c r="B134" s="74" t="inlineStr">
        <is>
          <t>T1069.001</t>
        </is>
      </c>
      <c r="C134" s="13" t="inlineStr">
        <is>
          <t>Local Groups (T1069.001)</t>
        </is>
      </c>
      <c r="D134" s="13" t="inlineStr">
        <is>
          <t>discovery</t>
        </is>
      </c>
      <c r="E134" s="13" t="inlineStr">
        <is>
          <t>Process: Process Creation</t>
        </is>
      </c>
      <c r="F134" s="74" t="n">
        <v>1</v>
      </c>
      <c r="G134" s="72">
        <f t="array" ref="G134">SUM(IF(ISERROR(FIND(sources[data source],techniques[[#This Row],[data sources]])),0,1)*IF(sources[available]="yes",1,0))</f>
        <v/>
      </c>
      <c r="H134" s="73">
        <f t="array" ref="H134">IF(techniques[[#This Row],[technique]]=techniques[[#This Row],[id]],SUM(IF(techniques[[#This Row],[id]]=techniques[technique],1,0))-1,"")</f>
        <v/>
      </c>
      <c r="I134" s="74">
        <f t="array" ref="I134">IF(SUM(IF($C134=detections[],IF(detections[is active]="yes",1,0),0))&gt;0,SUM(IF($C134=detections[],IF(detections[is active]="yes",1,0),0)),"")</f>
        <v/>
      </c>
      <c r="J134" s="74">
        <f t="array" ref="J13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34" s="74">
        <f>IF(AND(ISNUMBER(techniques[[#This Row],[number of sub techniques]]),techniques[[#This Row],[number of sub techniques]]&gt;1),techniques[number of sub techniques],1)</f>
        <v/>
      </c>
      <c r="L134" s="72" t="n"/>
      <c r="M134" s="74">
        <f t="array" ref="M13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3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34" s="26">
        <f>IF(techniques[[#This Row],[detection rules]]&gt;=techniques[[#This Row],[expected detection rules]],1,techniques[[#This Row],[detection rules]]/techniques[[#This Row],[expected detection rules]])</f>
        <v/>
      </c>
      <c r="P13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34" s="29">
        <f>IF(ISERROR(SEARCH(techniques[[#This Row],[id]],techniques[[#This Row],[name]])),"ERROR","")</f>
        <v/>
      </c>
      <c r="S13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35" ht="12.75" customHeight="1">
      <c r="A135" s="74" t="inlineStr">
        <is>
          <t>T1069</t>
        </is>
      </c>
      <c r="B135" s="74" t="inlineStr">
        <is>
          <t>T1069.002</t>
        </is>
      </c>
      <c r="C135" s="13" t="inlineStr">
        <is>
          <t>Domain Groups (T1069.002)</t>
        </is>
      </c>
      <c r="D135" s="13" t="inlineStr">
        <is>
          <t>discovery</t>
        </is>
      </c>
      <c r="E135" s="13" t="inlineStr">
        <is>
          <t>Command: Command Execution|Network Traffic: Network Traffic Content|Process: Process Creation</t>
        </is>
      </c>
      <c r="F135" s="74" t="n">
        <v>3</v>
      </c>
      <c r="G135" s="72">
        <f t="array" ref="G135">SUM(IF(ISERROR(FIND(sources[data source],techniques[[#This Row],[data sources]])),0,1)*IF(sources[available]="yes",1,0))</f>
        <v/>
      </c>
      <c r="H135" s="73">
        <f t="array" ref="H135">IF(techniques[[#This Row],[technique]]=techniques[[#This Row],[id]],SUM(IF(techniques[[#This Row],[id]]=techniques[technique],1,0))-1,"")</f>
        <v/>
      </c>
      <c r="I135" s="74">
        <f t="array" ref="I135">IF(SUM(IF($C135=detections[],IF(detections[is active]="yes",1,0),0))&gt;0,SUM(IF($C135=detections[],IF(detections[is active]="yes",1,0),0)),"")</f>
        <v/>
      </c>
      <c r="J135" s="74">
        <f t="array" ref="J13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35" s="74">
        <f>IF(AND(ISNUMBER(techniques[[#This Row],[number of sub techniques]]),techniques[[#This Row],[number of sub techniques]]&gt;1),techniques[number of sub techniques],1)</f>
        <v/>
      </c>
      <c r="L135" s="72" t="n"/>
      <c r="M135" s="74">
        <f t="array" ref="M13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3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35" s="26">
        <f>IF(techniques[[#This Row],[detection rules]]&gt;=techniques[[#This Row],[expected detection rules]],1,techniques[[#This Row],[detection rules]]/techniques[[#This Row],[expected detection rules]])</f>
        <v/>
      </c>
      <c r="P13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35" s="29">
        <f>IF(ISERROR(SEARCH(techniques[[#This Row],[id]],techniques[[#This Row],[name]])),"ERROR","")</f>
        <v/>
      </c>
      <c r="S13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36" ht="12.75" customHeight="1">
      <c r="A136" s="74" t="inlineStr">
        <is>
          <t>T1069</t>
        </is>
      </c>
      <c r="B136" s="74" t="inlineStr">
        <is>
          <t>T1069.003</t>
        </is>
      </c>
      <c r="C136" s="13" t="inlineStr">
        <is>
          <t>Cloud Groups (T1069.003)</t>
        </is>
      </c>
      <c r="D136" s="13" t="inlineStr">
        <is>
          <t>discovery</t>
        </is>
      </c>
      <c r="E136" s="13" t="inlineStr">
        <is>
          <t>Command: Command Execution|Group: Group Enumeration|Group: Group Metadata</t>
        </is>
      </c>
      <c r="F136" s="74" t="n">
        <v>3</v>
      </c>
      <c r="G136" s="72">
        <f t="array" ref="G136">SUM(IF(ISERROR(FIND(sources[data source],techniques[[#This Row],[data sources]])),0,1)*IF(sources[available]="yes",1,0))</f>
        <v/>
      </c>
      <c r="H136" s="73">
        <f t="array" ref="H136">IF(techniques[[#This Row],[technique]]=techniques[[#This Row],[id]],SUM(IF(techniques[[#This Row],[id]]=techniques[technique],1,0))-1,"")</f>
        <v/>
      </c>
      <c r="I136" s="74">
        <f t="array" ref="I136">IF(SUM(IF($C136=detections[],IF(detections[is active]="yes",1,0),0))&gt;0,SUM(IF($C136=detections[],IF(detections[is active]="yes",1,0),0)),"")</f>
        <v/>
      </c>
      <c r="J136" s="74">
        <f t="array" ref="J13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36" s="74">
        <f>IF(AND(ISNUMBER(techniques[[#This Row],[number of sub techniques]]),techniques[[#This Row],[number of sub techniques]]&gt;1),techniques[number of sub techniques],1)</f>
        <v/>
      </c>
      <c r="L136" s="72" t="n"/>
      <c r="M136" s="74">
        <f t="array" ref="M13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3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36" s="26">
        <f>IF(techniques[[#This Row],[detection rules]]&gt;=techniques[[#This Row],[expected detection rules]],1,techniques[[#This Row],[detection rules]]/techniques[[#This Row],[expected detection rules]])</f>
        <v/>
      </c>
      <c r="P13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36" s="29">
        <f>IF(ISERROR(SEARCH(techniques[[#This Row],[id]],techniques[[#This Row],[name]])),"ERROR","")</f>
        <v/>
      </c>
      <c r="S13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37" ht="12.75" customHeight="1">
      <c r="A137" s="74" t="inlineStr">
        <is>
          <t>T1070</t>
        </is>
      </c>
      <c r="B137" s="74" t="inlineStr">
        <is>
          <t>T1070</t>
        </is>
      </c>
      <c r="C137" s="13" t="inlineStr">
        <is>
          <t>Indicator Removal (T1070)</t>
        </is>
      </c>
      <c r="D137" s="13" t="inlineStr">
        <is>
          <t>stealth</t>
        </is>
      </c>
      <c r="E137" s="13" t="inlineStr">
        <is>
          <t>Application Log: Application Log Content|File: File Deletion|File: File Metadata|File: File Modification|Scheduled Job: Scheduled Job Modification|Windows Registry: Windows Registry Key Modification</t>
        </is>
      </c>
      <c r="F137" s="74" t="n">
        <v>6</v>
      </c>
      <c r="G137" s="72">
        <f t="array" ref="G137">SUM(IF(ISERROR(FIND(sources[data source],techniques[[#This Row],[data sources]])),0,1)*IF(sources[available]="yes",1,0))</f>
        <v/>
      </c>
      <c r="H137" s="73">
        <f t="array" ref="H137">IF(techniques[[#This Row],[technique]]=techniques[[#This Row],[id]],SUM(IF(techniques[[#This Row],[id]]=techniques[technique],1,0))-1,"")</f>
        <v/>
      </c>
      <c r="I137" s="74">
        <f t="array" ref="I137">IF(SUM(IF($C137=detections[],IF(detections[is active]="yes",1,0),0))&gt;0,SUM(IF($C137=detections[],IF(detections[is active]="yes",1,0),0)),"")</f>
        <v/>
      </c>
      <c r="J137" s="74">
        <f t="array" ref="J13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37" s="74">
        <f>IF(AND(ISNUMBER(techniques[[#This Row],[number of sub techniques]]),techniques[[#This Row],[number of sub techniques]]&gt;1),techniques[number of sub techniques],1)</f>
        <v/>
      </c>
      <c r="L137" s="72" t="n"/>
      <c r="M137" s="74">
        <f t="array" ref="M13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3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37" s="26">
        <f>IF(techniques[[#This Row],[detection rules]]&gt;=techniques[[#This Row],[expected detection rules]],1,techniques[[#This Row],[detection rules]]/techniques[[#This Row],[expected detection rules]])</f>
        <v/>
      </c>
      <c r="P13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37" s="29">
        <f>IF(ISERROR(SEARCH(techniques[[#This Row],[id]],techniques[[#This Row],[name]])),"ERROR","")</f>
        <v/>
      </c>
      <c r="S13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38" ht="12.75" customHeight="1">
      <c r="A138" s="74" t="inlineStr">
        <is>
          <t>T1070</t>
        </is>
      </c>
      <c r="B138" s="74" t="inlineStr">
        <is>
          <t>T1070.003</t>
        </is>
      </c>
      <c r="C138" s="13" t="inlineStr">
        <is>
          <t>Clear Command History (T1070.003)</t>
        </is>
      </c>
      <c r="D138" s="13" t="inlineStr">
        <is>
          <t>stealth</t>
        </is>
      </c>
      <c r="E138" s="13" t="inlineStr">
        <is>
          <t>Command: Command Execution|File: File Deletion|File: File Modification|Process: Process Creation</t>
        </is>
      </c>
      <c r="F138" s="74" t="n">
        <v>4</v>
      </c>
      <c r="G138" s="72">
        <f t="array" ref="G138">SUM(IF(ISERROR(FIND(sources[data source],techniques[[#This Row],[data sources]])),0,1)*IF(sources[available]="yes",1,0))</f>
        <v/>
      </c>
      <c r="H138" s="73">
        <f t="array" ref="H138">IF(techniques[[#This Row],[technique]]=techniques[[#This Row],[id]],SUM(IF(techniques[[#This Row],[id]]=techniques[technique],1,0))-1,"")</f>
        <v/>
      </c>
      <c r="I138" s="74">
        <f t="array" ref="I138">IF(SUM(IF($C138=detections[],IF(detections[is active]="yes",1,0),0))&gt;0,SUM(IF($C138=detections[],IF(detections[is active]="yes",1,0),0)),"")</f>
        <v/>
      </c>
      <c r="J138" s="74">
        <f t="array" ref="J13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38" s="74">
        <f>IF(AND(ISNUMBER(techniques[[#This Row],[number of sub techniques]]),techniques[[#This Row],[number of sub techniques]]&gt;1),techniques[number of sub techniques],1)</f>
        <v/>
      </c>
      <c r="L138" s="72" t="n"/>
      <c r="M138" s="74">
        <f t="array" ref="M13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3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38" s="26">
        <f>IF(techniques[[#This Row],[detection rules]]&gt;=techniques[[#This Row],[expected detection rules]],1,techniques[[#This Row],[detection rules]]/techniques[[#This Row],[expected detection rules]])</f>
        <v/>
      </c>
      <c r="P13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38" s="29">
        <f>IF(ISERROR(SEARCH(techniques[[#This Row],[id]],techniques[[#This Row],[name]])),"ERROR","")</f>
        <v/>
      </c>
      <c r="S13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39" ht="12.75" customHeight="1">
      <c r="A139" s="74" t="inlineStr">
        <is>
          <t>T1070</t>
        </is>
      </c>
      <c r="B139" s="74" t="inlineStr">
        <is>
          <t>T1070.004</t>
        </is>
      </c>
      <c r="C139" s="13" t="inlineStr">
        <is>
          <t>File Deletion (T1070.004)</t>
        </is>
      </c>
      <c r="D139" s="13" t="inlineStr">
        <is>
          <t>stealth</t>
        </is>
      </c>
      <c r="E139" s="13" t="inlineStr">
        <is>
          <t>Command: Command Execution|File: File Access|File: File Deletion|File: File Modification|Process: Process Creation</t>
        </is>
      </c>
      <c r="F139" s="74" t="n">
        <v>5</v>
      </c>
      <c r="G139" s="72">
        <f t="array" ref="G139">SUM(IF(ISERROR(FIND(sources[data source],techniques[[#This Row],[data sources]])),0,1)*IF(sources[available]="yes",1,0))</f>
        <v/>
      </c>
      <c r="H139" s="73">
        <f t="array" ref="H139">IF(techniques[[#This Row],[technique]]=techniques[[#This Row],[id]],SUM(IF(techniques[[#This Row],[id]]=techniques[technique],1,0))-1,"")</f>
        <v/>
      </c>
      <c r="I139" s="74">
        <f t="array" ref="I139">IF(SUM(IF($C139=detections[],IF(detections[is active]="yes",1,0),0))&gt;0,SUM(IF($C139=detections[],IF(detections[is active]="yes",1,0),0)),"")</f>
        <v/>
      </c>
      <c r="J139" s="74">
        <f t="array" ref="J13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39" s="74">
        <f>IF(AND(ISNUMBER(techniques[[#This Row],[number of sub techniques]]),techniques[[#This Row],[number of sub techniques]]&gt;1),techniques[number of sub techniques],1)</f>
        <v/>
      </c>
      <c r="L139" s="72" t="n"/>
      <c r="M139" s="74">
        <f t="array" ref="M13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3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39" s="26">
        <f>IF(techniques[[#This Row],[detection rules]]&gt;=techniques[[#This Row],[expected detection rules]],1,techniques[[#This Row],[detection rules]]/techniques[[#This Row],[expected detection rules]])</f>
        <v/>
      </c>
      <c r="P13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39" s="29">
        <f>IF(ISERROR(SEARCH(techniques[[#This Row],[id]],techniques[[#This Row],[name]])),"ERROR","")</f>
        <v/>
      </c>
      <c r="S13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40" ht="12.75" customHeight="1">
      <c r="A140" s="74" t="inlineStr">
        <is>
          <t>T1070</t>
        </is>
      </c>
      <c r="B140" s="74" t="inlineStr">
        <is>
          <t>T1070.005</t>
        </is>
      </c>
      <c r="C140" s="13" t="inlineStr">
        <is>
          <t>Network Share Connection Removal (T1070.005)</t>
        </is>
      </c>
      <c r="D140" s="13" t="inlineStr">
        <is>
          <t>stealth</t>
        </is>
      </c>
      <c r="E140" s="13" t="inlineStr">
        <is>
          <t>Command: Command Execution|Logon Session: Logon Session Creation|Network Traffic: Network Traffic Content|Process: Process Creation</t>
        </is>
      </c>
      <c r="F140" s="74" t="n">
        <v>4</v>
      </c>
      <c r="G140" s="72">
        <f t="array" ref="G140">SUM(IF(ISERROR(FIND(sources[data source],techniques[[#This Row],[data sources]])),0,1)*IF(sources[available]="yes",1,0))</f>
        <v/>
      </c>
      <c r="H140" s="73">
        <f t="array" ref="H140">IF(techniques[[#This Row],[technique]]=techniques[[#This Row],[id]],SUM(IF(techniques[[#This Row],[id]]=techniques[technique],1,0))-1,"")</f>
        <v/>
      </c>
      <c r="I140" s="74">
        <f t="array" ref="I140">IF(SUM(IF($C140=detections[],IF(detections[is active]="yes",1,0),0))&gt;0,SUM(IF($C140=detections[],IF(detections[is active]="yes",1,0),0)),"")</f>
        <v/>
      </c>
      <c r="J140" s="74">
        <f t="array" ref="J14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40" s="74">
        <f>IF(AND(ISNUMBER(techniques[[#This Row],[number of sub techniques]]),techniques[[#This Row],[number of sub techniques]]&gt;1),techniques[number of sub techniques],1)</f>
        <v/>
      </c>
      <c r="L140" s="72" t="n"/>
      <c r="M140" s="74">
        <f t="array" ref="M14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4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40" s="26">
        <f>IF(techniques[[#This Row],[detection rules]]&gt;=techniques[[#This Row],[expected detection rules]],1,techniques[[#This Row],[detection rules]]/techniques[[#This Row],[expected detection rules]])</f>
        <v/>
      </c>
      <c r="P14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40" s="29">
        <f>IF(ISERROR(SEARCH(techniques[[#This Row],[id]],techniques[[#This Row],[name]])),"ERROR","")</f>
        <v/>
      </c>
      <c r="S14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41" ht="12.75" customHeight="1">
      <c r="A141" s="74" t="inlineStr">
        <is>
          <t>T1070</t>
        </is>
      </c>
      <c r="B141" s="74" t="inlineStr">
        <is>
          <t>T1070.006</t>
        </is>
      </c>
      <c r="C141" s="13" t="inlineStr">
        <is>
          <t>Timestomp (T1070.006)</t>
        </is>
      </c>
      <c r="D141" s="13" t="inlineStr">
        <is>
          <t>stealth</t>
        </is>
      </c>
      <c r="E141" s="13" t="inlineStr">
        <is>
          <t>Command: Command Execution|File: File Access|File: File Metadata|File: File Modification|Process: OS API Execution|Process: Process Creation</t>
        </is>
      </c>
      <c r="F141" s="74" t="n">
        <v>6</v>
      </c>
      <c r="G141" s="72">
        <f t="array" ref="G141">SUM(IF(ISERROR(FIND(sources[data source],techniques[[#This Row],[data sources]])),0,1)*IF(sources[available]="yes",1,0))</f>
        <v/>
      </c>
      <c r="H141" s="73">
        <f t="array" ref="H141">IF(techniques[[#This Row],[technique]]=techniques[[#This Row],[id]],SUM(IF(techniques[[#This Row],[id]]=techniques[technique],1,0))-1,"")</f>
        <v/>
      </c>
      <c r="I141" s="74">
        <f t="array" ref="I141">IF(SUM(IF($C141=detections[],IF(detections[is active]="yes",1,0),0))&gt;0,SUM(IF($C141=detections[],IF(detections[is active]="yes",1,0),0)),"")</f>
        <v/>
      </c>
      <c r="J141" s="74">
        <f t="array" ref="J14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41" s="74">
        <f>IF(AND(ISNUMBER(techniques[[#This Row],[number of sub techniques]]),techniques[[#This Row],[number of sub techniques]]&gt;1),techniques[number of sub techniques],1)</f>
        <v/>
      </c>
      <c r="L141" s="72" t="n"/>
      <c r="M141" s="74">
        <f t="array" ref="M14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4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41" s="26">
        <f>IF(techniques[[#This Row],[detection rules]]&gt;=techniques[[#This Row],[expected detection rules]],1,techniques[[#This Row],[detection rules]]/techniques[[#This Row],[expected detection rules]])</f>
        <v/>
      </c>
      <c r="P14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41" s="29">
        <f>IF(ISERROR(SEARCH(techniques[[#This Row],[id]],techniques[[#This Row],[name]])),"ERROR","")</f>
        <v/>
      </c>
      <c r="S14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42" ht="12.75" customHeight="1">
      <c r="A142" s="74" t="inlineStr">
        <is>
          <t>T1070</t>
        </is>
      </c>
      <c r="B142" s="74" t="inlineStr">
        <is>
          <t>T1070.007</t>
        </is>
      </c>
      <c r="C142" s="13" t="inlineStr">
        <is>
          <t>Clear Network Connection History and Configurations (T1070.007)</t>
        </is>
      </c>
      <c r="D142" s="13" t="inlineStr">
        <is>
          <t>stealth</t>
        </is>
      </c>
      <c r="E142" s="13" t="inlineStr">
        <is>
          <t>Command: Command Execution|File: File Modification|Firewall: Firewall Rule Modification|Network Traffic: Network Traffic Content|Process: Process Creation|Windows Registry: Windows Registry Key Modification</t>
        </is>
      </c>
      <c r="F142" s="74" t="n">
        <v>6</v>
      </c>
      <c r="G142" s="72">
        <f t="array" ref="G142">SUM(IF(ISERROR(FIND(sources[data source],techniques[[#This Row],[data sources]])),0,1)*IF(sources[available]="yes",1,0))</f>
        <v/>
      </c>
      <c r="H142" s="73">
        <f t="array" ref="H142">IF(techniques[[#This Row],[technique]]=techniques[[#This Row],[id]],SUM(IF(techniques[[#This Row],[id]]=techniques[technique],1,0))-1,"")</f>
        <v/>
      </c>
      <c r="I142" s="74">
        <f t="array" ref="I142">IF(SUM(IF($C142=detections[],IF(detections[is active]="yes",1,0),0))&gt;0,SUM(IF($C142=detections[],IF(detections[is active]="yes",1,0),0)),"")</f>
        <v/>
      </c>
      <c r="J142" s="74">
        <f t="array" ref="J14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42" s="74">
        <f>IF(AND(ISNUMBER(techniques[[#This Row],[number of sub techniques]]),techniques[[#This Row],[number of sub techniques]]&gt;1),techniques[number of sub techniques],1)</f>
        <v/>
      </c>
      <c r="L142" s="72" t="n"/>
      <c r="M142" s="74">
        <f t="array" ref="M14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4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42" s="26">
        <f>IF(techniques[[#This Row],[detection rules]]&gt;=techniques[[#This Row],[expected detection rules]],1,techniques[[#This Row],[detection rules]]/techniques[[#This Row],[expected detection rules]])</f>
        <v/>
      </c>
      <c r="P14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42" s="29">
        <f>IF(ISERROR(SEARCH(techniques[[#This Row],[id]],techniques[[#This Row],[name]])),"ERROR","")</f>
        <v/>
      </c>
      <c r="S14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43" ht="12.75" customHeight="1">
      <c r="A143" s="74" t="inlineStr">
        <is>
          <t>T1070</t>
        </is>
      </c>
      <c r="B143" s="74" t="inlineStr">
        <is>
          <t>T1070.008</t>
        </is>
      </c>
      <c r="C143" s="13" t="inlineStr">
        <is>
          <t>Clear Mailbox Data (T1070.008)</t>
        </is>
      </c>
      <c r="D143" s="13" t="inlineStr">
        <is>
          <t>stealth</t>
        </is>
      </c>
      <c r="E143" s="13" t="inlineStr">
        <is>
          <t>Application Log: Application Log Content|Command: Command Execution|File: File Deletion|File: File Modification|Process: Process Creation</t>
        </is>
      </c>
      <c r="F143" s="74" t="n">
        <v>5</v>
      </c>
      <c r="G143" s="72">
        <f t="array" ref="G143">SUM(IF(ISERROR(FIND(sources[data source],techniques[[#This Row],[data sources]])),0,1)*IF(sources[available]="yes",1,0))</f>
        <v/>
      </c>
      <c r="H143" s="73">
        <f t="array" ref="H143">IF(techniques[[#This Row],[technique]]=techniques[[#This Row],[id]],SUM(IF(techniques[[#This Row],[id]]=techniques[technique],1,0))-1,"")</f>
        <v/>
      </c>
      <c r="I143" s="74">
        <f t="array" ref="I143">IF(SUM(IF($C143=detections[],IF(detections[is active]="yes",1,0),0))&gt;0,SUM(IF($C143=detections[],IF(detections[is active]="yes",1,0),0)),"")</f>
        <v/>
      </c>
      <c r="J143" s="74">
        <f t="array" ref="J14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43" s="74">
        <f>IF(AND(ISNUMBER(techniques[[#This Row],[number of sub techniques]]),techniques[[#This Row],[number of sub techniques]]&gt;1),techniques[number of sub techniques],1)</f>
        <v/>
      </c>
      <c r="L143" s="72" t="n"/>
      <c r="M143" s="74">
        <f t="array" ref="M14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4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43" s="26">
        <f>IF(techniques[[#This Row],[detection rules]]&gt;=techniques[[#This Row],[expected detection rules]],1,techniques[[#This Row],[detection rules]]/techniques[[#This Row],[expected detection rules]])</f>
        <v/>
      </c>
      <c r="P14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43" s="29">
        <f>IF(ISERROR(SEARCH(techniques[[#This Row],[id]],techniques[[#This Row],[name]])),"ERROR","")</f>
        <v/>
      </c>
      <c r="S14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44" ht="12.75" customHeight="1">
      <c r="A144" s="74" t="inlineStr">
        <is>
          <t>T1070</t>
        </is>
      </c>
      <c r="B144" s="74" t="inlineStr">
        <is>
          <t>T1070.009</t>
        </is>
      </c>
      <c r="C144" s="13" t="inlineStr">
        <is>
          <t>Clear Persistence (T1070.009)</t>
        </is>
      </c>
      <c r="D144" s="13" t="inlineStr">
        <is>
          <t>stealth</t>
        </is>
      </c>
      <c r="E144" s="13" t="inlineStr">
        <is>
          <t>Command: Command Execution|File: File Deletion|Process: Process Creation|Scheduled Job: Scheduled Job Creation|User Account: User Account Deletion|Windows Registry: Windows Registry Key Modification</t>
        </is>
      </c>
      <c r="F144" s="74" t="n">
        <v>6</v>
      </c>
      <c r="G144" s="72">
        <f t="array" ref="G144">SUM(IF(ISERROR(FIND(sources[data source],techniques[[#This Row],[data sources]])),0,1)*IF(sources[available]="yes",1,0))</f>
        <v/>
      </c>
      <c r="H144" s="73">
        <f t="array" ref="H144">IF(techniques[[#This Row],[technique]]=techniques[[#This Row],[id]],SUM(IF(techniques[[#This Row],[id]]=techniques[technique],1,0))-1,"")</f>
        <v/>
      </c>
      <c r="I144" s="74">
        <f t="array" ref="I144">IF(SUM(IF($C144=detections[],IF(detections[is active]="yes",1,0),0))&gt;0,SUM(IF($C144=detections[],IF(detections[is active]="yes",1,0),0)),"")</f>
        <v/>
      </c>
      <c r="J144" s="74">
        <f t="array" ref="J14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44" s="74">
        <f>IF(AND(ISNUMBER(techniques[[#This Row],[number of sub techniques]]),techniques[[#This Row],[number of sub techniques]]&gt;1),techniques[number of sub techniques],1)</f>
        <v/>
      </c>
      <c r="L144" s="72" t="n"/>
      <c r="M144" s="74">
        <f t="array" ref="M14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4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44" s="26">
        <f>IF(techniques[[#This Row],[detection rules]]&gt;=techniques[[#This Row],[expected detection rules]],1,techniques[[#This Row],[detection rules]]/techniques[[#This Row],[expected detection rules]])</f>
        <v/>
      </c>
      <c r="P14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44" s="29">
        <f>IF(ISERROR(SEARCH(techniques[[#This Row],[id]],techniques[[#This Row],[name]])),"ERROR","")</f>
        <v/>
      </c>
      <c r="S14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45" ht="12.75" customHeight="1">
      <c r="A145" s="74" t="inlineStr">
        <is>
          <t>T1070</t>
        </is>
      </c>
      <c r="B145" s="74" t="inlineStr">
        <is>
          <t>T1070.010</t>
        </is>
      </c>
      <c r="C145" s="13" t="inlineStr">
        <is>
          <t>Relocate Malware (T1070.010)</t>
        </is>
      </c>
      <c r="D145" s="13" t="inlineStr">
        <is>
          <t>stealth</t>
        </is>
      </c>
      <c r="E145" s="13" t="inlineStr">
        <is>
          <t>Command: Command Execution|File: File Creation|File: File Deletion|File: File Modification</t>
        </is>
      </c>
      <c r="F145" s="74" t="n">
        <v>4</v>
      </c>
      <c r="G145" s="72">
        <f t="array" ref="G145">SUM(IF(ISERROR(FIND(sources[data source],techniques[[#This Row],[data sources]])),0,1)*IF(sources[available]="yes",1,0))</f>
        <v/>
      </c>
      <c r="H145" s="73">
        <f t="array" ref="H145">IF(techniques[[#This Row],[technique]]=techniques[[#This Row],[id]],SUM(IF(techniques[[#This Row],[id]]=techniques[technique],1,0))-1,"")</f>
        <v/>
      </c>
      <c r="I145" s="74">
        <f t="array" ref="I145">IF(SUM(IF($C145=detections[],IF(detections[is active]="yes",1,0),0))&gt;0,SUM(IF($C145=detections[],IF(detections[is active]="yes",1,0),0)),"")</f>
        <v/>
      </c>
      <c r="J145" s="74">
        <f t="array" ref="J14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45" s="74">
        <f>IF(AND(ISNUMBER(techniques[[#This Row],[number of sub techniques]]),techniques[[#This Row],[number of sub techniques]]&gt;1),techniques[number of sub techniques],1)</f>
        <v/>
      </c>
      <c r="L145" s="72" t="n"/>
      <c r="M145" s="74">
        <f t="array" ref="M14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4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45" s="26">
        <f>IF(techniques[[#This Row],[detection rules]]&gt;=techniques[[#This Row],[expected detection rules]],1,techniques[[#This Row],[detection rules]]/techniques[[#This Row],[expected detection rules]])</f>
        <v/>
      </c>
      <c r="P14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45" s="29">
        <f>IF(ISERROR(SEARCH(techniques[[#This Row],[id]],techniques[[#This Row],[name]])),"ERROR","")</f>
        <v/>
      </c>
      <c r="S14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46" ht="12.75" customHeight="1">
      <c r="A146" s="74" t="inlineStr">
        <is>
          <t>T1071</t>
        </is>
      </c>
      <c r="B146" s="74" t="inlineStr">
        <is>
          <t>T1071</t>
        </is>
      </c>
      <c r="C146" s="13" t="inlineStr">
        <is>
          <t>Application Layer Protocol (T1071)</t>
        </is>
      </c>
      <c r="D146" s="13" t="inlineStr">
        <is>
          <t>command-and-control</t>
        </is>
      </c>
      <c r="E146" s="13" t="inlineStr">
        <is>
          <t>Command: Command Execution|Network Traffic: Network Connection Creation|Network Traffic: Network Traffic Content|Network Traffic: Network Traffic Flow|Process: Process Creation</t>
        </is>
      </c>
      <c r="F146" s="74" t="n">
        <v>5</v>
      </c>
      <c r="G146" s="72">
        <f t="array" ref="G146">SUM(IF(ISERROR(FIND(sources[data source],techniques[[#This Row],[data sources]])),0,1)*IF(sources[available]="yes",1,0))</f>
        <v/>
      </c>
      <c r="H146" s="73">
        <f t="array" ref="H146">IF(techniques[[#This Row],[technique]]=techniques[[#This Row],[id]],SUM(IF(techniques[[#This Row],[id]]=techniques[technique],1,0))-1,"")</f>
        <v/>
      </c>
      <c r="I146" s="74">
        <f t="array" ref="I146">IF(SUM(IF($C146=detections[],IF(detections[is active]="yes",1,0),0))&gt;0,SUM(IF($C146=detections[],IF(detections[is active]="yes",1,0),0)),"")</f>
        <v/>
      </c>
      <c r="J146" s="74">
        <f t="array" ref="J14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46" s="74">
        <f>IF(AND(ISNUMBER(techniques[[#This Row],[number of sub techniques]]),techniques[[#This Row],[number of sub techniques]]&gt;1),techniques[number of sub techniques],1)</f>
        <v/>
      </c>
      <c r="L146" s="72" t="n"/>
      <c r="M146" s="74">
        <f t="array" ref="M14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4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46" s="26">
        <f>IF(techniques[[#This Row],[detection rules]]&gt;=techniques[[#This Row],[expected detection rules]],1,techniques[[#This Row],[detection rules]]/techniques[[#This Row],[expected detection rules]])</f>
        <v/>
      </c>
      <c r="P14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46" s="29">
        <f>IF(ISERROR(SEARCH(techniques[[#This Row],[id]],techniques[[#This Row],[name]])),"ERROR","")</f>
        <v/>
      </c>
      <c r="S14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47" ht="12.75" customHeight="1">
      <c r="A147" s="74" t="inlineStr">
        <is>
          <t>T1071</t>
        </is>
      </c>
      <c r="B147" s="74" t="inlineStr">
        <is>
          <t>T1071.001</t>
        </is>
      </c>
      <c r="C147" s="13" t="inlineStr">
        <is>
          <t>Web Protocols (T1071.001)</t>
        </is>
      </c>
      <c r="D147" s="13" t="inlineStr">
        <is>
          <t>command-and-control</t>
        </is>
      </c>
      <c r="E147" s="13" t="inlineStr">
        <is>
          <t>Command: Command Execution|Network Traffic: Network Connection Creation|Network Traffic: Network Traffic Content|Network Traffic: Network Traffic Flow|Process: Process Creation</t>
        </is>
      </c>
      <c r="F147" s="74" t="n">
        <v>5</v>
      </c>
      <c r="G147" s="72">
        <f t="array" ref="G147">SUM(IF(ISERROR(FIND(sources[data source],techniques[[#This Row],[data sources]])),0,1)*IF(sources[available]="yes",1,0))</f>
        <v/>
      </c>
      <c r="H147" s="73">
        <f t="array" ref="H147">IF(techniques[[#This Row],[technique]]=techniques[[#This Row],[id]],SUM(IF(techniques[[#This Row],[id]]=techniques[technique],1,0))-1,"")</f>
        <v/>
      </c>
      <c r="I147" s="74">
        <f t="array" ref="I147">IF(SUM(IF($C147=detections[],IF(detections[is active]="yes",1,0),0))&gt;0,SUM(IF($C147=detections[],IF(detections[is active]="yes",1,0),0)),"")</f>
        <v/>
      </c>
      <c r="J147" s="74">
        <f t="array" ref="J14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47" s="74">
        <f>IF(AND(ISNUMBER(techniques[[#This Row],[number of sub techniques]]),techniques[[#This Row],[number of sub techniques]]&gt;1),techniques[number of sub techniques],1)</f>
        <v/>
      </c>
      <c r="L147" s="72" t="n"/>
      <c r="M147" s="74">
        <f t="array" ref="M14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4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47" s="26">
        <f>IF(techniques[[#This Row],[detection rules]]&gt;=techniques[[#This Row],[expected detection rules]],1,techniques[[#This Row],[detection rules]]/techniques[[#This Row],[expected detection rules]])</f>
        <v/>
      </c>
      <c r="P14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47" s="29">
        <f>IF(ISERROR(SEARCH(techniques[[#This Row],[id]],techniques[[#This Row],[name]])),"ERROR","")</f>
        <v/>
      </c>
      <c r="S14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48" ht="12.75" customHeight="1">
      <c r="A148" s="74" t="inlineStr">
        <is>
          <t>T1071</t>
        </is>
      </c>
      <c r="B148" s="74" t="inlineStr">
        <is>
          <t>T1071.002</t>
        </is>
      </c>
      <c r="C148" s="13" t="inlineStr">
        <is>
          <t>File Transfer Protocols (T1071.002)</t>
        </is>
      </c>
      <c r="D148" s="13" t="inlineStr">
        <is>
          <t>command-and-control</t>
        </is>
      </c>
      <c r="E148" s="13" t="inlineStr">
        <is>
          <t>Command: Command Execution|Network Traffic: Network Connection Creation|Network Traffic: Network Traffic Content|Network Traffic: Network Traffic Flow|Process: Process Creation</t>
        </is>
      </c>
      <c r="F148" s="74" t="n">
        <v>5</v>
      </c>
      <c r="G148" s="72">
        <f t="array" ref="G148">SUM(IF(ISERROR(FIND(sources[data source],techniques[[#This Row],[data sources]])),0,1)*IF(sources[available]="yes",1,0))</f>
        <v/>
      </c>
      <c r="H148" s="73">
        <f t="array" ref="H148">IF(techniques[[#This Row],[technique]]=techniques[[#This Row],[id]],SUM(IF(techniques[[#This Row],[id]]=techniques[technique],1,0))-1,"")</f>
        <v/>
      </c>
      <c r="I148" s="74">
        <f t="array" ref="I148">IF(SUM(IF($C148=detections[],IF(detections[is active]="yes",1,0),0))&gt;0,SUM(IF($C148=detections[],IF(detections[is active]="yes",1,0),0)),"")</f>
        <v/>
      </c>
      <c r="J148" s="74">
        <f t="array" ref="J14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48" s="74">
        <f>IF(AND(ISNUMBER(techniques[[#This Row],[number of sub techniques]]),techniques[[#This Row],[number of sub techniques]]&gt;1),techniques[number of sub techniques],1)</f>
        <v/>
      </c>
      <c r="L148" s="72" t="n"/>
      <c r="M148" s="74">
        <f t="array" ref="M14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4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48" s="26">
        <f>IF(techniques[[#This Row],[detection rules]]&gt;=techniques[[#This Row],[expected detection rules]],1,techniques[[#This Row],[detection rules]]/techniques[[#This Row],[expected detection rules]])</f>
        <v/>
      </c>
      <c r="P14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48" s="29">
        <f>IF(ISERROR(SEARCH(techniques[[#This Row],[id]],techniques[[#This Row],[name]])),"ERROR","")</f>
        <v/>
      </c>
      <c r="S14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49" ht="12.75" customHeight="1">
      <c r="A149" s="74" t="inlineStr">
        <is>
          <t>T1071</t>
        </is>
      </c>
      <c r="B149" s="74" t="inlineStr">
        <is>
          <t>T1071.003</t>
        </is>
      </c>
      <c r="C149" s="13" t="inlineStr">
        <is>
          <t>Mail Protocols (T1071.003)</t>
        </is>
      </c>
      <c r="D149" s="13" t="inlineStr">
        <is>
          <t>command-and-control</t>
        </is>
      </c>
      <c r="E149" s="13" t="inlineStr">
        <is>
          <t>Network Traffic: Network Connection Creation|Network Traffic: Network Traffic Content|Network Traffic: Network Traffic Flow|Process: Process Creation</t>
        </is>
      </c>
      <c r="F149" s="74" t="n">
        <v>4</v>
      </c>
      <c r="G149" s="72">
        <f t="array" ref="G149">SUM(IF(ISERROR(FIND(sources[data source],techniques[[#This Row],[data sources]])),0,1)*IF(sources[available]="yes",1,0))</f>
        <v/>
      </c>
      <c r="H149" s="73">
        <f t="array" ref="H149">IF(techniques[[#This Row],[technique]]=techniques[[#This Row],[id]],SUM(IF(techniques[[#This Row],[id]]=techniques[technique],1,0))-1,"")</f>
        <v/>
      </c>
      <c r="I149" s="74">
        <f t="array" ref="I149">IF(SUM(IF($C149=detections[],IF(detections[is active]="yes",1,0),0))&gt;0,SUM(IF($C149=detections[],IF(detections[is active]="yes",1,0),0)),"")</f>
        <v/>
      </c>
      <c r="J149" s="74">
        <f t="array" ref="J14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49" s="74">
        <f>IF(AND(ISNUMBER(techniques[[#This Row],[number of sub techniques]]),techniques[[#This Row],[number of sub techniques]]&gt;1),techniques[number of sub techniques],1)</f>
        <v/>
      </c>
      <c r="L149" s="72" t="n"/>
      <c r="M149" s="74">
        <f t="array" ref="M14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4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49" s="26">
        <f>IF(techniques[[#This Row],[detection rules]]&gt;=techniques[[#This Row],[expected detection rules]],1,techniques[[#This Row],[detection rules]]/techniques[[#This Row],[expected detection rules]])</f>
        <v/>
      </c>
      <c r="P14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49" s="29">
        <f>IF(ISERROR(SEARCH(techniques[[#This Row],[id]],techniques[[#This Row],[name]])),"ERROR","")</f>
        <v/>
      </c>
      <c r="S14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50" ht="12.75" customHeight="1">
      <c r="A150" s="74" t="inlineStr">
        <is>
          <t>T1071</t>
        </is>
      </c>
      <c r="B150" s="74" t="inlineStr">
        <is>
          <t>T1071.004</t>
        </is>
      </c>
      <c r="C150" s="13" t="inlineStr">
        <is>
          <t>DNS (T1071.004)</t>
        </is>
      </c>
      <c r="D150" s="13" t="inlineStr">
        <is>
          <t>command-and-control</t>
        </is>
      </c>
      <c r="E150" s="13" t="inlineStr">
        <is>
          <t>Network Traffic: Network Connection Creation|Network Traffic: Network Traffic Content|Network Traffic: Network Traffic Flow|Process: Process Creation</t>
        </is>
      </c>
      <c r="F150" s="74" t="n">
        <v>4</v>
      </c>
      <c r="G150" s="72">
        <f t="array" ref="G150">SUM(IF(ISERROR(FIND(sources[data source],techniques[[#This Row],[data sources]])),0,1)*IF(sources[available]="yes",1,0))</f>
        <v/>
      </c>
      <c r="H150" s="73">
        <f t="array" ref="H150">IF(techniques[[#This Row],[technique]]=techniques[[#This Row],[id]],SUM(IF(techniques[[#This Row],[id]]=techniques[technique],1,0))-1,"")</f>
        <v/>
      </c>
      <c r="I150" s="74">
        <f t="array" ref="I150">IF(SUM(IF($C150=detections[],IF(detections[is active]="yes",1,0),0))&gt;0,SUM(IF($C150=detections[],IF(detections[is active]="yes",1,0),0)),"")</f>
        <v/>
      </c>
      <c r="J150" s="74">
        <f t="array" ref="J15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50" s="74">
        <f>IF(AND(ISNUMBER(techniques[[#This Row],[number of sub techniques]]),techniques[[#This Row],[number of sub techniques]]&gt;1),techniques[number of sub techniques],1)</f>
        <v/>
      </c>
      <c r="L150" s="72" t="n"/>
      <c r="M150" s="74">
        <f t="array" ref="M15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5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50" s="26">
        <f>IF(techniques[[#This Row],[detection rules]]&gt;=techniques[[#This Row],[expected detection rules]],1,techniques[[#This Row],[detection rules]]/techniques[[#This Row],[expected detection rules]])</f>
        <v/>
      </c>
      <c r="P15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50" s="29">
        <f>IF(ISERROR(SEARCH(techniques[[#This Row],[id]],techniques[[#This Row],[name]])),"ERROR","")</f>
        <v/>
      </c>
      <c r="S15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51" ht="12.75" customHeight="1">
      <c r="A151" s="74" t="inlineStr">
        <is>
          <t>T1071</t>
        </is>
      </c>
      <c r="B151" s="74" t="inlineStr">
        <is>
          <t>T1071.005</t>
        </is>
      </c>
      <c r="C151" s="13" t="inlineStr">
        <is>
          <t>Publish/Subscribe Protocols (T1071.005)</t>
        </is>
      </c>
      <c r="D151" s="13" t="inlineStr">
        <is>
          <t>command-and-control</t>
        </is>
      </c>
      <c r="E151" s="13" t="inlineStr">
        <is>
          <t>Network Traffic: Network Connection Creation|Network Traffic: Network Traffic Content|Network Traffic: Network Traffic Flow|Process: Process Creation</t>
        </is>
      </c>
      <c r="F151" s="74" t="n">
        <v>4</v>
      </c>
      <c r="G151" s="72">
        <f t="array" ref="G151">SUM(IF(ISERROR(FIND(sources[data source],techniques[[#This Row],[data sources]])),0,1)*IF(sources[available]="yes",1,0))</f>
        <v/>
      </c>
      <c r="H151" s="73">
        <f t="array" ref="H151">IF(techniques[[#This Row],[technique]]=techniques[[#This Row],[id]],SUM(IF(techniques[[#This Row],[id]]=techniques[technique],1,0))-1,"")</f>
        <v/>
      </c>
      <c r="I151" s="74">
        <f t="array" ref="I151">IF(SUM(IF($C151=detections[],IF(detections[is active]="yes",1,0),0))&gt;0,SUM(IF($C151=detections[],IF(detections[is active]="yes",1,0),0)),"")</f>
        <v/>
      </c>
      <c r="J151" s="74">
        <f t="array" ref="J15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51" s="74">
        <f>IF(AND(ISNUMBER(techniques[[#This Row],[number of sub techniques]]),techniques[[#This Row],[number of sub techniques]]&gt;1),techniques[number of sub techniques],1)</f>
        <v/>
      </c>
      <c r="L151" s="72" t="n"/>
      <c r="M151" s="74">
        <f t="array" ref="M15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5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51" s="26">
        <f>IF(techniques[[#This Row],[detection rules]]&gt;=techniques[[#This Row],[expected detection rules]],1,techniques[[#This Row],[detection rules]]/techniques[[#This Row],[expected detection rules]])</f>
        <v/>
      </c>
      <c r="P15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51" s="29">
        <f>IF(ISERROR(SEARCH(techniques[[#This Row],[id]],techniques[[#This Row],[name]])),"ERROR","")</f>
        <v/>
      </c>
      <c r="S15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52" ht="12.75" customHeight="1">
      <c r="A152" s="74" t="inlineStr">
        <is>
          <t>T1072</t>
        </is>
      </c>
      <c r="B152" s="74" t="inlineStr">
        <is>
          <t>T1072</t>
        </is>
      </c>
      <c r="C152" s="13" t="inlineStr">
        <is>
          <t>Software Deployment Tools (T1072)</t>
        </is>
      </c>
      <c r="D152" s="13" t="inlineStr">
        <is>
          <t>execution|lateral-movement</t>
        </is>
      </c>
      <c r="E152" s="13" t="inlineStr">
        <is>
          <t>Application Log: Application Log Content|Command: Command Execution|Network Traffic: Network Traffic Flow|Process: Process Creation</t>
        </is>
      </c>
      <c r="F152" s="74" t="n">
        <v>4</v>
      </c>
      <c r="G152" s="72">
        <f t="array" ref="G152">SUM(IF(ISERROR(FIND(sources[data source],techniques[[#This Row],[data sources]])),0,1)*IF(sources[available]="yes",1,0))</f>
        <v/>
      </c>
      <c r="H152" s="73">
        <f t="array" ref="H152">IF(techniques[[#This Row],[technique]]=techniques[[#This Row],[id]],SUM(IF(techniques[[#This Row],[id]]=techniques[technique],1,0))-1,"")</f>
        <v/>
      </c>
      <c r="I152" s="74">
        <f t="array" ref="I152">IF(SUM(IF($C152=detections[],IF(detections[is active]="yes",1,0),0))&gt;0,SUM(IF($C152=detections[],IF(detections[is active]="yes",1,0),0)),"")</f>
        <v/>
      </c>
      <c r="J152" s="74">
        <f t="array" ref="J15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52" s="74">
        <f>IF(AND(ISNUMBER(techniques[[#This Row],[number of sub techniques]]),techniques[[#This Row],[number of sub techniques]]&gt;1),techniques[number of sub techniques],1)</f>
        <v/>
      </c>
      <c r="L152" s="72" t="n"/>
      <c r="M152" s="74">
        <f t="array" ref="M15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5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52" s="26">
        <f>IF(techniques[[#This Row],[detection rules]]&gt;=techniques[[#This Row],[expected detection rules]],1,techniques[[#This Row],[detection rules]]/techniques[[#This Row],[expected detection rules]])</f>
        <v/>
      </c>
      <c r="P15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52" s="29">
        <f>IF(ISERROR(SEARCH(techniques[[#This Row],[id]],techniques[[#This Row],[name]])),"ERROR","")</f>
        <v/>
      </c>
      <c r="S15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53" ht="12.75" customHeight="1">
      <c r="A153" s="74" t="inlineStr">
        <is>
          <t>T1074</t>
        </is>
      </c>
      <c r="B153" s="74" t="inlineStr">
        <is>
          <t>T1074</t>
        </is>
      </c>
      <c r="C153" s="13" t="inlineStr">
        <is>
          <t>Data Staged (T1074)</t>
        </is>
      </c>
      <c r="D153" s="13" t="inlineStr">
        <is>
          <t>collection</t>
        </is>
      </c>
      <c r="E153" s="13" t="inlineStr">
        <is>
          <t>Cloud Storage: Cloud Storage Access|Command: Command Execution|File: File Access|File: File Creation|Process: Process Creation</t>
        </is>
      </c>
      <c r="F153" s="74" t="n">
        <v>5</v>
      </c>
      <c r="G153" s="72">
        <f t="array" ref="G153">SUM(IF(ISERROR(FIND(sources[data source],techniques[[#This Row],[data sources]])),0,1)*IF(sources[available]="yes",1,0))</f>
        <v/>
      </c>
      <c r="H153" s="73">
        <f t="array" ref="H153">IF(techniques[[#This Row],[technique]]=techniques[[#This Row],[id]],SUM(IF(techniques[[#This Row],[id]]=techniques[technique],1,0))-1,"")</f>
        <v/>
      </c>
      <c r="I153" s="74">
        <f t="array" ref="I153">IF(SUM(IF($C153=detections[],IF(detections[is active]="yes",1,0),0))&gt;0,SUM(IF($C153=detections[],IF(detections[is active]="yes",1,0),0)),"")</f>
        <v/>
      </c>
      <c r="J153" s="74">
        <f t="array" ref="J15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53" s="74">
        <f>IF(AND(ISNUMBER(techniques[[#This Row],[number of sub techniques]]),techniques[[#This Row],[number of sub techniques]]&gt;1),techniques[number of sub techniques],1)</f>
        <v/>
      </c>
      <c r="L153" s="72" t="n"/>
      <c r="M153" s="74">
        <f t="array" ref="M15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5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53" s="26">
        <f>IF(techniques[[#This Row],[detection rules]]&gt;=techniques[[#This Row],[expected detection rules]],1,techniques[[#This Row],[detection rules]]/techniques[[#This Row],[expected detection rules]])</f>
        <v/>
      </c>
      <c r="P15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53" s="29">
        <f>IF(ISERROR(SEARCH(techniques[[#This Row],[id]],techniques[[#This Row],[name]])),"ERROR","")</f>
        <v/>
      </c>
      <c r="S15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54" ht="12.75" customHeight="1">
      <c r="A154" s="74" t="inlineStr">
        <is>
          <t>T1074</t>
        </is>
      </c>
      <c r="B154" s="74" t="inlineStr">
        <is>
          <t>T1074.001</t>
        </is>
      </c>
      <c r="C154" s="13" t="inlineStr">
        <is>
          <t>Local Data Staging (T1074.001)</t>
        </is>
      </c>
      <c r="D154" s="13" t="inlineStr">
        <is>
          <t>collection</t>
        </is>
      </c>
      <c r="E154" s="13" t="inlineStr">
        <is>
          <t>Command: Command Execution|File: File Access|File: File Creation|Process: Process Creation|Snapshot: Snapshot Creation</t>
        </is>
      </c>
      <c r="F154" s="74" t="n">
        <v>5</v>
      </c>
      <c r="G154" s="72">
        <f t="array" ref="G154">SUM(IF(ISERROR(FIND(sources[data source],techniques[[#This Row],[data sources]])),0,1)*IF(sources[available]="yes",1,0))</f>
        <v/>
      </c>
      <c r="H154" s="73">
        <f t="array" ref="H154">IF(techniques[[#This Row],[technique]]=techniques[[#This Row],[id]],SUM(IF(techniques[[#This Row],[id]]=techniques[technique],1,0))-1,"")</f>
        <v/>
      </c>
      <c r="I154" s="74">
        <f t="array" ref="I154">IF(SUM(IF($C154=detections[],IF(detections[is active]="yes",1,0),0))&gt;0,SUM(IF($C154=detections[],IF(detections[is active]="yes",1,0),0)),"")</f>
        <v/>
      </c>
      <c r="J154" s="74">
        <f t="array" ref="J15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54" s="74">
        <f>IF(AND(ISNUMBER(techniques[[#This Row],[number of sub techniques]]),techniques[[#This Row],[number of sub techniques]]&gt;1),techniques[number of sub techniques],1)</f>
        <v/>
      </c>
      <c r="L154" s="72" t="n"/>
      <c r="M154" s="74">
        <f t="array" ref="M15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5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54" s="26">
        <f>IF(techniques[[#This Row],[detection rules]]&gt;=techniques[[#This Row],[expected detection rules]],1,techniques[[#This Row],[detection rules]]/techniques[[#This Row],[expected detection rules]])</f>
        <v/>
      </c>
      <c r="P15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54" s="29">
        <f>IF(ISERROR(SEARCH(techniques[[#This Row],[id]],techniques[[#This Row],[name]])),"ERROR","")</f>
        <v/>
      </c>
      <c r="S15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55" ht="12.75" customHeight="1">
      <c r="A155" s="74" t="inlineStr">
        <is>
          <t>T1074</t>
        </is>
      </c>
      <c r="B155" s="74" t="inlineStr">
        <is>
          <t>T1074.002</t>
        </is>
      </c>
      <c r="C155" s="13" t="inlineStr">
        <is>
          <t>Remote Data Staging (T1074.002)</t>
        </is>
      </c>
      <c r="D155" s="13" t="inlineStr">
        <is>
          <t>collection</t>
        </is>
      </c>
      <c r="E155" s="13" t="inlineStr">
        <is>
          <t>Cloud Storage: Cloud Storage Access|Command: Command Execution|File: File Access|File: File Creation|Network Share: Network Share Access|Network Traffic: Network Traffic Content|Process: Process Creation</t>
        </is>
      </c>
      <c r="F155" s="74" t="n">
        <v>7</v>
      </c>
      <c r="G155" s="72">
        <f t="array" ref="G155">SUM(IF(ISERROR(FIND(sources[data source],techniques[[#This Row],[data sources]])),0,1)*IF(sources[available]="yes",1,0))</f>
        <v/>
      </c>
      <c r="H155" s="73">
        <f t="array" ref="H155">IF(techniques[[#This Row],[technique]]=techniques[[#This Row],[id]],SUM(IF(techniques[[#This Row],[id]]=techniques[technique],1,0))-1,"")</f>
        <v/>
      </c>
      <c r="I155" s="74">
        <f t="array" ref="I155">IF(SUM(IF($C155=detections[],IF(detections[is active]="yes",1,0),0))&gt;0,SUM(IF($C155=detections[],IF(detections[is active]="yes",1,0),0)),"")</f>
        <v/>
      </c>
      <c r="J155" s="74">
        <f t="array" ref="J15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55" s="74">
        <f>IF(AND(ISNUMBER(techniques[[#This Row],[number of sub techniques]]),techniques[[#This Row],[number of sub techniques]]&gt;1),techniques[number of sub techniques],1)</f>
        <v/>
      </c>
      <c r="L155" s="72" t="n"/>
      <c r="M155" s="74">
        <f t="array" ref="M15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5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55" s="26">
        <f>IF(techniques[[#This Row],[detection rules]]&gt;=techniques[[#This Row],[expected detection rules]],1,techniques[[#This Row],[detection rules]]/techniques[[#This Row],[expected detection rules]])</f>
        <v/>
      </c>
      <c r="P15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55" s="29">
        <f>IF(ISERROR(SEARCH(techniques[[#This Row],[id]],techniques[[#This Row],[name]])),"ERROR","")</f>
        <v/>
      </c>
      <c r="S15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56" ht="12.75" customHeight="1">
      <c r="A156" s="74" t="inlineStr">
        <is>
          <t>T1078</t>
        </is>
      </c>
      <c r="B156" s="74" t="inlineStr">
        <is>
          <t>T1078</t>
        </is>
      </c>
      <c r="C156" s="13" t="inlineStr">
        <is>
          <t>Valid Accounts (T1078)</t>
        </is>
      </c>
      <c r="D156" s="13" t="inlineStr">
        <is>
          <t>stealth|persistence|privilege-escalation|initial-access</t>
        </is>
      </c>
      <c r="E156" s="13" t="inlineStr">
        <is>
          <t>Logon Session: Logon Session Creation|Logon Session: Logon Session Metadata|Process: Process Creation|User Account: User Account Authentication</t>
        </is>
      </c>
      <c r="F156" s="74" t="n">
        <v>4</v>
      </c>
      <c r="G156" s="72">
        <f t="array" ref="G156">SUM(IF(ISERROR(FIND(sources[data source],techniques[[#This Row],[data sources]])),0,1)*IF(sources[available]="yes",1,0))</f>
        <v/>
      </c>
      <c r="H156" s="73">
        <f t="array" ref="H156">IF(techniques[[#This Row],[technique]]=techniques[[#This Row],[id]],SUM(IF(techniques[[#This Row],[id]]=techniques[technique],1,0))-1,"")</f>
        <v/>
      </c>
      <c r="I156" s="74">
        <f t="array" ref="I156">IF(SUM(IF($C156=detections[],IF(detections[is active]="yes",1,0),0))&gt;0,SUM(IF($C156=detections[],IF(detections[is active]="yes",1,0),0)),"")</f>
        <v/>
      </c>
      <c r="J156" s="74">
        <f t="array" ref="J15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56" s="74">
        <f>IF(AND(ISNUMBER(techniques[[#This Row],[number of sub techniques]]),techniques[[#This Row],[number of sub techniques]]&gt;1),techniques[number of sub techniques],1)</f>
        <v/>
      </c>
      <c r="L156" s="72" t="n"/>
      <c r="M156" s="74">
        <f t="array" ref="M15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5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56" s="26">
        <f>IF(techniques[[#This Row],[detection rules]]&gt;=techniques[[#This Row],[expected detection rules]],1,techniques[[#This Row],[detection rules]]/techniques[[#This Row],[expected detection rules]])</f>
        <v/>
      </c>
      <c r="P15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56" s="29">
        <f>IF(ISERROR(SEARCH(techniques[[#This Row],[id]],techniques[[#This Row],[name]])),"ERROR","")</f>
        <v/>
      </c>
      <c r="S15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57" ht="12.75" customHeight="1">
      <c r="A157" s="74" t="inlineStr">
        <is>
          <t>T1078</t>
        </is>
      </c>
      <c r="B157" s="74" t="inlineStr">
        <is>
          <t>T1078.001</t>
        </is>
      </c>
      <c r="C157" s="13" t="inlineStr">
        <is>
          <t>Default Accounts (T1078.001)</t>
        </is>
      </c>
      <c r="D157" s="13" t="inlineStr">
        <is>
          <t>stealth|persistence|privilege-escalation|initial-access</t>
        </is>
      </c>
      <c r="E157" s="13" t="inlineStr">
        <is>
          <t>Logon Session: Logon Session Creation|Logon Session: Logon Session Metadata|User Account: User Account Authentication</t>
        </is>
      </c>
      <c r="F157" s="74" t="n">
        <v>3</v>
      </c>
      <c r="G157" s="72">
        <f t="array" ref="G157">SUM(IF(ISERROR(FIND(sources[data source],techniques[[#This Row],[data sources]])),0,1)*IF(sources[available]="yes",1,0))</f>
        <v/>
      </c>
      <c r="H157" s="73">
        <f t="array" ref="H157">IF(techniques[[#This Row],[technique]]=techniques[[#This Row],[id]],SUM(IF(techniques[[#This Row],[id]]=techniques[technique],1,0))-1,"")</f>
        <v/>
      </c>
      <c r="I157" s="74">
        <f t="array" ref="I157">IF(SUM(IF($C157=detections[],IF(detections[is active]="yes",1,0),0))&gt;0,SUM(IF($C157=detections[],IF(detections[is active]="yes",1,0),0)),"")</f>
        <v/>
      </c>
      <c r="J157" s="74">
        <f t="array" ref="J15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57" s="74">
        <f>IF(AND(ISNUMBER(techniques[[#This Row],[number of sub techniques]]),techniques[[#This Row],[number of sub techniques]]&gt;1),techniques[number of sub techniques],1)</f>
        <v/>
      </c>
      <c r="L157" s="72" t="n"/>
      <c r="M157" s="74">
        <f t="array" ref="M15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5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57" s="26">
        <f>IF(techniques[[#This Row],[detection rules]]&gt;=techniques[[#This Row],[expected detection rules]],1,techniques[[#This Row],[detection rules]]/techniques[[#This Row],[expected detection rules]])</f>
        <v/>
      </c>
      <c r="P15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57" s="29">
        <f>IF(ISERROR(SEARCH(techniques[[#This Row],[id]],techniques[[#This Row],[name]])),"ERROR","")</f>
        <v/>
      </c>
      <c r="S15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58" ht="12.75" customHeight="1">
      <c r="A158" s="74" t="inlineStr">
        <is>
          <t>T1078</t>
        </is>
      </c>
      <c r="B158" s="74" t="inlineStr">
        <is>
          <t>T1078.002</t>
        </is>
      </c>
      <c r="C158" s="13" t="inlineStr">
        <is>
          <t>Domain Accounts (T1078.002)</t>
        </is>
      </c>
      <c r="D158" s="13" t="inlineStr">
        <is>
          <t>stealth|persistence|privilege-escalation|initial-access</t>
        </is>
      </c>
      <c r="E158" s="13" t="inlineStr">
        <is>
          <t>Logon Session: Logon Session Metadata|Network Traffic: Network Connection Creation|Process: Process Creation|User Account: User Account Authentication</t>
        </is>
      </c>
      <c r="F158" s="74" t="n">
        <v>4</v>
      </c>
      <c r="G158" s="72">
        <f t="array" ref="G158">SUM(IF(ISERROR(FIND(sources[data source],techniques[[#This Row],[data sources]])),0,1)*IF(sources[available]="yes",1,0))</f>
        <v/>
      </c>
      <c r="H158" s="73">
        <f t="array" ref="H158">IF(techniques[[#This Row],[technique]]=techniques[[#This Row],[id]],SUM(IF(techniques[[#This Row],[id]]=techniques[technique],1,0))-1,"")</f>
        <v/>
      </c>
      <c r="I158" s="74">
        <f t="array" ref="I158">IF(SUM(IF($C158=detections[],IF(detections[is active]="yes",1,0),0))&gt;0,SUM(IF($C158=detections[],IF(detections[is active]="yes",1,0),0)),"")</f>
        <v/>
      </c>
      <c r="J158" s="74">
        <f t="array" ref="J15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58" s="74">
        <f>IF(AND(ISNUMBER(techniques[[#This Row],[number of sub techniques]]),techniques[[#This Row],[number of sub techniques]]&gt;1),techniques[number of sub techniques],1)</f>
        <v/>
      </c>
      <c r="L158" s="72" t="n"/>
      <c r="M158" s="74">
        <f t="array" ref="M15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5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58" s="26">
        <f>IF(techniques[[#This Row],[detection rules]]&gt;=techniques[[#This Row],[expected detection rules]],1,techniques[[#This Row],[detection rules]]/techniques[[#This Row],[expected detection rules]])</f>
        <v/>
      </c>
      <c r="P15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58" s="29">
        <f>IF(ISERROR(SEARCH(techniques[[#This Row],[id]],techniques[[#This Row],[name]])),"ERROR","")</f>
        <v/>
      </c>
      <c r="S15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59" ht="12.75" customHeight="1">
      <c r="A159" s="74" t="inlineStr">
        <is>
          <t>T1078</t>
        </is>
      </c>
      <c r="B159" s="74" t="inlineStr">
        <is>
          <t>T1078.003</t>
        </is>
      </c>
      <c r="C159" s="13" t="inlineStr">
        <is>
          <t>Local Accounts (T1078.003)</t>
        </is>
      </c>
      <c r="D159" s="13" t="inlineStr">
        <is>
          <t>stealth|persistence|privilege-escalation|initial-access</t>
        </is>
      </c>
      <c r="E159" s="13" t="inlineStr">
        <is>
          <t>Logon Session: Logon Session Creation|Logon Session: Logon Session Metadata|User Account: User Account Authentication</t>
        </is>
      </c>
      <c r="F159" s="74" t="n">
        <v>3</v>
      </c>
      <c r="G159" s="72">
        <f t="array" ref="G159">SUM(IF(ISERROR(FIND(sources[data source],techniques[[#This Row],[data sources]])),0,1)*IF(sources[available]="yes",1,0))</f>
        <v/>
      </c>
      <c r="H159" s="73">
        <f t="array" ref="H159">IF(techniques[[#This Row],[technique]]=techniques[[#This Row],[id]],SUM(IF(techniques[[#This Row],[id]]=techniques[technique],1,0))-1,"")</f>
        <v/>
      </c>
      <c r="I159" s="74">
        <f t="array" ref="I159">IF(SUM(IF($C159=detections[],IF(detections[is active]="yes",1,0),0))&gt;0,SUM(IF($C159=detections[],IF(detections[is active]="yes",1,0),0)),"")</f>
        <v/>
      </c>
      <c r="J159" s="74">
        <f t="array" ref="J15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59" s="74">
        <f>IF(AND(ISNUMBER(techniques[[#This Row],[number of sub techniques]]),techniques[[#This Row],[number of sub techniques]]&gt;1),techniques[number of sub techniques],1)</f>
        <v/>
      </c>
      <c r="L159" s="72" t="n"/>
      <c r="M159" s="74">
        <f t="array" ref="M15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5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59" s="26">
        <f>IF(techniques[[#This Row],[detection rules]]&gt;=techniques[[#This Row],[expected detection rules]],1,techniques[[#This Row],[detection rules]]/techniques[[#This Row],[expected detection rules]])</f>
        <v/>
      </c>
      <c r="P15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59" s="29">
        <f>IF(ISERROR(SEARCH(techniques[[#This Row],[id]],techniques[[#This Row],[name]])),"ERROR","")</f>
        <v/>
      </c>
      <c r="S15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60" ht="12.75" customHeight="1">
      <c r="A160" s="74" t="inlineStr">
        <is>
          <t>T1078</t>
        </is>
      </c>
      <c r="B160" s="74" t="inlineStr">
        <is>
          <t>T1078.004</t>
        </is>
      </c>
      <c r="C160" s="13" t="inlineStr">
        <is>
          <t>Cloud Accounts (T1078.004)</t>
        </is>
      </c>
      <c r="D160" s="13" t="inlineStr">
        <is>
          <t>stealth|persistence|privilege-escalation|initial-access</t>
        </is>
      </c>
      <c r="E160" s="13" t="inlineStr">
        <is>
          <t>Logon Session: Logon Session Creation|Logon Session: Logon Session Metadata|User Account: User Account Authentication</t>
        </is>
      </c>
      <c r="F160" s="74" t="n">
        <v>3</v>
      </c>
      <c r="G160" s="72">
        <f t="array" ref="G160">SUM(IF(ISERROR(FIND(sources[data source],techniques[[#This Row],[data sources]])),0,1)*IF(sources[available]="yes",1,0))</f>
        <v/>
      </c>
      <c r="H160" s="73">
        <f t="array" ref="H160">IF(techniques[[#This Row],[technique]]=techniques[[#This Row],[id]],SUM(IF(techniques[[#This Row],[id]]=techniques[technique],1,0))-1,"")</f>
        <v/>
      </c>
      <c r="I160" s="74">
        <f t="array" ref="I160">IF(SUM(IF($C160=detections[],IF(detections[is active]="yes",1,0),0))&gt;0,SUM(IF($C160=detections[],IF(detections[is active]="yes",1,0),0)),"")</f>
        <v/>
      </c>
      <c r="J160" s="74">
        <f t="array" ref="J16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60" s="74">
        <f>IF(AND(ISNUMBER(techniques[[#This Row],[number of sub techniques]]),techniques[[#This Row],[number of sub techniques]]&gt;1),techniques[number of sub techniques],1)</f>
        <v/>
      </c>
      <c r="L160" s="72" t="n"/>
      <c r="M160" s="74">
        <f t="array" ref="M16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6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60" s="26">
        <f>IF(techniques[[#This Row],[detection rules]]&gt;=techniques[[#This Row],[expected detection rules]],1,techniques[[#This Row],[detection rules]]/techniques[[#This Row],[expected detection rules]])</f>
        <v/>
      </c>
      <c r="P16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60" s="29">
        <f>IF(ISERROR(SEARCH(techniques[[#This Row],[id]],techniques[[#This Row],[name]])),"ERROR","")</f>
        <v/>
      </c>
      <c r="S16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61" ht="12.75" customHeight="1">
      <c r="A161" s="74" t="inlineStr">
        <is>
          <t>T1080</t>
        </is>
      </c>
      <c r="B161" s="74" t="inlineStr">
        <is>
          <t>T1080</t>
        </is>
      </c>
      <c r="C161" s="13" t="inlineStr">
        <is>
          <t>Taint Shared Content (T1080)</t>
        </is>
      </c>
      <c r="D161" s="13" t="inlineStr">
        <is>
          <t>lateral-movement</t>
        </is>
      </c>
      <c r="E161" s="13" t="inlineStr">
        <is>
          <t>File: File Creation|File: File Modification|Network Share: Network Share Access</t>
        </is>
      </c>
      <c r="F161" s="74" t="n">
        <v>3</v>
      </c>
      <c r="G161" s="72">
        <f t="array" ref="G161">SUM(IF(ISERROR(FIND(sources[data source],techniques[[#This Row],[data sources]])),0,1)*IF(sources[available]="yes",1,0))</f>
        <v/>
      </c>
      <c r="H161" s="73">
        <f t="array" ref="H161">IF(techniques[[#This Row],[technique]]=techniques[[#This Row],[id]],SUM(IF(techniques[[#This Row],[id]]=techniques[technique],1,0))-1,"")</f>
        <v/>
      </c>
      <c r="I161" s="74">
        <f t="array" ref="I161">IF(SUM(IF($C161=detections[],IF(detections[is active]="yes",1,0),0))&gt;0,SUM(IF($C161=detections[],IF(detections[is active]="yes",1,0),0)),"")</f>
        <v/>
      </c>
      <c r="J161" s="74">
        <f t="array" ref="J16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61" s="74">
        <f>IF(AND(ISNUMBER(techniques[[#This Row],[number of sub techniques]]),techniques[[#This Row],[number of sub techniques]]&gt;1),techniques[number of sub techniques],1)</f>
        <v/>
      </c>
      <c r="L161" s="72" t="n"/>
      <c r="M161" s="74">
        <f t="array" ref="M16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6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61" s="26">
        <f>IF(techniques[[#This Row],[detection rules]]&gt;=techniques[[#This Row],[expected detection rules]],1,techniques[[#This Row],[detection rules]]/techniques[[#This Row],[expected detection rules]])</f>
        <v/>
      </c>
      <c r="P16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61" s="29">
        <f>IF(ISERROR(SEARCH(techniques[[#This Row],[id]],techniques[[#This Row],[name]])),"ERROR","")</f>
        <v/>
      </c>
      <c r="S16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62" ht="12.75" customHeight="1">
      <c r="A162" s="74" t="inlineStr">
        <is>
          <t>T1082</t>
        </is>
      </c>
      <c r="B162" s="74" t="inlineStr">
        <is>
          <t>T1082</t>
        </is>
      </c>
      <c r="C162" s="13" t="inlineStr">
        <is>
          <t>System Information Discovery (T1082)</t>
        </is>
      </c>
      <c r="D162" s="13" t="inlineStr">
        <is>
          <t>discovery</t>
        </is>
      </c>
      <c r="E162" s="13" t="inlineStr">
        <is>
          <t>Command: Command Execution|Instance: Instance Enumeration|Process: Process Creation|Windows Registry: Windows Registry Key Modification</t>
        </is>
      </c>
      <c r="F162" s="74" t="n">
        <v>4</v>
      </c>
      <c r="G162" s="72">
        <f t="array" ref="G162">SUM(IF(ISERROR(FIND(sources[data source],techniques[[#This Row],[data sources]])),0,1)*IF(sources[available]="yes",1,0))</f>
        <v/>
      </c>
      <c r="H162" s="73">
        <f t="array" ref="H162">IF(techniques[[#This Row],[technique]]=techniques[[#This Row],[id]],SUM(IF(techniques[[#This Row],[id]]=techniques[technique],1,0))-1,"")</f>
        <v/>
      </c>
      <c r="I162" s="74">
        <f t="array" ref="I162">IF(SUM(IF($C162=detections[],IF(detections[is active]="yes",1,0),0))&gt;0,SUM(IF($C162=detections[],IF(detections[is active]="yes",1,0),0)),"")</f>
        <v/>
      </c>
      <c r="J162" s="74">
        <f t="array" ref="J16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62" s="74">
        <f>IF(AND(ISNUMBER(techniques[[#This Row],[number of sub techniques]]),techniques[[#This Row],[number of sub techniques]]&gt;1),techniques[number of sub techniques],1)</f>
        <v/>
      </c>
      <c r="L162" s="72" t="n"/>
      <c r="M162" s="74">
        <f t="array" ref="M16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6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62" s="26">
        <f>IF(techniques[[#This Row],[detection rules]]&gt;=techniques[[#This Row],[expected detection rules]],1,techniques[[#This Row],[detection rules]]/techniques[[#This Row],[expected detection rules]])</f>
        <v/>
      </c>
      <c r="P16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62" s="29">
        <f>IF(ISERROR(SEARCH(techniques[[#This Row],[id]],techniques[[#This Row],[name]])),"ERROR","")</f>
        <v/>
      </c>
      <c r="S16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63" ht="12.75" customHeight="1">
      <c r="A163" s="74" t="inlineStr">
        <is>
          <t>T1083</t>
        </is>
      </c>
      <c r="B163" s="74" t="inlineStr">
        <is>
          <t>T1083</t>
        </is>
      </c>
      <c r="C163" s="13" t="inlineStr">
        <is>
          <t>File and Directory Discovery (T1083)</t>
        </is>
      </c>
      <c r="D163" s="13" t="inlineStr">
        <is>
          <t>discovery</t>
        </is>
      </c>
      <c r="E163" s="13" t="inlineStr">
        <is>
          <t>Command: Command Execution|File: File Access|File: File Creation|Process: Process Creation</t>
        </is>
      </c>
      <c r="F163" s="74" t="n">
        <v>4</v>
      </c>
      <c r="G163" s="72">
        <f t="array" ref="G163">SUM(IF(ISERROR(FIND(sources[data source],techniques[[#This Row],[data sources]])),0,1)*IF(sources[available]="yes",1,0))</f>
        <v/>
      </c>
      <c r="H163" s="73">
        <f t="array" ref="H163">IF(techniques[[#This Row],[technique]]=techniques[[#This Row],[id]],SUM(IF(techniques[[#This Row],[id]]=techniques[technique],1,0))-1,"")</f>
        <v/>
      </c>
      <c r="I163" s="74">
        <f t="array" ref="I163">IF(SUM(IF($C163=detections[],IF(detections[is active]="yes",1,0),0))&gt;0,SUM(IF($C163=detections[],IF(detections[is active]="yes",1,0),0)),"")</f>
        <v/>
      </c>
      <c r="J163" s="74">
        <f t="array" ref="J16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63" s="74">
        <f>IF(AND(ISNUMBER(techniques[[#This Row],[number of sub techniques]]),techniques[[#This Row],[number of sub techniques]]&gt;1),techniques[number of sub techniques],1)</f>
        <v/>
      </c>
      <c r="L163" s="72" t="n"/>
      <c r="M163" s="74">
        <f t="array" ref="M16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6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63" s="26">
        <f>IF(techniques[[#This Row],[detection rules]]&gt;=techniques[[#This Row],[expected detection rules]],1,techniques[[#This Row],[detection rules]]/techniques[[#This Row],[expected detection rules]])</f>
        <v/>
      </c>
      <c r="P16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63" s="29">
        <f>IF(ISERROR(SEARCH(techniques[[#This Row],[id]],techniques[[#This Row],[name]])),"ERROR","")</f>
        <v/>
      </c>
      <c r="S16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64" ht="12.75" customHeight="1">
      <c r="A164" s="74" t="inlineStr">
        <is>
          <t>T1087</t>
        </is>
      </c>
      <c r="B164" s="74" t="inlineStr">
        <is>
          <t>T1087</t>
        </is>
      </c>
      <c r="C164" s="13" t="inlineStr">
        <is>
          <t>Account Discovery (T1087)</t>
        </is>
      </c>
      <c r="D164" s="13" t="inlineStr">
        <is>
          <t>discovery</t>
        </is>
      </c>
      <c r="E164" s="13" t="inlineStr">
        <is>
          <t>Cloud Service: Cloud Service Enumeration|Command: Command Execution|File: File Access|Group: Group Enumeration|Process: Process Creation|Script: Script Execution|User Account: User Account Metadata</t>
        </is>
      </c>
      <c r="F164" s="74" t="n">
        <v>7</v>
      </c>
      <c r="G164" s="72">
        <f t="array" ref="G164">SUM(IF(ISERROR(FIND(sources[data source],techniques[[#This Row],[data sources]])),0,1)*IF(sources[available]="yes",1,0))</f>
        <v/>
      </c>
      <c r="H164" s="73">
        <f t="array" ref="H164">IF(techniques[[#This Row],[technique]]=techniques[[#This Row],[id]],SUM(IF(techniques[[#This Row],[id]]=techniques[technique],1,0))-1,"")</f>
        <v/>
      </c>
      <c r="I164" s="74">
        <f t="array" ref="I164">IF(SUM(IF($C164=detections[],IF(detections[is active]="yes",1,0),0))&gt;0,SUM(IF($C164=detections[],IF(detections[is active]="yes",1,0),0)),"")</f>
        <v/>
      </c>
      <c r="J164" s="74">
        <f t="array" ref="J16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64" s="74">
        <f>IF(AND(ISNUMBER(techniques[[#This Row],[number of sub techniques]]),techniques[[#This Row],[number of sub techniques]]&gt;1),techniques[number of sub techniques],1)</f>
        <v/>
      </c>
      <c r="L164" s="72" t="n"/>
      <c r="M164" s="74">
        <f t="array" ref="M16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6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64" s="26">
        <f>IF(techniques[[#This Row],[detection rules]]&gt;=techniques[[#This Row],[expected detection rules]],1,techniques[[#This Row],[detection rules]]/techniques[[#This Row],[expected detection rules]])</f>
        <v/>
      </c>
      <c r="P16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64" s="29">
        <f>IF(ISERROR(SEARCH(techniques[[#This Row],[id]],techniques[[#This Row],[name]])),"ERROR","")</f>
        <v/>
      </c>
      <c r="S16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65" ht="12.75" customHeight="1">
      <c r="A165" s="74" t="inlineStr">
        <is>
          <t>T1087</t>
        </is>
      </c>
      <c r="B165" s="74" t="inlineStr">
        <is>
          <t>T1087.001</t>
        </is>
      </c>
      <c r="C165" s="13" t="inlineStr">
        <is>
          <t>Local Account (T1087.001)</t>
        </is>
      </c>
      <c r="D165" s="13" t="inlineStr">
        <is>
          <t>discovery</t>
        </is>
      </c>
      <c r="E165" s="13" t="inlineStr">
        <is>
          <t>File: File Access|Process: Process Creation|User Account: User Account Metadata</t>
        </is>
      </c>
      <c r="F165" s="74" t="n">
        <v>3</v>
      </c>
      <c r="G165" s="72">
        <f t="array" ref="G165">SUM(IF(ISERROR(FIND(sources[data source],techniques[[#This Row],[data sources]])),0,1)*IF(sources[available]="yes",1,0))</f>
        <v/>
      </c>
      <c r="H165" s="73">
        <f t="array" ref="H165">IF(techniques[[#This Row],[technique]]=techniques[[#This Row],[id]],SUM(IF(techniques[[#This Row],[id]]=techniques[technique],1,0))-1,"")</f>
        <v/>
      </c>
      <c r="I165" s="74">
        <f t="array" ref="I165">IF(SUM(IF($C165=detections[],IF(detections[is active]="yes",1,0),0))&gt;0,SUM(IF($C165=detections[],IF(detections[is active]="yes",1,0),0)),"")</f>
        <v/>
      </c>
      <c r="J165" s="74">
        <f t="array" ref="J16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65" s="74">
        <f>IF(AND(ISNUMBER(techniques[[#This Row],[number of sub techniques]]),techniques[[#This Row],[number of sub techniques]]&gt;1),techniques[number of sub techniques],1)</f>
        <v/>
      </c>
      <c r="L165" s="72" t="n"/>
      <c r="M165" s="74">
        <f t="array" ref="M16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6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65" s="26">
        <f>IF(techniques[[#This Row],[detection rules]]&gt;=techniques[[#This Row],[expected detection rules]],1,techniques[[#This Row],[detection rules]]/techniques[[#This Row],[expected detection rules]])</f>
        <v/>
      </c>
      <c r="P16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65" s="29">
        <f>IF(ISERROR(SEARCH(techniques[[#This Row],[id]],techniques[[#This Row],[name]])),"ERROR","")</f>
        <v/>
      </c>
      <c r="S16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66" ht="12.75" customHeight="1">
      <c r="A166" s="74" t="inlineStr">
        <is>
          <t>T1087</t>
        </is>
      </c>
      <c r="B166" s="74" t="inlineStr">
        <is>
          <t>T1087.002</t>
        </is>
      </c>
      <c r="C166" s="13" t="inlineStr">
        <is>
          <t>Domain Account (T1087.002)</t>
        </is>
      </c>
      <c r="D166" s="13" t="inlineStr">
        <is>
          <t>discovery</t>
        </is>
      </c>
      <c r="E166" s="13" t="inlineStr">
        <is>
          <t>Command: Command Execution|Network Traffic: Network Traffic Content|Process: Process Creation</t>
        </is>
      </c>
      <c r="F166" s="74" t="n">
        <v>3</v>
      </c>
      <c r="G166" s="72">
        <f t="array" ref="G166">SUM(IF(ISERROR(FIND(sources[data source],techniques[[#This Row],[data sources]])),0,1)*IF(sources[available]="yes",1,0))</f>
        <v/>
      </c>
      <c r="H166" s="73">
        <f t="array" ref="H166">IF(techniques[[#This Row],[technique]]=techniques[[#This Row],[id]],SUM(IF(techniques[[#This Row],[id]]=techniques[technique],1,0))-1,"")</f>
        <v/>
      </c>
      <c r="I166" s="74">
        <f t="array" ref="I166">IF(SUM(IF($C166=detections[],IF(detections[is active]="yes",1,0),0))&gt;0,SUM(IF($C166=detections[],IF(detections[is active]="yes",1,0),0)),"")</f>
        <v/>
      </c>
      <c r="J166" s="74">
        <f t="array" ref="J16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66" s="74">
        <f>IF(AND(ISNUMBER(techniques[[#This Row],[number of sub techniques]]),techniques[[#This Row],[number of sub techniques]]&gt;1),techniques[number of sub techniques],1)</f>
        <v/>
      </c>
      <c r="L166" s="72" t="n"/>
      <c r="M166" s="74">
        <f t="array" ref="M16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6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66" s="26">
        <f>IF(techniques[[#This Row],[detection rules]]&gt;=techniques[[#This Row],[expected detection rules]],1,techniques[[#This Row],[detection rules]]/techniques[[#This Row],[expected detection rules]])</f>
        <v/>
      </c>
      <c r="P16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66" s="29">
        <f>IF(ISERROR(SEARCH(techniques[[#This Row],[id]],techniques[[#This Row],[name]])),"ERROR","")</f>
        <v/>
      </c>
      <c r="S16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67" ht="12.75" customHeight="1">
      <c r="A167" s="74" t="inlineStr">
        <is>
          <t>T1087</t>
        </is>
      </c>
      <c r="B167" s="74" t="inlineStr">
        <is>
          <t>T1087.003</t>
        </is>
      </c>
      <c r="C167" s="13" t="inlineStr">
        <is>
          <t>Email Account (T1087.003)</t>
        </is>
      </c>
      <c r="D167" s="13" t="inlineStr">
        <is>
          <t>discovery</t>
        </is>
      </c>
      <c r="E167" s="13" t="inlineStr">
        <is>
          <t>Application Log: Application Log Content|Command: Command Execution|Process: Process Creation|User Account: User Account Authentication|User Account: User Account Metadata</t>
        </is>
      </c>
      <c r="F167" s="74" t="n">
        <v>5</v>
      </c>
      <c r="G167" s="72">
        <f t="array" ref="G167">SUM(IF(ISERROR(FIND(sources[data source],techniques[[#This Row],[data sources]])),0,1)*IF(sources[available]="yes",1,0))</f>
        <v/>
      </c>
      <c r="H167" s="73">
        <f t="array" ref="H167">IF(techniques[[#This Row],[technique]]=techniques[[#This Row],[id]],SUM(IF(techniques[[#This Row],[id]]=techniques[technique],1,0))-1,"")</f>
        <v/>
      </c>
      <c r="I167" s="74">
        <f t="array" ref="I167">IF(SUM(IF($C167=detections[],IF(detections[is active]="yes",1,0),0))&gt;0,SUM(IF($C167=detections[],IF(detections[is active]="yes",1,0),0)),"")</f>
        <v/>
      </c>
      <c r="J167" s="74">
        <f t="array" ref="J16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67" s="74">
        <f>IF(AND(ISNUMBER(techniques[[#This Row],[number of sub techniques]]),techniques[[#This Row],[number of sub techniques]]&gt;1),techniques[number of sub techniques],1)</f>
        <v/>
      </c>
      <c r="L167" s="72" t="n"/>
      <c r="M167" s="74">
        <f t="array" ref="M16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6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67" s="26">
        <f>IF(techniques[[#This Row],[detection rules]]&gt;=techniques[[#This Row],[expected detection rules]],1,techniques[[#This Row],[detection rules]]/techniques[[#This Row],[expected detection rules]])</f>
        <v/>
      </c>
      <c r="P16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67" s="29">
        <f>IF(ISERROR(SEARCH(techniques[[#This Row],[id]],techniques[[#This Row],[name]])),"ERROR","")</f>
        <v/>
      </c>
      <c r="S16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68" ht="12.75" customHeight="1">
      <c r="A168" s="74" t="inlineStr">
        <is>
          <t>T1087</t>
        </is>
      </c>
      <c r="B168" s="74" t="inlineStr">
        <is>
          <t>T1087.004</t>
        </is>
      </c>
      <c r="C168" s="13" t="inlineStr">
        <is>
          <t>Cloud Account (T1087.004)</t>
        </is>
      </c>
      <c r="D168" s="13" t="inlineStr">
        <is>
          <t>discovery</t>
        </is>
      </c>
      <c r="E168" s="13" t="inlineStr">
        <is>
          <t>Application Log: Application Log Content|Command: Command Execution|User Account: User Account Authentication|User Account: User Account Metadata</t>
        </is>
      </c>
      <c r="F168" s="74" t="n">
        <v>4</v>
      </c>
      <c r="G168" s="72">
        <f t="array" ref="G168">SUM(IF(ISERROR(FIND(sources[data source],techniques[[#This Row],[data sources]])),0,1)*IF(sources[available]="yes",1,0))</f>
        <v/>
      </c>
      <c r="H168" s="73">
        <f t="array" ref="H168">IF(techniques[[#This Row],[technique]]=techniques[[#This Row],[id]],SUM(IF(techniques[[#This Row],[id]]=techniques[technique],1,0))-1,"")</f>
        <v/>
      </c>
      <c r="I168" s="74">
        <f t="array" ref="I168">IF(SUM(IF($C168=detections[],IF(detections[is active]="yes",1,0),0))&gt;0,SUM(IF($C168=detections[],IF(detections[is active]="yes",1,0),0)),"")</f>
        <v/>
      </c>
      <c r="J168" s="74">
        <f t="array" ref="J16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68" s="74">
        <f>IF(AND(ISNUMBER(techniques[[#This Row],[number of sub techniques]]),techniques[[#This Row],[number of sub techniques]]&gt;1),techniques[number of sub techniques],1)</f>
        <v/>
      </c>
      <c r="L168" s="72" t="n"/>
      <c r="M168" s="74">
        <f t="array" ref="M16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6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68" s="26">
        <f>IF(techniques[[#This Row],[detection rules]]&gt;=techniques[[#This Row],[expected detection rules]],1,techniques[[#This Row],[detection rules]]/techniques[[#This Row],[expected detection rules]])</f>
        <v/>
      </c>
      <c r="P16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68" s="29">
        <f>IF(ISERROR(SEARCH(techniques[[#This Row],[id]],techniques[[#This Row],[name]])),"ERROR","")</f>
        <v/>
      </c>
      <c r="S16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69" ht="12.75" customHeight="1">
      <c r="A169" s="74" t="inlineStr">
        <is>
          <t>T1090</t>
        </is>
      </c>
      <c r="B169" s="74" t="inlineStr">
        <is>
          <t>T1090</t>
        </is>
      </c>
      <c r="C169" s="13" t="inlineStr">
        <is>
          <t>Proxy (T1090)</t>
        </is>
      </c>
      <c r="D169" s="13" t="inlineStr">
        <is>
          <t>command-and-control</t>
        </is>
      </c>
      <c r="E169" s="13" t="inlineStr">
        <is>
          <t>Command: Command Execution|Firewall: Firewall Rule Modification|Network Traffic: Network Connection Creation|Network Traffic: Network Traffic Flow|Process: Process Creation</t>
        </is>
      </c>
      <c r="F169" s="74" t="n">
        <v>5</v>
      </c>
      <c r="G169" s="72">
        <f t="array" ref="G169">SUM(IF(ISERROR(FIND(sources[data source],techniques[[#This Row],[data sources]])),0,1)*IF(sources[available]="yes",1,0))</f>
        <v/>
      </c>
      <c r="H169" s="73">
        <f t="array" ref="H169">IF(techniques[[#This Row],[technique]]=techniques[[#This Row],[id]],SUM(IF(techniques[[#This Row],[id]]=techniques[technique],1,0))-1,"")</f>
        <v/>
      </c>
      <c r="I169" s="74">
        <f t="array" ref="I169">IF(SUM(IF($C169=detections[],IF(detections[is active]="yes",1,0),0))&gt;0,SUM(IF($C169=detections[],IF(detections[is active]="yes",1,0),0)),"")</f>
        <v/>
      </c>
      <c r="J169" s="74">
        <f t="array" ref="J16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69" s="74">
        <f>IF(AND(ISNUMBER(techniques[[#This Row],[number of sub techniques]]),techniques[[#This Row],[number of sub techniques]]&gt;1),techniques[number of sub techniques],1)</f>
        <v/>
      </c>
      <c r="L169" s="72" t="n"/>
      <c r="M169" s="74">
        <f t="array" ref="M16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6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69" s="26">
        <f>IF(techniques[[#This Row],[detection rules]]&gt;=techniques[[#This Row],[expected detection rules]],1,techniques[[#This Row],[detection rules]]/techniques[[#This Row],[expected detection rules]])</f>
        <v/>
      </c>
      <c r="P16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69" s="29">
        <f>IF(ISERROR(SEARCH(techniques[[#This Row],[id]],techniques[[#This Row],[name]])),"ERROR","")</f>
        <v/>
      </c>
      <c r="S16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70" ht="12.75" customHeight="1">
      <c r="A170" s="74" t="inlineStr">
        <is>
          <t>T1090</t>
        </is>
      </c>
      <c r="B170" s="74" t="inlineStr">
        <is>
          <t>T1090.001</t>
        </is>
      </c>
      <c r="C170" s="13" t="inlineStr">
        <is>
          <t>Internal Proxy (T1090.001)</t>
        </is>
      </c>
      <c r="D170" s="13" t="inlineStr">
        <is>
          <t>command-and-control</t>
        </is>
      </c>
      <c r="E170" s="13" t="inlineStr">
        <is>
          <t>Command: Command Execution|Firewall: Firewall Rule Modification|Network Traffic: Network Connection Creation|Network Traffic: Network Traffic Content|Network Traffic: Network Traffic Flow|Process: Process Creation|Service: Service Creation</t>
        </is>
      </c>
      <c r="F170" s="74" t="n">
        <v>7</v>
      </c>
      <c r="G170" s="72">
        <f t="array" ref="G170">SUM(IF(ISERROR(FIND(sources[data source],techniques[[#This Row],[data sources]])),0,1)*IF(sources[available]="yes",1,0))</f>
        <v/>
      </c>
      <c r="H170" s="73">
        <f t="array" ref="H170">IF(techniques[[#This Row],[technique]]=techniques[[#This Row],[id]],SUM(IF(techniques[[#This Row],[id]]=techniques[technique],1,0))-1,"")</f>
        <v/>
      </c>
      <c r="I170" s="74">
        <f t="array" ref="I170">IF(SUM(IF($C170=detections[],IF(detections[is active]="yes",1,0),0))&gt;0,SUM(IF($C170=detections[],IF(detections[is active]="yes",1,0),0)),"")</f>
        <v/>
      </c>
      <c r="J170" s="74">
        <f t="array" ref="J17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70" s="74">
        <f>IF(AND(ISNUMBER(techniques[[#This Row],[number of sub techniques]]),techniques[[#This Row],[number of sub techniques]]&gt;1),techniques[number of sub techniques],1)</f>
        <v/>
      </c>
      <c r="L170" s="72" t="n"/>
      <c r="M170" s="74">
        <f t="array" ref="M17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7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70" s="26">
        <f>IF(techniques[[#This Row],[detection rules]]&gt;=techniques[[#This Row],[expected detection rules]],1,techniques[[#This Row],[detection rules]]/techniques[[#This Row],[expected detection rules]])</f>
        <v/>
      </c>
      <c r="P17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70" s="29">
        <f>IF(ISERROR(SEARCH(techniques[[#This Row],[id]],techniques[[#This Row],[name]])),"ERROR","")</f>
        <v/>
      </c>
      <c r="S17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71" ht="12.75" customHeight="1">
      <c r="A171" s="74" t="inlineStr">
        <is>
          <t>T1090</t>
        </is>
      </c>
      <c r="B171" s="74" t="inlineStr">
        <is>
          <t>T1090.002</t>
        </is>
      </c>
      <c r="C171" s="13" t="inlineStr">
        <is>
          <t>External Proxy (T1090.002)</t>
        </is>
      </c>
      <c r="D171" s="13" t="inlineStr">
        <is>
          <t>command-and-control</t>
        </is>
      </c>
      <c r="E171" s="13" t="inlineStr">
        <is>
          <t>Firewall: Firewall Rule Modification|Network Traffic: Network Connection Creation|Network Traffic: Network Traffic Content|Network Traffic: Network Traffic Flow|Process: Process Creation</t>
        </is>
      </c>
      <c r="F171" s="74" t="n">
        <v>5</v>
      </c>
      <c r="G171" s="72">
        <f t="array" ref="G171">SUM(IF(ISERROR(FIND(sources[data source],techniques[[#This Row],[data sources]])),0,1)*IF(sources[available]="yes",1,0))</f>
        <v/>
      </c>
      <c r="H171" s="73">
        <f t="array" ref="H171">IF(techniques[[#This Row],[technique]]=techniques[[#This Row],[id]],SUM(IF(techniques[[#This Row],[id]]=techniques[technique],1,0))-1,"")</f>
        <v/>
      </c>
      <c r="I171" s="74">
        <f t="array" ref="I171">IF(SUM(IF($C171=detections[],IF(detections[is active]="yes",1,0),0))&gt;0,SUM(IF($C171=detections[],IF(detections[is active]="yes",1,0),0)),"")</f>
        <v/>
      </c>
      <c r="J171" s="74">
        <f t="array" ref="J17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71" s="74">
        <f>IF(AND(ISNUMBER(techniques[[#This Row],[number of sub techniques]]),techniques[[#This Row],[number of sub techniques]]&gt;1),techniques[number of sub techniques],1)</f>
        <v/>
      </c>
      <c r="L171" s="72" t="n"/>
      <c r="M171" s="74">
        <f t="array" ref="M17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7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71" s="26">
        <f>IF(techniques[[#This Row],[detection rules]]&gt;=techniques[[#This Row],[expected detection rules]],1,techniques[[#This Row],[detection rules]]/techniques[[#This Row],[expected detection rules]])</f>
        <v/>
      </c>
      <c r="P17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71" s="29">
        <f>IF(ISERROR(SEARCH(techniques[[#This Row],[id]],techniques[[#This Row],[name]])),"ERROR","")</f>
        <v/>
      </c>
      <c r="S17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72" ht="12.75" customHeight="1">
      <c r="A172" s="74" t="inlineStr">
        <is>
          <t>T1090</t>
        </is>
      </c>
      <c r="B172" s="74" t="inlineStr">
        <is>
          <t>T1090.003</t>
        </is>
      </c>
      <c r="C172" s="13" t="inlineStr">
        <is>
          <t>Multi-hop Proxy (T1090.003)</t>
        </is>
      </c>
      <c r="D172" s="13" t="inlineStr">
        <is>
          <t>command-and-control</t>
        </is>
      </c>
      <c r="E172" s="13" t="inlineStr">
        <is>
          <t>Firmware: Firmware Modification|Network Traffic: Network Connection Creation|Network Traffic: Network Traffic Content|Network Traffic: Network Traffic Flow|Process: Process Creation</t>
        </is>
      </c>
      <c r="F172" s="74" t="n">
        <v>5</v>
      </c>
      <c r="G172" s="72">
        <f t="array" ref="G172">SUM(IF(ISERROR(FIND(sources[data source],techniques[[#This Row],[data sources]])),0,1)*IF(sources[available]="yes",1,0))</f>
        <v/>
      </c>
      <c r="H172" s="73">
        <f t="array" ref="H172">IF(techniques[[#This Row],[technique]]=techniques[[#This Row],[id]],SUM(IF(techniques[[#This Row],[id]]=techniques[technique],1,0))-1,"")</f>
        <v/>
      </c>
      <c r="I172" s="74">
        <f t="array" ref="I172">IF(SUM(IF($C172=detections[],IF(detections[is active]="yes",1,0),0))&gt;0,SUM(IF($C172=detections[],IF(detections[is active]="yes",1,0),0)),"")</f>
        <v/>
      </c>
      <c r="J172" s="74">
        <f t="array" ref="J17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72" s="74">
        <f>IF(AND(ISNUMBER(techniques[[#This Row],[number of sub techniques]]),techniques[[#This Row],[number of sub techniques]]&gt;1),techniques[number of sub techniques],1)</f>
        <v/>
      </c>
      <c r="L172" s="72" t="n"/>
      <c r="M172" s="74">
        <f t="array" ref="M17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7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72" s="26">
        <f>IF(techniques[[#This Row],[detection rules]]&gt;=techniques[[#This Row],[expected detection rules]],1,techniques[[#This Row],[detection rules]]/techniques[[#This Row],[expected detection rules]])</f>
        <v/>
      </c>
      <c r="P17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72" s="29">
        <f>IF(ISERROR(SEARCH(techniques[[#This Row],[id]],techniques[[#This Row],[name]])),"ERROR","")</f>
        <v/>
      </c>
      <c r="S17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73" ht="12.75" customHeight="1">
      <c r="A173" s="74" t="inlineStr">
        <is>
          <t>T1090</t>
        </is>
      </c>
      <c r="B173" s="74" t="inlineStr">
        <is>
          <t>T1090.004</t>
        </is>
      </c>
      <c r="C173" s="13" t="inlineStr">
        <is>
          <t>Domain Fronting (T1090.004)</t>
        </is>
      </c>
      <c r="D173" s="13" t="inlineStr">
        <is>
          <t>command-and-control</t>
        </is>
      </c>
      <c r="E173" s="13" t="inlineStr">
        <is>
          <t>Network Traffic: Network Connection Creation|Network Traffic: Network Traffic Content|Process: Process Creation</t>
        </is>
      </c>
      <c r="F173" s="74" t="n">
        <v>3</v>
      </c>
      <c r="G173" s="72">
        <f t="array" ref="G173">SUM(IF(ISERROR(FIND(sources[data source],techniques[[#This Row],[data sources]])),0,1)*IF(sources[available]="yes",1,0))</f>
        <v/>
      </c>
      <c r="H173" s="73">
        <f t="array" ref="H173">IF(techniques[[#This Row],[technique]]=techniques[[#This Row],[id]],SUM(IF(techniques[[#This Row],[id]]=techniques[technique],1,0))-1,"")</f>
        <v/>
      </c>
      <c r="I173" s="74">
        <f t="array" ref="I173">IF(SUM(IF($C173=detections[],IF(detections[is active]="yes",1,0),0))&gt;0,SUM(IF($C173=detections[],IF(detections[is active]="yes",1,0),0)),"")</f>
        <v/>
      </c>
      <c r="J173" s="74">
        <f t="array" ref="J17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73" s="74">
        <f>IF(AND(ISNUMBER(techniques[[#This Row],[number of sub techniques]]),techniques[[#This Row],[number of sub techniques]]&gt;1),techniques[number of sub techniques],1)</f>
        <v/>
      </c>
      <c r="L173" s="72" t="n"/>
      <c r="M173" s="74">
        <f t="array" ref="M17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7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73" s="26">
        <f>IF(techniques[[#This Row],[detection rules]]&gt;=techniques[[#This Row],[expected detection rules]],1,techniques[[#This Row],[detection rules]]/techniques[[#This Row],[expected detection rules]])</f>
        <v/>
      </c>
      <c r="P17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73" s="29">
        <f>IF(ISERROR(SEARCH(techniques[[#This Row],[id]],techniques[[#This Row],[name]])),"ERROR","")</f>
        <v/>
      </c>
      <c r="S17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74" ht="12.75" customHeight="1">
      <c r="A174" s="74" t="inlineStr">
        <is>
          <t>T1091</t>
        </is>
      </c>
      <c r="B174" s="74" t="inlineStr">
        <is>
          <t>T1091</t>
        </is>
      </c>
      <c r="C174" s="13" t="inlineStr">
        <is>
          <t>Replication Through Removable Media (T1091)</t>
        </is>
      </c>
      <c r="D174" s="13" t="inlineStr">
        <is>
          <t>lateral-movement|initial-access</t>
        </is>
      </c>
      <c r="E174" s="13" t="inlineStr">
        <is>
          <t>Drive: Drive Creation|File: File Access|File: File Creation|Process: Process Creation</t>
        </is>
      </c>
      <c r="F174" s="74" t="n">
        <v>4</v>
      </c>
      <c r="G174" s="72">
        <f t="array" ref="G174">SUM(IF(ISERROR(FIND(sources[data source],techniques[[#This Row],[data sources]])),0,1)*IF(sources[available]="yes",1,0))</f>
        <v/>
      </c>
      <c r="H174" s="73">
        <f t="array" ref="H174">IF(techniques[[#This Row],[technique]]=techniques[[#This Row],[id]],SUM(IF(techniques[[#This Row],[id]]=techniques[technique],1,0))-1,"")</f>
        <v/>
      </c>
      <c r="I174" s="74">
        <f t="array" ref="I174">IF(SUM(IF($C174=detections[],IF(detections[is active]="yes",1,0),0))&gt;0,SUM(IF($C174=detections[],IF(detections[is active]="yes",1,0),0)),"")</f>
        <v/>
      </c>
      <c r="J174" s="74">
        <f t="array" ref="J17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74" s="74">
        <f>IF(AND(ISNUMBER(techniques[[#This Row],[number of sub techniques]]),techniques[[#This Row],[number of sub techniques]]&gt;1),techniques[number of sub techniques],1)</f>
        <v/>
      </c>
      <c r="L174" s="72" t="n"/>
      <c r="M174" s="74">
        <f t="array" ref="M17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7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74" s="26">
        <f>IF(techniques[[#This Row],[detection rules]]&gt;=techniques[[#This Row],[expected detection rules]],1,techniques[[#This Row],[detection rules]]/techniques[[#This Row],[expected detection rules]])</f>
        <v/>
      </c>
      <c r="P17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74" s="29">
        <f>IF(ISERROR(SEARCH(techniques[[#This Row],[id]],techniques[[#This Row],[name]])),"ERROR","")</f>
        <v/>
      </c>
      <c r="S17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75" ht="12.75" customHeight="1">
      <c r="A175" s="74" t="inlineStr">
        <is>
          <t>T1092</t>
        </is>
      </c>
      <c r="B175" s="74" t="inlineStr">
        <is>
          <t>T1092</t>
        </is>
      </c>
      <c r="C175" s="13" t="inlineStr">
        <is>
          <t>Communication Through Removable Media (T1092)</t>
        </is>
      </c>
      <c r="D175" s="13" t="inlineStr">
        <is>
          <t>command-and-control</t>
        </is>
      </c>
      <c r="E175" s="13" t="inlineStr">
        <is>
          <t>Drive: Drive Creation|File: File Creation|Process: Process Creation</t>
        </is>
      </c>
      <c r="F175" s="74" t="n">
        <v>3</v>
      </c>
      <c r="G175" s="72">
        <f t="array" ref="G175">SUM(IF(ISERROR(FIND(sources[data source],techniques[[#This Row],[data sources]])),0,1)*IF(sources[available]="yes",1,0))</f>
        <v/>
      </c>
      <c r="H175" s="73">
        <f t="array" ref="H175">IF(techniques[[#This Row],[technique]]=techniques[[#This Row],[id]],SUM(IF(techniques[[#This Row],[id]]=techniques[technique],1,0))-1,"")</f>
        <v/>
      </c>
      <c r="I175" s="74">
        <f t="array" ref="I175">IF(SUM(IF($C175=detections[],IF(detections[is active]="yes",1,0),0))&gt;0,SUM(IF($C175=detections[],IF(detections[is active]="yes",1,0),0)),"")</f>
        <v/>
      </c>
      <c r="J175" s="74">
        <f t="array" ref="J17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75" s="74">
        <f>IF(AND(ISNUMBER(techniques[[#This Row],[number of sub techniques]]),techniques[[#This Row],[number of sub techniques]]&gt;1),techniques[number of sub techniques],1)</f>
        <v/>
      </c>
      <c r="L175" s="72" t="n"/>
      <c r="M175" s="74">
        <f t="array" ref="M17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7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75" s="26">
        <f>IF(techniques[[#This Row],[detection rules]]&gt;=techniques[[#This Row],[expected detection rules]],1,techniques[[#This Row],[detection rules]]/techniques[[#This Row],[expected detection rules]])</f>
        <v/>
      </c>
      <c r="P17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75" s="29">
        <f>IF(ISERROR(SEARCH(techniques[[#This Row],[id]],techniques[[#This Row],[name]])),"ERROR","")</f>
        <v/>
      </c>
      <c r="S17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76" ht="12.75" customHeight="1">
      <c r="A176" s="74" t="inlineStr">
        <is>
          <t>T1095</t>
        </is>
      </c>
      <c r="B176" s="74" t="inlineStr">
        <is>
          <t>T1095</t>
        </is>
      </c>
      <c r="C176" s="13" t="inlineStr">
        <is>
          <t>Non-Application Layer Protocol (T1095)</t>
        </is>
      </c>
      <c r="D176" s="13" t="inlineStr">
        <is>
          <t>command-and-control</t>
        </is>
      </c>
      <c r="E176" s="13" t="inlineStr">
        <is>
          <t>Network Traffic: Network Connection Creation|Network Traffic: Network Traffic Content|Network Traffic: Network Traffic Flow</t>
        </is>
      </c>
      <c r="F176" s="74" t="n">
        <v>3</v>
      </c>
      <c r="G176" s="72">
        <f t="array" ref="G176">SUM(IF(ISERROR(FIND(sources[data source],techniques[[#This Row],[data sources]])),0,1)*IF(sources[available]="yes",1,0))</f>
        <v/>
      </c>
      <c r="H176" s="73">
        <f t="array" ref="H176">IF(techniques[[#This Row],[technique]]=techniques[[#This Row],[id]],SUM(IF(techniques[[#This Row],[id]]=techniques[technique],1,0))-1,"")</f>
        <v/>
      </c>
      <c r="I176" s="74">
        <f t="array" ref="I176">IF(SUM(IF($C176=detections[],IF(detections[is active]="yes",1,0),0))&gt;0,SUM(IF($C176=detections[],IF(detections[is active]="yes",1,0),0)),"")</f>
        <v/>
      </c>
      <c r="J176" s="74">
        <f t="array" ref="J17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76" s="74">
        <f>IF(AND(ISNUMBER(techniques[[#This Row],[number of sub techniques]]),techniques[[#This Row],[number of sub techniques]]&gt;1),techniques[number of sub techniques],1)</f>
        <v/>
      </c>
      <c r="L176" s="72" t="n"/>
      <c r="M176" s="74">
        <f t="array" ref="M17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7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76" s="26">
        <f>IF(techniques[[#This Row],[detection rules]]&gt;=techniques[[#This Row],[expected detection rules]],1,techniques[[#This Row],[detection rules]]/techniques[[#This Row],[expected detection rules]])</f>
        <v/>
      </c>
      <c r="P17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76" s="29">
        <f>IF(ISERROR(SEARCH(techniques[[#This Row],[id]],techniques[[#This Row],[name]])),"ERROR","")</f>
        <v/>
      </c>
      <c r="S17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77" ht="12.75" customHeight="1">
      <c r="A177" s="74" t="inlineStr">
        <is>
          <t>T1098</t>
        </is>
      </c>
      <c r="B177" s="74" t="inlineStr">
        <is>
          <t>T1098</t>
        </is>
      </c>
      <c r="C177" s="13" t="inlineStr">
        <is>
          <t>Account Manipulation (T1098)</t>
        </is>
      </c>
      <c r="D177" s="13" t="inlineStr">
        <is>
          <t>persistence|privilege-escalation</t>
        </is>
      </c>
      <c r="E177" s="13" t="inlineStr">
        <is>
          <t>Active Directory: Active Directory Object Modification|File: File Modification|Process: Process Creation|User Account: User Account Modification</t>
        </is>
      </c>
      <c r="F177" s="74" t="n">
        <v>4</v>
      </c>
      <c r="G177" s="72">
        <f t="array" ref="G177">SUM(IF(ISERROR(FIND(sources[data source],techniques[[#This Row],[data sources]])),0,1)*IF(sources[available]="yes",1,0))</f>
        <v/>
      </c>
      <c r="H177" s="73">
        <f t="array" ref="H177">IF(techniques[[#This Row],[technique]]=techniques[[#This Row],[id]],SUM(IF(techniques[[#This Row],[id]]=techniques[technique],1,0))-1,"")</f>
        <v/>
      </c>
      <c r="I177" s="74">
        <f t="array" ref="I177">IF(SUM(IF($C177=detections[],IF(detections[is active]="yes",1,0),0))&gt;0,SUM(IF($C177=detections[],IF(detections[is active]="yes",1,0),0)),"")</f>
        <v/>
      </c>
      <c r="J177" s="74">
        <f t="array" ref="J17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77" s="74">
        <f>IF(AND(ISNUMBER(techniques[[#This Row],[number of sub techniques]]),techniques[[#This Row],[number of sub techniques]]&gt;1),techniques[number of sub techniques],1)</f>
        <v/>
      </c>
      <c r="L177" s="72" t="n"/>
      <c r="M177" s="74">
        <f t="array" ref="M17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7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77" s="26">
        <f>IF(techniques[[#This Row],[detection rules]]&gt;=techniques[[#This Row],[expected detection rules]],1,techniques[[#This Row],[detection rules]]/techniques[[#This Row],[expected detection rules]])</f>
        <v/>
      </c>
      <c r="P17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77" s="29">
        <f>IF(ISERROR(SEARCH(techniques[[#This Row],[id]],techniques[[#This Row],[name]])),"ERROR","")</f>
        <v/>
      </c>
      <c r="S17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78" ht="12.75" customHeight="1">
      <c r="A178" s="74" t="inlineStr">
        <is>
          <t>T1098</t>
        </is>
      </c>
      <c r="B178" s="74" t="inlineStr">
        <is>
          <t>T1098.001</t>
        </is>
      </c>
      <c r="C178" s="13" t="inlineStr">
        <is>
          <t>Additional Cloud Credentials (T1098.001)</t>
        </is>
      </c>
      <c r="D178" s="13" t="inlineStr">
        <is>
          <t>persistence|privilege-escalation</t>
        </is>
      </c>
      <c r="E178" s="13" t="inlineStr">
        <is>
          <t>Active Directory: Active Directory Object Creation|Active Directory: Active Directory Object Modification|User Account: User Account Modification</t>
        </is>
      </c>
      <c r="F178" s="74" t="n">
        <v>3</v>
      </c>
      <c r="G178" s="72">
        <f t="array" ref="G178">SUM(IF(ISERROR(FIND(sources[data source],techniques[[#This Row],[data sources]])),0,1)*IF(sources[available]="yes",1,0))</f>
        <v/>
      </c>
      <c r="H178" s="73">
        <f t="array" ref="H178">IF(techniques[[#This Row],[technique]]=techniques[[#This Row],[id]],SUM(IF(techniques[[#This Row],[id]]=techniques[technique],1,0))-1,"")</f>
        <v/>
      </c>
      <c r="I178" s="74">
        <f t="array" ref="I178">IF(SUM(IF($C178=detections[],IF(detections[is active]="yes",1,0),0))&gt;0,SUM(IF($C178=detections[],IF(detections[is active]="yes",1,0),0)),"")</f>
        <v/>
      </c>
      <c r="J178" s="74">
        <f t="array" ref="J17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78" s="74">
        <f>IF(AND(ISNUMBER(techniques[[#This Row],[number of sub techniques]]),techniques[[#This Row],[number of sub techniques]]&gt;1),techniques[number of sub techniques],1)</f>
        <v/>
      </c>
      <c r="L178" s="72" t="n"/>
      <c r="M178" s="74">
        <f t="array" ref="M17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7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78" s="26">
        <f>IF(techniques[[#This Row],[detection rules]]&gt;=techniques[[#This Row],[expected detection rules]],1,techniques[[#This Row],[detection rules]]/techniques[[#This Row],[expected detection rules]])</f>
        <v/>
      </c>
      <c r="P17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78" s="29">
        <f>IF(ISERROR(SEARCH(techniques[[#This Row],[id]],techniques[[#This Row],[name]])),"ERROR","")</f>
        <v/>
      </c>
      <c r="S17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79" ht="12.75" customHeight="1">
      <c r="A179" s="74" t="inlineStr">
        <is>
          <t>T1098</t>
        </is>
      </c>
      <c r="B179" s="74" t="inlineStr">
        <is>
          <t>T1098.002</t>
        </is>
      </c>
      <c r="C179" s="13" t="inlineStr">
        <is>
          <t>Additional Email Delegate Permissions (T1098.002)</t>
        </is>
      </c>
      <c r="D179" s="13" t="inlineStr">
        <is>
          <t>persistence|privilege-escalation</t>
        </is>
      </c>
      <c r="E179" s="13" t="inlineStr">
        <is>
          <t>Application Log: Application Log Content|Process: Process Creation|User Account: User Account Modification</t>
        </is>
      </c>
      <c r="F179" s="74" t="n">
        <v>3</v>
      </c>
      <c r="G179" s="72">
        <f t="array" ref="G179">SUM(IF(ISERROR(FIND(sources[data source],techniques[[#This Row],[data sources]])),0,1)*IF(sources[available]="yes",1,0))</f>
        <v/>
      </c>
      <c r="H179" s="73">
        <f t="array" ref="H179">IF(techniques[[#This Row],[technique]]=techniques[[#This Row],[id]],SUM(IF(techniques[[#This Row],[id]]=techniques[technique],1,0))-1,"")</f>
        <v/>
      </c>
      <c r="I179" s="74">
        <f t="array" ref="I179">IF(SUM(IF($C179=detections[],IF(detections[is active]="yes",1,0),0))&gt;0,SUM(IF($C179=detections[],IF(detections[is active]="yes",1,0),0)),"")</f>
        <v/>
      </c>
      <c r="J179" s="74">
        <f t="array" ref="J17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79" s="74">
        <f>IF(AND(ISNUMBER(techniques[[#This Row],[number of sub techniques]]),techniques[[#This Row],[number of sub techniques]]&gt;1),techniques[number of sub techniques],1)</f>
        <v/>
      </c>
      <c r="L179" s="72" t="n"/>
      <c r="M179" s="74">
        <f t="array" ref="M17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7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79" s="26">
        <f>IF(techniques[[#This Row],[detection rules]]&gt;=techniques[[#This Row],[expected detection rules]],1,techniques[[#This Row],[detection rules]]/techniques[[#This Row],[expected detection rules]])</f>
        <v/>
      </c>
      <c r="P17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79" s="29">
        <f>IF(ISERROR(SEARCH(techniques[[#This Row],[id]],techniques[[#This Row],[name]])),"ERROR","")</f>
        <v/>
      </c>
      <c r="S17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80" ht="12.75" customHeight="1">
      <c r="A180" s="74" t="inlineStr">
        <is>
          <t>T1098</t>
        </is>
      </c>
      <c r="B180" s="74" t="inlineStr">
        <is>
          <t>T1098.003</t>
        </is>
      </c>
      <c r="C180" s="13" t="inlineStr">
        <is>
          <t>Additional Cloud Roles (T1098.003)</t>
        </is>
      </c>
      <c r="D180" s="13" t="inlineStr">
        <is>
          <t>persistence|privilege-escalation</t>
        </is>
      </c>
      <c r="E180" s="13" t="inlineStr">
        <is>
          <t>User Account: User Account Modification</t>
        </is>
      </c>
      <c r="F180" s="74" t="n">
        <v>1</v>
      </c>
      <c r="G180" s="72">
        <f t="array" ref="G180">SUM(IF(ISERROR(FIND(sources[data source],techniques[[#This Row],[data sources]])),0,1)*IF(sources[available]="yes",1,0))</f>
        <v/>
      </c>
      <c r="H180" s="73">
        <f t="array" ref="H180">IF(techniques[[#This Row],[technique]]=techniques[[#This Row],[id]],SUM(IF(techniques[[#This Row],[id]]=techniques[technique],1,0))-1,"")</f>
        <v/>
      </c>
      <c r="I180" s="74">
        <f t="array" ref="I180">IF(SUM(IF($C180=detections[],IF(detections[is active]="yes",1,0),0))&gt;0,SUM(IF($C180=detections[],IF(detections[is active]="yes",1,0),0)),"")</f>
        <v/>
      </c>
      <c r="J180" s="74">
        <f t="array" ref="J18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80" s="74">
        <f>IF(AND(ISNUMBER(techniques[[#This Row],[number of sub techniques]]),techniques[[#This Row],[number of sub techniques]]&gt;1),techniques[number of sub techniques],1)</f>
        <v/>
      </c>
      <c r="L180" s="72" t="n"/>
      <c r="M180" s="74">
        <f t="array" ref="M18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8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80" s="26">
        <f>IF(techniques[[#This Row],[detection rules]]&gt;=techniques[[#This Row],[expected detection rules]],1,techniques[[#This Row],[detection rules]]/techniques[[#This Row],[expected detection rules]])</f>
        <v/>
      </c>
      <c r="P18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80" s="29">
        <f>IF(ISERROR(SEARCH(techniques[[#This Row],[id]],techniques[[#This Row],[name]])),"ERROR","")</f>
        <v/>
      </c>
      <c r="S18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81" ht="12.75" customHeight="1">
      <c r="A181" s="74" t="inlineStr">
        <is>
          <t>T1098</t>
        </is>
      </c>
      <c r="B181" s="74" t="inlineStr">
        <is>
          <t>T1098.004</t>
        </is>
      </c>
      <c r="C181" s="13" t="inlineStr">
        <is>
          <t>SSH Authorized Keys (T1098.004)</t>
        </is>
      </c>
      <c r="D181" s="13" t="inlineStr">
        <is>
          <t>persistence|privilege-escalation</t>
        </is>
      </c>
      <c r="E181" s="13" t="inlineStr">
        <is>
          <t>Command: Command Execution|File: File Modification|Process: Process Creation</t>
        </is>
      </c>
      <c r="F181" s="74" t="n">
        <v>3</v>
      </c>
      <c r="G181" s="72">
        <f t="array" ref="G181">SUM(IF(ISERROR(FIND(sources[data source],techniques[[#This Row],[data sources]])),0,1)*IF(sources[available]="yes",1,0))</f>
        <v/>
      </c>
      <c r="H181" s="73">
        <f t="array" ref="H181">IF(techniques[[#This Row],[technique]]=techniques[[#This Row],[id]],SUM(IF(techniques[[#This Row],[id]]=techniques[technique],1,0))-1,"")</f>
        <v/>
      </c>
      <c r="I181" s="74">
        <f t="array" ref="I181">IF(SUM(IF($C181=detections[],IF(detections[is active]="yes",1,0),0))&gt;0,SUM(IF($C181=detections[],IF(detections[is active]="yes",1,0),0)),"")</f>
        <v/>
      </c>
      <c r="J181" s="74">
        <f t="array" ref="J18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81" s="74">
        <f>IF(AND(ISNUMBER(techniques[[#This Row],[number of sub techniques]]),techniques[[#This Row],[number of sub techniques]]&gt;1),techniques[number of sub techniques],1)</f>
        <v/>
      </c>
      <c r="L181" s="72" t="n"/>
      <c r="M181" s="74">
        <f t="array" ref="M18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8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81" s="26">
        <f>IF(techniques[[#This Row],[detection rules]]&gt;=techniques[[#This Row],[expected detection rules]],1,techniques[[#This Row],[detection rules]]/techniques[[#This Row],[expected detection rules]])</f>
        <v/>
      </c>
      <c r="P18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81" s="29">
        <f>IF(ISERROR(SEARCH(techniques[[#This Row],[id]],techniques[[#This Row],[name]])),"ERROR","")</f>
        <v/>
      </c>
      <c r="S18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82" ht="12.75" customHeight="1">
      <c r="A182" s="74" t="inlineStr">
        <is>
          <t>T1098</t>
        </is>
      </c>
      <c r="B182" s="74" t="inlineStr">
        <is>
          <t>T1098.005</t>
        </is>
      </c>
      <c r="C182" s="13" t="inlineStr">
        <is>
          <t>Device Registration (T1098.005)</t>
        </is>
      </c>
      <c r="D182" s="13" t="inlineStr">
        <is>
          <t>persistence|privilege-escalation</t>
        </is>
      </c>
      <c r="E182" s="13" t="inlineStr">
        <is>
          <t>Active Directory: Active Directory Object Creation|Application Log: Application Log Content|User Account: User Account Modification</t>
        </is>
      </c>
      <c r="F182" s="74" t="n">
        <v>3</v>
      </c>
      <c r="G182" s="72">
        <f t="array" ref="G182">SUM(IF(ISERROR(FIND(sources[data source],techniques[[#This Row],[data sources]])),0,1)*IF(sources[available]="yes",1,0))</f>
        <v/>
      </c>
      <c r="H182" s="73">
        <f t="array" ref="H182">IF(techniques[[#This Row],[technique]]=techniques[[#This Row],[id]],SUM(IF(techniques[[#This Row],[id]]=techniques[technique],1,0))-1,"")</f>
        <v/>
      </c>
      <c r="I182" s="74">
        <f t="array" ref="I182">IF(SUM(IF($C182=detections[],IF(detections[is active]="yes",1,0),0))&gt;0,SUM(IF($C182=detections[],IF(detections[is active]="yes",1,0),0)),"")</f>
        <v/>
      </c>
      <c r="J182" s="74">
        <f t="array" ref="J18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82" s="74">
        <f>IF(AND(ISNUMBER(techniques[[#This Row],[number of sub techniques]]),techniques[[#This Row],[number of sub techniques]]&gt;1),techniques[number of sub techniques],1)</f>
        <v/>
      </c>
      <c r="L182" s="72" t="n"/>
      <c r="M182" s="74">
        <f t="array" ref="M18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8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82" s="26">
        <f>IF(techniques[[#This Row],[detection rules]]&gt;=techniques[[#This Row],[expected detection rules]],1,techniques[[#This Row],[detection rules]]/techniques[[#This Row],[expected detection rules]])</f>
        <v/>
      </c>
      <c r="P18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82" s="29">
        <f>IF(ISERROR(SEARCH(techniques[[#This Row],[id]],techniques[[#This Row],[name]])),"ERROR","")</f>
        <v/>
      </c>
      <c r="S18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83" ht="12.75" customHeight="1">
      <c r="A183" s="74" t="inlineStr">
        <is>
          <t>T1098</t>
        </is>
      </c>
      <c r="B183" s="74" t="inlineStr">
        <is>
          <t>T1098.006</t>
        </is>
      </c>
      <c r="C183" s="13" t="inlineStr">
        <is>
          <t>Additional Container Cluster Roles (T1098.006)</t>
        </is>
      </c>
      <c r="D183" s="13" t="inlineStr">
        <is>
          <t>persistence|privilege-escalation</t>
        </is>
      </c>
      <c r="E183" s="13" t="inlineStr">
        <is>
          <t>User Account: User Account Modification</t>
        </is>
      </c>
      <c r="F183" s="74" t="n">
        <v>1</v>
      </c>
      <c r="G183" s="72">
        <f t="array" ref="G183">SUM(IF(ISERROR(FIND(sources[data source],techniques[[#This Row],[data sources]])),0,1)*IF(sources[available]="yes",1,0))</f>
        <v/>
      </c>
      <c r="H183" s="73">
        <f t="array" ref="H183">IF(techniques[[#This Row],[technique]]=techniques[[#This Row],[id]],SUM(IF(techniques[[#This Row],[id]]=techniques[technique],1,0))-1,"")</f>
        <v/>
      </c>
      <c r="I183" s="74">
        <f t="array" ref="I183">IF(SUM(IF($C183=detections[],IF(detections[is active]="yes",1,0),0))&gt;0,SUM(IF($C183=detections[],IF(detections[is active]="yes",1,0),0)),"")</f>
        <v/>
      </c>
      <c r="J183" s="74">
        <f t="array" ref="J18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83" s="74">
        <f>IF(AND(ISNUMBER(techniques[[#This Row],[number of sub techniques]]),techniques[[#This Row],[number of sub techniques]]&gt;1),techniques[number of sub techniques],1)</f>
        <v/>
      </c>
      <c r="L183" s="72" t="n"/>
      <c r="M183" s="74">
        <f t="array" ref="M18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8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83" s="26">
        <f>IF(techniques[[#This Row],[detection rules]]&gt;=techniques[[#This Row],[expected detection rules]],1,techniques[[#This Row],[detection rules]]/techniques[[#This Row],[expected detection rules]])</f>
        <v/>
      </c>
      <c r="P18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83" s="29">
        <f>IF(ISERROR(SEARCH(techniques[[#This Row],[id]],techniques[[#This Row],[name]])),"ERROR","")</f>
        <v/>
      </c>
      <c r="S18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84" ht="12.75" customHeight="1">
      <c r="A184" s="74" t="inlineStr">
        <is>
          <t>T1098</t>
        </is>
      </c>
      <c r="B184" s="74" t="inlineStr">
        <is>
          <t>T1098.007</t>
        </is>
      </c>
      <c r="C184" s="13" t="inlineStr">
        <is>
          <t>Additional Local or Domain Groups (T1098.007)</t>
        </is>
      </c>
      <c r="D184" s="13" t="inlineStr">
        <is>
          <t>persistence|privilege-escalation</t>
        </is>
      </c>
      <c r="E184" s="13" t="inlineStr">
        <is>
          <t>User Account: User Account Modification</t>
        </is>
      </c>
      <c r="F184" s="74" t="n">
        <v>1</v>
      </c>
      <c r="G184" s="72">
        <f t="array" ref="G184">SUM(IF(ISERROR(FIND(sources[data source],techniques[[#This Row],[data sources]])),0,1)*IF(sources[available]="yes",1,0))</f>
        <v/>
      </c>
      <c r="H184" s="73">
        <f t="array" ref="H184">IF(techniques[[#This Row],[technique]]=techniques[[#This Row],[id]],SUM(IF(techniques[[#This Row],[id]]=techniques[technique],1,0))-1,"")</f>
        <v/>
      </c>
      <c r="I184" s="74">
        <f t="array" ref="I184">IF(SUM(IF($C184=detections[],IF(detections[is active]="yes",1,0),0))&gt;0,SUM(IF($C184=detections[],IF(detections[is active]="yes",1,0),0)),"")</f>
        <v/>
      </c>
      <c r="J184" s="74">
        <f t="array" ref="J18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84" s="74">
        <f>IF(AND(ISNUMBER(techniques[[#This Row],[number of sub techniques]]),techniques[[#This Row],[number of sub techniques]]&gt;1),techniques[number of sub techniques],1)</f>
        <v/>
      </c>
      <c r="L184" s="72" t="n"/>
      <c r="M184" s="74">
        <f t="array" ref="M18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8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84" s="26">
        <f>IF(techniques[[#This Row],[detection rules]]&gt;=techniques[[#This Row],[expected detection rules]],1,techniques[[#This Row],[detection rules]]/techniques[[#This Row],[expected detection rules]])</f>
        <v/>
      </c>
      <c r="P18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84" s="29">
        <f>IF(ISERROR(SEARCH(techniques[[#This Row],[id]],techniques[[#This Row],[name]])),"ERROR","")</f>
        <v/>
      </c>
      <c r="S18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85" ht="12.75" customHeight="1">
      <c r="A185" s="74" t="inlineStr">
        <is>
          <t>T1102</t>
        </is>
      </c>
      <c r="B185" s="74" t="inlineStr">
        <is>
          <t>T1102</t>
        </is>
      </c>
      <c r="C185" s="13" t="inlineStr">
        <is>
          <t>Web Service (T1102)</t>
        </is>
      </c>
      <c r="D185" s="13" t="inlineStr">
        <is>
          <t>command-and-control</t>
        </is>
      </c>
      <c r="E185" s="13" t="inlineStr">
        <is>
          <t>Network Traffic: Network Connection Creation|Network Traffic: Network Traffic Content|Network Traffic: Network Traffic Flow</t>
        </is>
      </c>
      <c r="F185" s="74" t="n">
        <v>3</v>
      </c>
      <c r="G185" s="72">
        <f t="array" ref="G185">SUM(IF(ISERROR(FIND(sources[data source],techniques[[#This Row],[data sources]])),0,1)*IF(sources[available]="yes",1,0))</f>
        <v/>
      </c>
      <c r="H185" s="73">
        <f t="array" ref="H185">IF(techniques[[#This Row],[technique]]=techniques[[#This Row],[id]],SUM(IF(techniques[[#This Row],[id]]=techniques[technique],1,0))-1,"")</f>
        <v/>
      </c>
      <c r="I185" s="74">
        <f t="array" ref="I185">IF(SUM(IF($C185=detections[],IF(detections[is active]="yes",1,0),0))&gt;0,SUM(IF($C185=detections[],IF(detections[is active]="yes",1,0),0)),"")</f>
        <v/>
      </c>
      <c r="J185" s="74">
        <f t="array" ref="J18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85" s="74">
        <f>IF(AND(ISNUMBER(techniques[[#This Row],[number of sub techniques]]),techniques[[#This Row],[number of sub techniques]]&gt;1),techniques[number of sub techniques],1)</f>
        <v/>
      </c>
      <c r="L185" s="72" t="n"/>
      <c r="M185" s="74">
        <f t="array" ref="M18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8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85" s="26">
        <f>IF(techniques[[#This Row],[detection rules]]&gt;=techniques[[#This Row],[expected detection rules]],1,techniques[[#This Row],[detection rules]]/techniques[[#This Row],[expected detection rules]])</f>
        <v/>
      </c>
      <c r="P18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85" s="29">
        <f>IF(ISERROR(SEARCH(techniques[[#This Row],[id]],techniques[[#This Row],[name]])),"ERROR","")</f>
        <v/>
      </c>
      <c r="S18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86" ht="12.75" customHeight="1">
      <c r="A186" s="74" t="inlineStr">
        <is>
          <t>T1102</t>
        </is>
      </c>
      <c r="B186" s="74" t="inlineStr">
        <is>
          <t>T1102.001</t>
        </is>
      </c>
      <c r="C186" s="13" t="inlineStr">
        <is>
          <t>Dead Drop Resolver (T1102.001)</t>
        </is>
      </c>
      <c r="D186" s="13" t="inlineStr">
        <is>
          <t>command-and-control</t>
        </is>
      </c>
      <c r="E186" s="13" t="inlineStr">
        <is>
          <t>Network Traffic: Network Connection Creation|Network Traffic: Network Traffic Content|Network Traffic: Network Traffic Flow</t>
        </is>
      </c>
      <c r="F186" s="74" t="n">
        <v>3</v>
      </c>
      <c r="G186" s="72">
        <f t="array" ref="G186">SUM(IF(ISERROR(FIND(sources[data source],techniques[[#This Row],[data sources]])),0,1)*IF(sources[available]="yes",1,0))</f>
        <v/>
      </c>
      <c r="H186" s="73">
        <f t="array" ref="H186">IF(techniques[[#This Row],[technique]]=techniques[[#This Row],[id]],SUM(IF(techniques[[#This Row],[id]]=techniques[technique],1,0))-1,"")</f>
        <v/>
      </c>
      <c r="I186" s="74">
        <f t="array" ref="I186">IF(SUM(IF($C186=detections[],IF(detections[is active]="yes",1,0),0))&gt;0,SUM(IF($C186=detections[],IF(detections[is active]="yes",1,0),0)),"")</f>
        <v/>
      </c>
      <c r="J186" s="74">
        <f t="array" ref="J18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86" s="74">
        <f>IF(AND(ISNUMBER(techniques[[#This Row],[number of sub techniques]]),techniques[[#This Row],[number of sub techniques]]&gt;1),techniques[number of sub techniques],1)</f>
        <v/>
      </c>
      <c r="L186" s="72" t="n"/>
      <c r="M186" s="74">
        <f t="array" ref="M18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8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86" s="26">
        <f>IF(techniques[[#This Row],[detection rules]]&gt;=techniques[[#This Row],[expected detection rules]],1,techniques[[#This Row],[detection rules]]/techniques[[#This Row],[expected detection rules]])</f>
        <v/>
      </c>
      <c r="P18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86" s="29">
        <f>IF(ISERROR(SEARCH(techniques[[#This Row],[id]],techniques[[#This Row],[name]])),"ERROR","")</f>
        <v/>
      </c>
      <c r="S18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87" ht="12.75" customHeight="1">
      <c r="A187" s="74" t="inlineStr">
        <is>
          <t>T1102</t>
        </is>
      </c>
      <c r="B187" s="74" t="inlineStr">
        <is>
          <t>T1102.002</t>
        </is>
      </c>
      <c r="C187" s="13" t="inlineStr">
        <is>
          <t>Bidirectional Communication (T1102.002)</t>
        </is>
      </c>
      <c r="D187" s="13" t="inlineStr">
        <is>
          <t>command-and-control</t>
        </is>
      </c>
      <c r="E187" s="13" t="inlineStr">
        <is>
          <t>Network Traffic: Network Connection Creation|Network Traffic: Network Traffic Content|Network Traffic: Network Traffic Flow|Process: Process Creation</t>
        </is>
      </c>
      <c r="F187" s="74" t="n">
        <v>4</v>
      </c>
      <c r="G187" s="72">
        <f t="array" ref="G187">SUM(IF(ISERROR(FIND(sources[data source],techniques[[#This Row],[data sources]])),0,1)*IF(sources[available]="yes",1,0))</f>
        <v/>
      </c>
      <c r="H187" s="73">
        <f t="array" ref="H187">IF(techniques[[#This Row],[technique]]=techniques[[#This Row],[id]],SUM(IF(techniques[[#This Row],[id]]=techniques[technique],1,0))-1,"")</f>
        <v/>
      </c>
      <c r="I187" s="74">
        <f t="array" ref="I187">IF(SUM(IF($C187=detections[],IF(detections[is active]="yes",1,0),0))&gt;0,SUM(IF($C187=detections[],IF(detections[is active]="yes",1,0),0)),"")</f>
        <v/>
      </c>
      <c r="J187" s="74">
        <f t="array" ref="J18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87" s="74">
        <f>IF(AND(ISNUMBER(techniques[[#This Row],[number of sub techniques]]),techniques[[#This Row],[number of sub techniques]]&gt;1),techniques[number of sub techniques],1)</f>
        <v/>
      </c>
      <c r="L187" s="72" t="n"/>
      <c r="M187" s="74">
        <f t="array" ref="M18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8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87" s="26">
        <f>IF(techniques[[#This Row],[detection rules]]&gt;=techniques[[#This Row],[expected detection rules]],1,techniques[[#This Row],[detection rules]]/techniques[[#This Row],[expected detection rules]])</f>
        <v/>
      </c>
      <c r="P18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87" s="29">
        <f>IF(ISERROR(SEARCH(techniques[[#This Row],[id]],techniques[[#This Row],[name]])),"ERROR","")</f>
        <v/>
      </c>
      <c r="S18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88" ht="12.75" customHeight="1">
      <c r="A188" s="74" t="inlineStr">
        <is>
          <t>T1102</t>
        </is>
      </c>
      <c r="B188" s="74" t="inlineStr">
        <is>
          <t>T1102.003</t>
        </is>
      </c>
      <c r="C188" s="13" t="inlineStr">
        <is>
          <t>One-Way Communication (T1102.003)</t>
        </is>
      </c>
      <c r="D188" s="13" t="inlineStr">
        <is>
          <t>command-and-control</t>
        </is>
      </c>
      <c r="E188" s="13" t="inlineStr">
        <is>
          <t>Network Traffic: Network Connection Creation|Network Traffic: Network Traffic Content|Network Traffic: Network Traffic Flow|Process: Process Creation</t>
        </is>
      </c>
      <c r="F188" s="74" t="n">
        <v>4</v>
      </c>
      <c r="G188" s="72">
        <f t="array" ref="G188">SUM(IF(ISERROR(FIND(sources[data source],techniques[[#This Row],[data sources]])),0,1)*IF(sources[available]="yes",1,0))</f>
        <v/>
      </c>
      <c r="H188" s="73">
        <f t="array" ref="H188">IF(techniques[[#This Row],[technique]]=techniques[[#This Row],[id]],SUM(IF(techniques[[#This Row],[id]]=techniques[technique],1,0))-1,"")</f>
        <v/>
      </c>
      <c r="I188" s="74">
        <f t="array" ref="I188">IF(SUM(IF($C188=detections[],IF(detections[is active]="yes",1,0),0))&gt;0,SUM(IF($C188=detections[],IF(detections[is active]="yes",1,0),0)),"")</f>
        <v/>
      </c>
      <c r="J188" s="74">
        <f t="array" ref="J18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88" s="74">
        <f>IF(AND(ISNUMBER(techniques[[#This Row],[number of sub techniques]]),techniques[[#This Row],[number of sub techniques]]&gt;1),techniques[number of sub techniques],1)</f>
        <v/>
      </c>
      <c r="L188" s="72" t="n"/>
      <c r="M188" s="74">
        <f t="array" ref="M18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8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88" s="26">
        <f>IF(techniques[[#This Row],[detection rules]]&gt;=techniques[[#This Row],[expected detection rules]],1,techniques[[#This Row],[detection rules]]/techniques[[#This Row],[expected detection rules]])</f>
        <v/>
      </c>
      <c r="P18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88" s="29">
        <f>IF(ISERROR(SEARCH(techniques[[#This Row],[id]],techniques[[#This Row],[name]])),"ERROR","")</f>
        <v/>
      </c>
      <c r="S18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89" ht="12.75" customHeight="1">
      <c r="A189" s="74" t="inlineStr">
        <is>
          <t>T1104</t>
        </is>
      </c>
      <c r="B189" s="74" t="inlineStr">
        <is>
          <t>T1104</t>
        </is>
      </c>
      <c r="C189" s="13" t="inlineStr">
        <is>
          <t>Multi-Stage Channels (T1104)</t>
        </is>
      </c>
      <c r="D189" s="13" t="inlineStr">
        <is>
          <t>command-and-control</t>
        </is>
      </c>
      <c r="E189" s="13" t="inlineStr">
        <is>
          <t>Network Traffic: Network Connection Creation|Network Traffic: Network Traffic Flow|Process: Process Creation</t>
        </is>
      </c>
      <c r="F189" s="74" t="n">
        <v>3</v>
      </c>
      <c r="G189" s="72">
        <f t="array" ref="G189">SUM(IF(ISERROR(FIND(sources[data source],techniques[[#This Row],[data sources]])),0,1)*IF(sources[available]="yes",1,0))</f>
        <v/>
      </c>
      <c r="H189" s="73">
        <f t="array" ref="H189">IF(techniques[[#This Row],[technique]]=techniques[[#This Row],[id]],SUM(IF(techniques[[#This Row],[id]]=techniques[technique],1,0))-1,"")</f>
        <v/>
      </c>
      <c r="I189" s="74">
        <f t="array" ref="I189">IF(SUM(IF($C189=detections[],IF(detections[is active]="yes",1,0),0))&gt;0,SUM(IF($C189=detections[],IF(detections[is active]="yes",1,0),0)),"")</f>
        <v/>
      </c>
      <c r="J189" s="74">
        <f t="array" ref="J18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89" s="74">
        <f>IF(AND(ISNUMBER(techniques[[#This Row],[number of sub techniques]]),techniques[[#This Row],[number of sub techniques]]&gt;1),techniques[number of sub techniques],1)</f>
        <v/>
      </c>
      <c r="L189" s="72" t="n"/>
      <c r="M189" s="74">
        <f t="array" ref="M18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8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89" s="26">
        <f>IF(techniques[[#This Row],[detection rules]]&gt;=techniques[[#This Row],[expected detection rules]],1,techniques[[#This Row],[detection rules]]/techniques[[#This Row],[expected detection rules]])</f>
        <v/>
      </c>
      <c r="P18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89" s="29">
        <f>IF(ISERROR(SEARCH(techniques[[#This Row],[id]],techniques[[#This Row],[name]])),"ERROR","")</f>
        <v/>
      </c>
      <c r="S18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90" ht="12.75" customHeight="1">
      <c r="A190" s="74" t="inlineStr">
        <is>
          <t>T1105</t>
        </is>
      </c>
      <c r="B190" s="74" t="inlineStr">
        <is>
          <t>T1105</t>
        </is>
      </c>
      <c r="C190" s="13" t="inlineStr">
        <is>
          <t>Ingress Tool Transfer (T1105)</t>
        </is>
      </c>
      <c r="D190" s="13" t="inlineStr">
        <is>
          <t>command-and-control</t>
        </is>
      </c>
      <c r="E190" s="13" t="inlineStr">
        <is>
          <t>Command: Command Execution|File: File Creation|Network Traffic: Network Connection Creation|Network Traffic: Network Traffic Flow|Process: Process Creation</t>
        </is>
      </c>
      <c r="F190" s="74" t="n">
        <v>5</v>
      </c>
      <c r="G190" s="72">
        <f t="array" ref="G190">SUM(IF(ISERROR(FIND(sources[data source],techniques[[#This Row],[data sources]])),0,1)*IF(sources[available]="yes",1,0))</f>
        <v/>
      </c>
      <c r="H190" s="73">
        <f t="array" ref="H190">IF(techniques[[#This Row],[technique]]=techniques[[#This Row],[id]],SUM(IF(techniques[[#This Row],[id]]=techniques[technique],1,0))-1,"")</f>
        <v/>
      </c>
      <c r="I190" s="74">
        <f t="array" ref="I190">IF(SUM(IF($C190=detections[],IF(detections[is active]="yes",1,0),0))&gt;0,SUM(IF($C190=detections[],IF(detections[is active]="yes",1,0),0)),"")</f>
        <v/>
      </c>
      <c r="J190" s="74">
        <f t="array" ref="J19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90" s="74">
        <f>IF(AND(ISNUMBER(techniques[[#This Row],[number of sub techniques]]),techniques[[#This Row],[number of sub techniques]]&gt;1),techniques[number of sub techniques],1)</f>
        <v/>
      </c>
      <c r="L190" s="72" t="n"/>
      <c r="M190" s="74">
        <f t="array" ref="M19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9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90" s="26">
        <f>IF(techniques[[#This Row],[detection rules]]&gt;=techniques[[#This Row],[expected detection rules]],1,techniques[[#This Row],[detection rules]]/techniques[[#This Row],[expected detection rules]])</f>
        <v/>
      </c>
      <c r="P19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90" s="29">
        <f>IF(ISERROR(SEARCH(techniques[[#This Row],[id]],techniques[[#This Row],[name]])),"ERROR","")</f>
        <v/>
      </c>
      <c r="S19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91" ht="12.75" customHeight="1">
      <c r="A191" s="74" t="inlineStr">
        <is>
          <t>T1106</t>
        </is>
      </c>
      <c r="B191" s="74" t="inlineStr">
        <is>
          <t>T1106</t>
        </is>
      </c>
      <c r="C191" s="13" t="inlineStr">
        <is>
          <t>Native API (T1106)</t>
        </is>
      </c>
      <c r="D191" s="13" t="inlineStr">
        <is>
          <t>execution</t>
        </is>
      </c>
      <c r="E191" s="13" t="inlineStr">
        <is>
          <t>Module: Module Load|Process: Process Access|Process: Process Creation</t>
        </is>
      </c>
      <c r="F191" s="74" t="n">
        <v>3</v>
      </c>
      <c r="G191" s="72">
        <f t="array" ref="G191">SUM(IF(ISERROR(FIND(sources[data source],techniques[[#This Row],[data sources]])),0,1)*IF(sources[available]="yes",1,0))</f>
        <v/>
      </c>
      <c r="H191" s="73">
        <f t="array" ref="H191">IF(techniques[[#This Row],[technique]]=techniques[[#This Row],[id]],SUM(IF(techniques[[#This Row],[id]]=techniques[technique],1,0))-1,"")</f>
        <v/>
      </c>
      <c r="I191" s="74">
        <f t="array" ref="I191">IF(SUM(IF($C191=detections[],IF(detections[is active]="yes",1,0),0))&gt;0,SUM(IF($C191=detections[],IF(detections[is active]="yes",1,0),0)),"")</f>
        <v/>
      </c>
      <c r="J191" s="74">
        <f t="array" ref="J19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91" s="74">
        <f>IF(AND(ISNUMBER(techniques[[#This Row],[number of sub techniques]]),techniques[[#This Row],[number of sub techniques]]&gt;1),techniques[number of sub techniques],1)</f>
        <v/>
      </c>
      <c r="L191" s="72" t="n"/>
      <c r="M191" s="74">
        <f t="array" ref="M19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9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91" s="26">
        <f>IF(techniques[[#This Row],[detection rules]]&gt;=techniques[[#This Row],[expected detection rules]],1,techniques[[#This Row],[detection rules]]/techniques[[#This Row],[expected detection rules]])</f>
        <v/>
      </c>
      <c r="P19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91" s="29">
        <f>IF(ISERROR(SEARCH(techniques[[#This Row],[id]],techniques[[#This Row],[name]])),"ERROR","")</f>
        <v/>
      </c>
      <c r="S19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92" ht="12.75" customHeight="1">
      <c r="A192" s="74" t="inlineStr">
        <is>
          <t>T1110</t>
        </is>
      </c>
      <c r="B192" s="74" t="inlineStr">
        <is>
          <t>T1110</t>
        </is>
      </c>
      <c r="C192" s="13" t="inlineStr">
        <is>
          <t>Brute Force (T1110)</t>
        </is>
      </c>
      <c r="D192" s="13" t="inlineStr">
        <is>
          <t>credential-access</t>
        </is>
      </c>
      <c r="E192" s="13" t="inlineStr">
        <is>
          <t>User Account: User Account Authentication</t>
        </is>
      </c>
      <c r="F192" s="74" t="n">
        <v>1</v>
      </c>
      <c r="G192" s="72">
        <f t="array" ref="G192">SUM(IF(ISERROR(FIND(sources[data source],techniques[[#This Row],[data sources]])),0,1)*IF(sources[available]="yes",1,0))</f>
        <v/>
      </c>
      <c r="H192" s="73">
        <f t="array" ref="H192">IF(techniques[[#This Row],[technique]]=techniques[[#This Row],[id]],SUM(IF(techniques[[#This Row],[id]]=techniques[technique],1,0))-1,"")</f>
        <v/>
      </c>
      <c r="I192" s="74">
        <f t="array" ref="I192">IF(SUM(IF($C192=detections[],IF(detections[is active]="yes",1,0),0))&gt;0,SUM(IF($C192=detections[],IF(detections[is active]="yes",1,0),0)),"")</f>
        <v/>
      </c>
      <c r="J192" s="74">
        <f t="array" ref="J19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92" s="74">
        <f>IF(AND(ISNUMBER(techniques[[#This Row],[number of sub techniques]]),techniques[[#This Row],[number of sub techniques]]&gt;1),techniques[number of sub techniques],1)</f>
        <v/>
      </c>
      <c r="L192" s="72" t="n"/>
      <c r="M192" s="74">
        <f t="array" ref="M19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9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92" s="26">
        <f>IF(techniques[[#This Row],[detection rules]]&gt;=techniques[[#This Row],[expected detection rules]],1,techniques[[#This Row],[detection rules]]/techniques[[#This Row],[expected detection rules]])</f>
        <v/>
      </c>
      <c r="P19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92" s="29">
        <f>IF(ISERROR(SEARCH(techniques[[#This Row],[id]],techniques[[#This Row],[name]])),"ERROR","")</f>
        <v/>
      </c>
      <c r="S19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93" ht="12.75" customHeight="1">
      <c r="A193" s="74" t="inlineStr">
        <is>
          <t>T1110</t>
        </is>
      </c>
      <c r="B193" s="74" t="inlineStr">
        <is>
          <t>T1110.001</t>
        </is>
      </c>
      <c r="C193" s="13" t="inlineStr">
        <is>
          <t>Password Guessing (T1110.001)</t>
        </is>
      </c>
      <c r="D193" s="13" t="inlineStr">
        <is>
          <t>credential-access</t>
        </is>
      </c>
      <c r="E193" s="13" t="inlineStr">
        <is>
          <t>User Account: User Account Authentication</t>
        </is>
      </c>
      <c r="F193" s="74" t="n">
        <v>1</v>
      </c>
      <c r="G193" s="72">
        <f t="array" ref="G193">SUM(IF(ISERROR(FIND(sources[data source],techniques[[#This Row],[data sources]])),0,1)*IF(sources[available]="yes",1,0))</f>
        <v/>
      </c>
      <c r="H193" s="73">
        <f t="array" ref="H193">IF(techniques[[#This Row],[technique]]=techniques[[#This Row],[id]],SUM(IF(techniques[[#This Row],[id]]=techniques[technique],1,0))-1,"")</f>
        <v/>
      </c>
      <c r="I193" s="74">
        <f t="array" ref="I193">IF(SUM(IF($C193=detections[],IF(detections[is active]="yes",1,0),0))&gt;0,SUM(IF($C193=detections[],IF(detections[is active]="yes",1,0),0)),"")</f>
        <v/>
      </c>
      <c r="J193" s="74">
        <f t="array" ref="J19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93" s="74">
        <f>IF(AND(ISNUMBER(techniques[[#This Row],[number of sub techniques]]),techniques[[#This Row],[number of sub techniques]]&gt;1),techniques[number of sub techniques],1)</f>
        <v/>
      </c>
      <c r="L193" s="72" t="n"/>
      <c r="M193" s="74">
        <f t="array" ref="M19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9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93" s="26">
        <f>IF(techniques[[#This Row],[detection rules]]&gt;=techniques[[#This Row],[expected detection rules]],1,techniques[[#This Row],[detection rules]]/techniques[[#This Row],[expected detection rules]])</f>
        <v/>
      </c>
      <c r="P19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93" s="29">
        <f>IF(ISERROR(SEARCH(techniques[[#This Row],[id]],techniques[[#This Row],[name]])),"ERROR","")</f>
        <v/>
      </c>
      <c r="S19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94" ht="12.75" customHeight="1">
      <c r="A194" s="74" t="inlineStr">
        <is>
          <t>T1110</t>
        </is>
      </c>
      <c r="B194" s="74" t="inlineStr">
        <is>
          <t>T1110.002</t>
        </is>
      </c>
      <c r="C194" s="13" t="inlineStr">
        <is>
          <t>Password Cracking (T1110.002)</t>
        </is>
      </c>
      <c r="D194" s="13" t="inlineStr">
        <is>
          <t>credential-access</t>
        </is>
      </c>
      <c r="E194" s="13" t="inlineStr">
        <is>
          <t>File: File Access|File: File Creation|Process: Process Access|Process: Process Creation|User Account: User Account Authentication</t>
        </is>
      </c>
      <c r="F194" s="74" t="n">
        <v>5</v>
      </c>
      <c r="G194" s="72">
        <f t="array" ref="G194">SUM(IF(ISERROR(FIND(sources[data source],techniques[[#This Row],[data sources]])),0,1)*IF(sources[available]="yes",1,0))</f>
        <v/>
      </c>
      <c r="H194" s="73">
        <f t="array" ref="H194">IF(techniques[[#This Row],[technique]]=techniques[[#This Row],[id]],SUM(IF(techniques[[#This Row],[id]]=techniques[technique],1,0))-1,"")</f>
        <v/>
      </c>
      <c r="I194" s="74">
        <f t="array" ref="I194">IF(SUM(IF($C194=detections[],IF(detections[is active]="yes",1,0),0))&gt;0,SUM(IF($C194=detections[],IF(detections[is active]="yes",1,0),0)),"")</f>
        <v/>
      </c>
      <c r="J194" s="74">
        <f t="array" ref="J19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94" s="74">
        <f>IF(AND(ISNUMBER(techniques[[#This Row],[number of sub techniques]]),techniques[[#This Row],[number of sub techniques]]&gt;1),techniques[number of sub techniques],1)</f>
        <v/>
      </c>
      <c r="L194" s="72" t="n"/>
      <c r="M194" s="74">
        <f t="array" ref="M19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9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94" s="26">
        <f>IF(techniques[[#This Row],[detection rules]]&gt;=techniques[[#This Row],[expected detection rules]],1,techniques[[#This Row],[detection rules]]/techniques[[#This Row],[expected detection rules]])</f>
        <v/>
      </c>
      <c r="P19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94" s="29">
        <f>IF(ISERROR(SEARCH(techniques[[#This Row],[id]],techniques[[#This Row],[name]])),"ERROR","")</f>
        <v/>
      </c>
      <c r="S19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95" ht="12.75" customHeight="1">
      <c r="A195" s="74" t="inlineStr">
        <is>
          <t>T1110</t>
        </is>
      </c>
      <c r="B195" s="74" t="inlineStr">
        <is>
          <t>T1110.003</t>
        </is>
      </c>
      <c r="C195" s="13" t="inlineStr">
        <is>
          <t>Password Spraying (T1110.003)</t>
        </is>
      </c>
      <c r="D195" s="13" t="inlineStr">
        <is>
          <t>credential-access</t>
        </is>
      </c>
      <c r="E195" s="13" t="inlineStr">
        <is>
          <t>User Account: User Account Authentication</t>
        </is>
      </c>
      <c r="F195" s="74" t="n">
        <v>1</v>
      </c>
      <c r="G195" s="72">
        <f t="array" ref="G195">SUM(IF(ISERROR(FIND(sources[data source],techniques[[#This Row],[data sources]])),0,1)*IF(sources[available]="yes",1,0))</f>
        <v/>
      </c>
      <c r="H195" s="73">
        <f t="array" ref="H195">IF(techniques[[#This Row],[technique]]=techniques[[#This Row],[id]],SUM(IF(techniques[[#This Row],[id]]=techniques[technique],1,0))-1,"")</f>
        <v/>
      </c>
      <c r="I195" s="74">
        <f t="array" ref="I195">IF(SUM(IF($C195=detections[],IF(detections[is active]="yes",1,0),0))&gt;0,SUM(IF($C195=detections[],IF(detections[is active]="yes",1,0),0)),"")</f>
        <v/>
      </c>
      <c r="J195" s="74">
        <f t="array" ref="J19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95" s="74">
        <f>IF(AND(ISNUMBER(techniques[[#This Row],[number of sub techniques]]),techniques[[#This Row],[number of sub techniques]]&gt;1),techniques[number of sub techniques],1)</f>
        <v/>
      </c>
      <c r="L195" s="72" t="n"/>
      <c r="M195" s="74">
        <f t="array" ref="M19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9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95" s="26">
        <f>IF(techniques[[#This Row],[detection rules]]&gt;=techniques[[#This Row],[expected detection rules]],1,techniques[[#This Row],[detection rules]]/techniques[[#This Row],[expected detection rules]])</f>
        <v/>
      </c>
      <c r="P19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95" s="29">
        <f>IF(ISERROR(SEARCH(techniques[[#This Row],[id]],techniques[[#This Row],[name]])),"ERROR","")</f>
        <v/>
      </c>
      <c r="S19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96" ht="12.75" customHeight="1">
      <c r="A196" s="74" t="inlineStr">
        <is>
          <t>T1110</t>
        </is>
      </c>
      <c r="B196" s="74" t="inlineStr">
        <is>
          <t>T1110.004</t>
        </is>
      </c>
      <c r="C196" s="13" t="inlineStr">
        <is>
          <t>Credential Stuffing (T1110.004)</t>
        </is>
      </c>
      <c r="D196" s="13" t="inlineStr">
        <is>
          <t>credential-access</t>
        </is>
      </c>
      <c r="E196" s="13" t="inlineStr">
        <is>
          <t>User Account: User Account Authentication</t>
        </is>
      </c>
      <c r="F196" s="74" t="n">
        <v>1</v>
      </c>
      <c r="G196" s="72">
        <f t="array" ref="G196">SUM(IF(ISERROR(FIND(sources[data source],techniques[[#This Row],[data sources]])),0,1)*IF(sources[available]="yes",1,0))</f>
        <v/>
      </c>
      <c r="H196" s="73">
        <f t="array" ref="H196">IF(techniques[[#This Row],[technique]]=techniques[[#This Row],[id]],SUM(IF(techniques[[#This Row],[id]]=techniques[technique],1,0))-1,"")</f>
        <v/>
      </c>
      <c r="I196" s="74">
        <f t="array" ref="I196">IF(SUM(IF($C196=detections[],IF(detections[is active]="yes",1,0),0))&gt;0,SUM(IF($C196=detections[],IF(detections[is active]="yes",1,0),0)),"")</f>
        <v/>
      </c>
      <c r="J196" s="74">
        <f t="array" ref="J19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96" s="74">
        <f>IF(AND(ISNUMBER(techniques[[#This Row],[number of sub techniques]]),techniques[[#This Row],[number of sub techniques]]&gt;1),techniques[number of sub techniques],1)</f>
        <v/>
      </c>
      <c r="L196" s="72" t="n"/>
      <c r="M196" s="74">
        <f t="array" ref="M19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9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96" s="26">
        <f>IF(techniques[[#This Row],[detection rules]]&gt;=techniques[[#This Row],[expected detection rules]],1,techniques[[#This Row],[detection rules]]/techniques[[#This Row],[expected detection rules]])</f>
        <v/>
      </c>
      <c r="P19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96" s="29">
        <f>IF(ISERROR(SEARCH(techniques[[#This Row],[id]],techniques[[#This Row],[name]])),"ERROR","")</f>
        <v/>
      </c>
      <c r="S19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97" ht="12.75" customHeight="1">
      <c r="A197" s="74" t="inlineStr">
        <is>
          <t>T1111</t>
        </is>
      </c>
      <c r="B197" s="74" t="inlineStr">
        <is>
          <t>T1111</t>
        </is>
      </c>
      <c r="C197" s="13" t="inlineStr">
        <is>
          <t>Multi-Factor Authentication Interception (T1111)</t>
        </is>
      </c>
      <c r="D197" s="13" t="inlineStr">
        <is>
          <t>credential-access</t>
        </is>
      </c>
      <c r="E197" s="13" t="inlineStr">
        <is>
          <t>Driver: Driver Load|Logon Session: Logon Session Creation|Process: OS API Execution|Process: Process Access|Process: Process Creation|Windows Registry: Windows Registry Key Modification</t>
        </is>
      </c>
      <c r="F197" s="74" t="n">
        <v>6</v>
      </c>
      <c r="G197" s="72">
        <f t="array" ref="G197">SUM(IF(ISERROR(FIND(sources[data source],techniques[[#This Row],[data sources]])),0,1)*IF(sources[available]="yes",1,0))</f>
        <v/>
      </c>
      <c r="H197" s="73">
        <f t="array" ref="H197">IF(techniques[[#This Row],[technique]]=techniques[[#This Row],[id]],SUM(IF(techniques[[#This Row],[id]]=techniques[technique],1,0))-1,"")</f>
        <v/>
      </c>
      <c r="I197" s="74">
        <f t="array" ref="I197">IF(SUM(IF($C197=detections[],IF(detections[is active]="yes",1,0),0))&gt;0,SUM(IF($C197=detections[],IF(detections[is active]="yes",1,0),0)),"")</f>
        <v/>
      </c>
      <c r="J197" s="74">
        <f t="array" ref="J19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97" s="74">
        <f>IF(AND(ISNUMBER(techniques[[#This Row],[number of sub techniques]]),techniques[[#This Row],[number of sub techniques]]&gt;1),techniques[number of sub techniques],1)</f>
        <v/>
      </c>
      <c r="L197" s="72" t="n"/>
      <c r="M197" s="74">
        <f t="array" ref="M19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9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97" s="26">
        <f>IF(techniques[[#This Row],[detection rules]]&gt;=techniques[[#This Row],[expected detection rules]],1,techniques[[#This Row],[detection rules]]/techniques[[#This Row],[expected detection rules]])</f>
        <v/>
      </c>
      <c r="P19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97" s="29">
        <f>IF(ISERROR(SEARCH(techniques[[#This Row],[id]],techniques[[#This Row],[name]])),"ERROR","")</f>
        <v/>
      </c>
      <c r="S19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98" ht="12.75" customHeight="1">
      <c r="A198" s="74" t="inlineStr">
        <is>
          <t>T1112</t>
        </is>
      </c>
      <c r="B198" s="74" t="inlineStr">
        <is>
          <t>T1112</t>
        </is>
      </c>
      <c r="C198" s="13" t="inlineStr">
        <is>
          <t>Modify Registry (T1112)</t>
        </is>
      </c>
      <c r="D198" s="13" t="inlineStr">
        <is>
          <t>defense-impairment|persistence</t>
        </is>
      </c>
      <c r="E198" s="13" t="inlineStr">
        <is>
          <t>Process: Process Creation|Windows Registry: Windows Registry Key Modification</t>
        </is>
      </c>
      <c r="F198" s="74" t="n">
        <v>2</v>
      </c>
      <c r="G198" s="72">
        <f t="array" ref="G198">SUM(IF(ISERROR(FIND(sources[data source],techniques[[#This Row],[data sources]])),0,1)*IF(sources[available]="yes",1,0))</f>
        <v/>
      </c>
      <c r="H198" s="73">
        <f t="array" ref="H198">IF(techniques[[#This Row],[technique]]=techniques[[#This Row],[id]],SUM(IF(techniques[[#This Row],[id]]=techniques[technique],1,0))-1,"")</f>
        <v/>
      </c>
      <c r="I198" s="74">
        <f t="array" ref="I198">IF(SUM(IF($C198=detections[],IF(detections[is active]="yes",1,0),0))&gt;0,SUM(IF($C198=detections[],IF(detections[is active]="yes",1,0),0)),"")</f>
        <v/>
      </c>
      <c r="J198" s="74">
        <f t="array" ref="J19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98" s="74">
        <f>IF(AND(ISNUMBER(techniques[[#This Row],[number of sub techniques]]),techniques[[#This Row],[number of sub techniques]]&gt;1),techniques[number of sub techniques],1)</f>
        <v/>
      </c>
      <c r="L198" s="72" t="n"/>
      <c r="M198" s="74">
        <f t="array" ref="M19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9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98" s="26">
        <f>IF(techniques[[#This Row],[detection rules]]&gt;=techniques[[#This Row],[expected detection rules]],1,techniques[[#This Row],[detection rules]]/techniques[[#This Row],[expected detection rules]])</f>
        <v/>
      </c>
      <c r="P19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98" s="29">
        <f>IF(ISERROR(SEARCH(techniques[[#This Row],[id]],techniques[[#This Row],[name]])),"ERROR","")</f>
        <v/>
      </c>
      <c r="S19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199" ht="12.75" customHeight="1">
      <c r="A199" s="74" t="inlineStr">
        <is>
          <t>T1113</t>
        </is>
      </c>
      <c r="B199" s="74" t="inlineStr">
        <is>
          <t>T1113</t>
        </is>
      </c>
      <c r="C199" s="13" t="inlineStr">
        <is>
          <t>Screen Capture (T1113)</t>
        </is>
      </c>
      <c r="D199" s="13" t="inlineStr">
        <is>
          <t>collection</t>
        </is>
      </c>
      <c r="E199" s="13" t="inlineStr">
        <is>
          <t>Module: Module Load|Process: Process Creation</t>
        </is>
      </c>
      <c r="F199" s="74" t="n">
        <v>2</v>
      </c>
      <c r="G199" s="72">
        <f t="array" ref="G199">SUM(IF(ISERROR(FIND(sources[data source],techniques[[#This Row],[data sources]])),0,1)*IF(sources[available]="yes",1,0))</f>
        <v/>
      </c>
      <c r="H199" s="73">
        <f t="array" ref="H199">IF(techniques[[#This Row],[technique]]=techniques[[#This Row],[id]],SUM(IF(techniques[[#This Row],[id]]=techniques[technique],1,0))-1,"")</f>
        <v/>
      </c>
      <c r="I199" s="74">
        <f t="array" ref="I199">IF(SUM(IF($C199=detections[],IF(detections[is active]="yes",1,0),0))&gt;0,SUM(IF($C199=detections[],IF(detections[is active]="yes",1,0),0)),"")</f>
        <v/>
      </c>
      <c r="J199" s="74">
        <f t="array" ref="J19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199" s="74">
        <f>IF(AND(ISNUMBER(techniques[[#This Row],[number of sub techniques]]),techniques[[#This Row],[number of sub techniques]]&gt;1),techniques[number of sub techniques],1)</f>
        <v/>
      </c>
      <c r="L199" s="72" t="n"/>
      <c r="M199" s="74">
        <f t="array" ref="M19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19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199" s="26">
        <f>IF(techniques[[#This Row],[detection rules]]&gt;=techniques[[#This Row],[expected detection rules]],1,techniques[[#This Row],[detection rules]]/techniques[[#This Row],[expected detection rules]])</f>
        <v/>
      </c>
      <c r="P19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199" s="29">
        <f>IF(ISERROR(SEARCH(techniques[[#This Row],[id]],techniques[[#This Row],[name]])),"ERROR","")</f>
        <v/>
      </c>
      <c r="S19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00" ht="12.75" customHeight="1">
      <c r="A200" s="74" t="inlineStr">
        <is>
          <t>T1114</t>
        </is>
      </c>
      <c r="B200" s="74" t="inlineStr">
        <is>
          <t>T1114</t>
        </is>
      </c>
      <c r="C200" s="13" t="inlineStr">
        <is>
          <t>Email Collection (T1114)</t>
        </is>
      </c>
      <c r="D200" s="13" t="inlineStr">
        <is>
          <t>collection</t>
        </is>
      </c>
      <c r="E200" s="13" t="inlineStr">
        <is>
          <t>Application Log: Application Log Content|Command: Command Execution|File: File Access|Logon Session: Logon Session Creation|Network Share: Network Share Access|Network Traffic: Network Connection Creation|Process: Process Creation</t>
        </is>
      </c>
      <c r="F200" s="74" t="n">
        <v>7</v>
      </c>
      <c r="G200" s="72">
        <f t="array" ref="G200">SUM(IF(ISERROR(FIND(sources[data source],techniques[[#This Row],[data sources]])),0,1)*IF(sources[available]="yes",1,0))</f>
        <v/>
      </c>
      <c r="H200" s="73">
        <f t="array" ref="H200">IF(techniques[[#This Row],[technique]]=techniques[[#This Row],[id]],SUM(IF(techniques[[#This Row],[id]]=techniques[technique],1,0))-1,"")</f>
        <v/>
      </c>
      <c r="I200" s="74">
        <f t="array" ref="I200">IF(SUM(IF($C200=detections[],IF(detections[is active]="yes",1,0),0))&gt;0,SUM(IF($C200=detections[],IF(detections[is active]="yes",1,0),0)),"")</f>
        <v/>
      </c>
      <c r="J200" s="74">
        <f t="array" ref="J20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00" s="74">
        <f>IF(AND(ISNUMBER(techniques[[#This Row],[number of sub techniques]]),techniques[[#This Row],[number of sub techniques]]&gt;1),techniques[number of sub techniques],1)</f>
        <v/>
      </c>
      <c r="L200" s="72" t="n"/>
      <c r="M200" s="74">
        <f t="array" ref="M20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0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00" s="26">
        <f>IF(techniques[[#This Row],[detection rules]]&gt;=techniques[[#This Row],[expected detection rules]],1,techniques[[#This Row],[detection rules]]/techniques[[#This Row],[expected detection rules]])</f>
        <v/>
      </c>
      <c r="P20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00" s="29">
        <f>IF(ISERROR(SEARCH(techniques[[#This Row],[id]],techniques[[#This Row],[name]])),"ERROR","")</f>
        <v/>
      </c>
      <c r="S20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01" ht="12.75" customHeight="1">
      <c r="A201" s="74" t="inlineStr">
        <is>
          <t>T1114</t>
        </is>
      </c>
      <c r="B201" s="74" t="inlineStr">
        <is>
          <t>T1114.001</t>
        </is>
      </c>
      <c r="C201" s="13" t="inlineStr">
        <is>
          <t>Local Email Collection (T1114.001)</t>
        </is>
      </c>
      <c r="D201" s="13" t="inlineStr">
        <is>
          <t>collection</t>
        </is>
      </c>
      <c r="E201" s="13" t="inlineStr">
        <is>
          <t>File: File Access|File: File Creation|Network Traffic: Network Connection Creation|Process: Process Creation</t>
        </is>
      </c>
      <c r="F201" s="74" t="n">
        <v>4</v>
      </c>
      <c r="G201" s="72">
        <f t="array" ref="G201">SUM(IF(ISERROR(FIND(sources[data source],techniques[[#This Row],[data sources]])),0,1)*IF(sources[available]="yes",1,0))</f>
        <v/>
      </c>
      <c r="H201" s="73">
        <f t="array" ref="H201">IF(techniques[[#This Row],[technique]]=techniques[[#This Row],[id]],SUM(IF(techniques[[#This Row],[id]]=techniques[technique],1,0))-1,"")</f>
        <v/>
      </c>
      <c r="I201" s="74">
        <f t="array" ref="I201">IF(SUM(IF($C201=detections[],IF(detections[is active]="yes",1,0),0))&gt;0,SUM(IF($C201=detections[],IF(detections[is active]="yes",1,0),0)),"")</f>
        <v/>
      </c>
      <c r="J201" s="74">
        <f t="array" ref="J20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01" s="74">
        <f>IF(AND(ISNUMBER(techniques[[#This Row],[number of sub techniques]]),techniques[[#This Row],[number of sub techniques]]&gt;1),techniques[number of sub techniques],1)</f>
        <v/>
      </c>
      <c r="L201" s="72" t="n"/>
      <c r="M201" s="74">
        <f t="array" ref="M20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0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01" s="26">
        <f>IF(techniques[[#This Row],[detection rules]]&gt;=techniques[[#This Row],[expected detection rules]],1,techniques[[#This Row],[detection rules]]/techniques[[#This Row],[expected detection rules]])</f>
        <v/>
      </c>
      <c r="P20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01" s="29">
        <f>IF(ISERROR(SEARCH(techniques[[#This Row],[id]],techniques[[#This Row],[name]])),"ERROR","")</f>
        <v/>
      </c>
      <c r="S20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02" ht="12.75" customHeight="1">
      <c r="A202" s="74" t="inlineStr">
        <is>
          <t>T1114</t>
        </is>
      </c>
      <c r="B202" s="74" t="inlineStr">
        <is>
          <t>T1114.002</t>
        </is>
      </c>
      <c r="C202" s="13" t="inlineStr">
        <is>
          <t>Remote Email Collection (T1114.002)</t>
        </is>
      </c>
      <c r="D202" s="13" t="inlineStr">
        <is>
          <t>collection</t>
        </is>
      </c>
      <c r="E202" s="13" t="inlineStr">
        <is>
          <t>Application Log: Application Log Content|Command: Command Execution|Logon Session: Logon Session Creation|Network Traffic: Network Connection Creation</t>
        </is>
      </c>
      <c r="F202" s="74" t="n">
        <v>4</v>
      </c>
      <c r="G202" s="72">
        <f t="array" ref="G202">SUM(IF(ISERROR(FIND(sources[data source],techniques[[#This Row],[data sources]])),0,1)*IF(sources[available]="yes",1,0))</f>
        <v/>
      </c>
      <c r="H202" s="73">
        <f t="array" ref="H202">IF(techniques[[#This Row],[technique]]=techniques[[#This Row],[id]],SUM(IF(techniques[[#This Row],[id]]=techniques[technique],1,0))-1,"")</f>
        <v/>
      </c>
      <c r="I202" s="74">
        <f t="array" ref="I202">IF(SUM(IF($C202=detections[],IF(detections[is active]="yes",1,0),0))&gt;0,SUM(IF($C202=detections[],IF(detections[is active]="yes",1,0),0)),"")</f>
        <v/>
      </c>
      <c r="J202" s="74">
        <f t="array" ref="J20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02" s="74">
        <f>IF(AND(ISNUMBER(techniques[[#This Row],[number of sub techniques]]),techniques[[#This Row],[number of sub techniques]]&gt;1),techniques[number of sub techniques],1)</f>
        <v/>
      </c>
      <c r="L202" s="72" t="n"/>
      <c r="M202" s="74">
        <f t="array" ref="M20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0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02" s="26">
        <f>IF(techniques[[#This Row],[detection rules]]&gt;=techniques[[#This Row],[expected detection rules]],1,techniques[[#This Row],[detection rules]]/techniques[[#This Row],[expected detection rules]])</f>
        <v/>
      </c>
      <c r="P20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02" s="29">
        <f>IF(ISERROR(SEARCH(techniques[[#This Row],[id]],techniques[[#This Row],[name]])),"ERROR","")</f>
        <v/>
      </c>
      <c r="S20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03" ht="12.75" customHeight="1">
      <c r="A203" s="74" t="inlineStr">
        <is>
          <t>T1114</t>
        </is>
      </c>
      <c r="B203" s="74" t="inlineStr">
        <is>
          <t>T1114.003</t>
        </is>
      </c>
      <c r="C203" s="13" t="inlineStr">
        <is>
          <t>Email Forwarding Rule (T1114.003)</t>
        </is>
      </c>
      <c r="D203" s="13" t="inlineStr">
        <is>
          <t>collection</t>
        </is>
      </c>
      <c r="E203" s="13" t="inlineStr">
        <is>
          <t>Application Log: Application Log Content|Cloud Service: Cloud Service Metadata|Command: Command Execution|File: File Modification|Process: Process Creation</t>
        </is>
      </c>
      <c r="F203" s="74" t="n">
        <v>5</v>
      </c>
      <c r="G203" s="72">
        <f t="array" ref="G203">SUM(IF(ISERROR(FIND(sources[data source],techniques[[#This Row],[data sources]])),0,1)*IF(sources[available]="yes",1,0))</f>
        <v/>
      </c>
      <c r="H203" s="73">
        <f t="array" ref="H203">IF(techniques[[#This Row],[technique]]=techniques[[#This Row],[id]],SUM(IF(techniques[[#This Row],[id]]=techniques[technique],1,0))-1,"")</f>
        <v/>
      </c>
      <c r="I203" s="74">
        <f t="array" ref="I203">IF(SUM(IF($C203=detections[],IF(detections[is active]="yes",1,0),0))&gt;0,SUM(IF($C203=detections[],IF(detections[is active]="yes",1,0),0)),"")</f>
        <v/>
      </c>
      <c r="J203" s="74">
        <f t="array" ref="J20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03" s="74">
        <f>IF(AND(ISNUMBER(techniques[[#This Row],[number of sub techniques]]),techniques[[#This Row],[number of sub techniques]]&gt;1),techniques[number of sub techniques],1)</f>
        <v/>
      </c>
      <c r="L203" s="72" t="n"/>
      <c r="M203" s="74">
        <f t="array" ref="M20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0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03" s="26">
        <f>IF(techniques[[#This Row],[detection rules]]&gt;=techniques[[#This Row],[expected detection rules]],1,techniques[[#This Row],[detection rules]]/techniques[[#This Row],[expected detection rules]])</f>
        <v/>
      </c>
      <c r="P20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03" s="29">
        <f>IF(ISERROR(SEARCH(techniques[[#This Row],[id]],techniques[[#This Row],[name]])),"ERROR","")</f>
        <v/>
      </c>
      <c r="S20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04" ht="12.75" customHeight="1">
      <c r="A204" s="74" t="inlineStr">
        <is>
          <t>T1115</t>
        </is>
      </c>
      <c r="B204" s="74" t="inlineStr">
        <is>
          <t>T1115</t>
        </is>
      </c>
      <c r="C204" s="13" t="inlineStr">
        <is>
          <t>Clipboard Data (T1115)</t>
        </is>
      </c>
      <c r="D204" s="13" t="inlineStr">
        <is>
          <t>collection</t>
        </is>
      </c>
      <c r="E204" s="13" t="inlineStr">
        <is>
          <t>Process: Process Access|Process: Process Creation</t>
        </is>
      </c>
      <c r="F204" s="74" t="n">
        <v>2</v>
      </c>
      <c r="G204" s="72">
        <f t="array" ref="G204">SUM(IF(ISERROR(FIND(sources[data source],techniques[[#This Row],[data sources]])),0,1)*IF(sources[available]="yes",1,0))</f>
        <v/>
      </c>
      <c r="H204" s="73">
        <f t="array" ref="H204">IF(techniques[[#This Row],[technique]]=techniques[[#This Row],[id]],SUM(IF(techniques[[#This Row],[id]]=techniques[technique],1,0))-1,"")</f>
        <v/>
      </c>
      <c r="I204" s="74">
        <f t="array" ref="I204">IF(SUM(IF($C204=detections[],IF(detections[is active]="yes",1,0),0))&gt;0,SUM(IF($C204=detections[],IF(detections[is active]="yes",1,0),0)),"")</f>
        <v/>
      </c>
      <c r="J204" s="74">
        <f t="array" ref="J20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04" s="74">
        <f>IF(AND(ISNUMBER(techniques[[#This Row],[number of sub techniques]]),techniques[[#This Row],[number of sub techniques]]&gt;1),techniques[number of sub techniques],1)</f>
        <v/>
      </c>
      <c r="L204" s="72" t="n"/>
      <c r="M204" s="74">
        <f t="array" ref="M20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0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04" s="26">
        <f>IF(techniques[[#This Row],[detection rules]]&gt;=techniques[[#This Row],[expected detection rules]],1,techniques[[#This Row],[detection rules]]/techniques[[#This Row],[expected detection rules]])</f>
        <v/>
      </c>
      <c r="P20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04" s="29">
        <f>IF(ISERROR(SEARCH(techniques[[#This Row],[id]],techniques[[#This Row],[name]])),"ERROR","")</f>
        <v/>
      </c>
      <c r="S20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05" ht="12.75" customHeight="1">
      <c r="A205" s="74" t="inlineStr">
        <is>
          <t>T1119</t>
        </is>
      </c>
      <c r="B205" s="74" t="inlineStr">
        <is>
          <t>T1119</t>
        </is>
      </c>
      <c r="C205" s="13" t="inlineStr">
        <is>
          <t>Automated Collection (T1119)</t>
        </is>
      </c>
      <c r="D205" s="13" t="inlineStr">
        <is>
          <t>collection</t>
        </is>
      </c>
      <c r="E205" s="13" t="inlineStr">
        <is>
          <t>File: File Access|File: File Creation|Process: Process Creation|Script: Script Execution|User Account: User Account Authentication</t>
        </is>
      </c>
      <c r="F205" s="74" t="n">
        <v>5</v>
      </c>
      <c r="G205" s="72">
        <f t="array" ref="G205">SUM(IF(ISERROR(FIND(sources[data source],techniques[[#This Row],[data sources]])),0,1)*IF(sources[available]="yes",1,0))</f>
        <v/>
      </c>
      <c r="H205" s="73">
        <f t="array" ref="H205">IF(techniques[[#This Row],[technique]]=techniques[[#This Row],[id]],SUM(IF(techniques[[#This Row],[id]]=techniques[technique],1,0))-1,"")</f>
        <v/>
      </c>
      <c r="I205" s="74">
        <f t="array" ref="I205">IF(SUM(IF($C205=detections[],IF(detections[is active]="yes",1,0),0))&gt;0,SUM(IF($C205=detections[],IF(detections[is active]="yes",1,0),0)),"")</f>
        <v/>
      </c>
      <c r="J205" s="74">
        <f t="array" ref="J20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05" s="74">
        <f>IF(AND(ISNUMBER(techniques[[#This Row],[number of sub techniques]]),techniques[[#This Row],[number of sub techniques]]&gt;1),techniques[number of sub techniques],1)</f>
        <v/>
      </c>
      <c r="L205" s="72" t="n"/>
      <c r="M205" s="74">
        <f t="array" ref="M20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0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05" s="26">
        <f>IF(techniques[[#This Row],[detection rules]]&gt;=techniques[[#This Row],[expected detection rules]],1,techniques[[#This Row],[detection rules]]/techniques[[#This Row],[expected detection rules]])</f>
        <v/>
      </c>
      <c r="P20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05" s="29">
        <f>IF(ISERROR(SEARCH(techniques[[#This Row],[id]],techniques[[#This Row],[name]])),"ERROR","")</f>
        <v/>
      </c>
      <c r="S20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06" ht="12.75" customHeight="1">
      <c r="A206" s="74" t="inlineStr">
        <is>
          <t>T1120</t>
        </is>
      </c>
      <c r="B206" s="74" t="inlineStr">
        <is>
          <t>T1120</t>
        </is>
      </c>
      <c r="C206" s="13" t="inlineStr">
        <is>
          <t>Peripheral Device Discovery (T1120)</t>
        </is>
      </c>
      <c r="D206" s="13" t="inlineStr">
        <is>
          <t>discovery</t>
        </is>
      </c>
      <c r="E206" s="13" t="inlineStr">
        <is>
          <t>Drive: Drive Access|File: File Access|Process: Process Access|Process: Process Creation</t>
        </is>
      </c>
      <c r="F206" s="74" t="n">
        <v>4</v>
      </c>
      <c r="G206" s="72">
        <f t="array" ref="G206">SUM(IF(ISERROR(FIND(sources[data source],techniques[[#This Row],[data sources]])),0,1)*IF(sources[available]="yes",1,0))</f>
        <v/>
      </c>
      <c r="H206" s="73">
        <f t="array" ref="H206">IF(techniques[[#This Row],[technique]]=techniques[[#This Row],[id]],SUM(IF(techniques[[#This Row],[id]]=techniques[technique],1,0))-1,"")</f>
        <v/>
      </c>
      <c r="I206" s="74">
        <f t="array" ref="I206">IF(SUM(IF($C206=detections[],IF(detections[is active]="yes",1,0),0))&gt;0,SUM(IF($C206=detections[],IF(detections[is active]="yes",1,0),0)),"")</f>
        <v/>
      </c>
      <c r="J206" s="74">
        <f t="array" ref="J20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06" s="74">
        <f>IF(AND(ISNUMBER(techniques[[#This Row],[number of sub techniques]]),techniques[[#This Row],[number of sub techniques]]&gt;1),techniques[number of sub techniques],1)</f>
        <v/>
      </c>
      <c r="L206" s="72" t="n"/>
      <c r="M206" s="74">
        <f t="array" ref="M20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0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06" s="26">
        <f>IF(techniques[[#This Row],[detection rules]]&gt;=techniques[[#This Row],[expected detection rules]],1,techniques[[#This Row],[detection rules]]/techniques[[#This Row],[expected detection rules]])</f>
        <v/>
      </c>
      <c r="P20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06" s="29">
        <f>IF(ISERROR(SEARCH(techniques[[#This Row],[id]],techniques[[#This Row],[name]])),"ERROR","")</f>
        <v/>
      </c>
      <c r="S20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07" ht="12.75" customHeight="1">
      <c r="A207" s="74" t="inlineStr">
        <is>
          <t>T1123</t>
        </is>
      </c>
      <c r="B207" s="74" t="inlineStr">
        <is>
          <t>T1123</t>
        </is>
      </c>
      <c r="C207" s="13" t="inlineStr">
        <is>
          <t>Audio Capture (T1123)</t>
        </is>
      </c>
      <c r="D207" s="13" t="inlineStr">
        <is>
          <t>collection</t>
        </is>
      </c>
      <c r="E207" s="13" t="inlineStr">
        <is>
          <t>File: File Access|File: File Creation|Process: OS API Execution|Process: Process Access|Process: Process Creation</t>
        </is>
      </c>
      <c r="F207" s="74" t="n">
        <v>5</v>
      </c>
      <c r="G207" s="72">
        <f t="array" ref="G207">SUM(IF(ISERROR(FIND(sources[data source],techniques[[#This Row],[data sources]])),0,1)*IF(sources[available]="yes",1,0))</f>
        <v/>
      </c>
      <c r="H207" s="73">
        <f t="array" ref="H207">IF(techniques[[#This Row],[technique]]=techniques[[#This Row],[id]],SUM(IF(techniques[[#This Row],[id]]=techniques[technique],1,0))-1,"")</f>
        <v/>
      </c>
      <c r="I207" s="74">
        <f t="array" ref="I207">IF(SUM(IF($C207=detections[],IF(detections[is active]="yes",1,0),0))&gt;0,SUM(IF($C207=detections[],IF(detections[is active]="yes",1,0),0)),"")</f>
        <v/>
      </c>
      <c r="J207" s="74">
        <f t="array" ref="J20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07" s="74">
        <f>IF(AND(ISNUMBER(techniques[[#This Row],[number of sub techniques]]),techniques[[#This Row],[number of sub techniques]]&gt;1),techniques[number of sub techniques],1)</f>
        <v/>
      </c>
      <c r="L207" s="72" t="n"/>
      <c r="M207" s="74">
        <f t="array" ref="M20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0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07" s="26">
        <f>IF(techniques[[#This Row],[detection rules]]&gt;=techniques[[#This Row],[expected detection rules]],1,techniques[[#This Row],[detection rules]]/techniques[[#This Row],[expected detection rules]])</f>
        <v/>
      </c>
      <c r="P20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07" s="29">
        <f>IF(ISERROR(SEARCH(techniques[[#This Row],[id]],techniques[[#This Row],[name]])),"ERROR","")</f>
        <v/>
      </c>
      <c r="S20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08" ht="12.75" customHeight="1">
      <c r="A208" s="74" t="inlineStr">
        <is>
          <t>T1124</t>
        </is>
      </c>
      <c r="B208" s="74" t="inlineStr">
        <is>
          <t>T1124</t>
        </is>
      </c>
      <c r="C208" s="13" t="inlineStr">
        <is>
          <t>System Time Discovery (T1124)</t>
        </is>
      </c>
      <c r="D208" s="13" t="inlineStr">
        <is>
          <t>discovery</t>
        </is>
      </c>
      <c r="E208" s="13" t="inlineStr">
        <is>
          <t>Command: Command Execution|File: File Creation|File: File Modification|Module: Module Load|Process: OS API Execution|Process: Process Access|Process: Process Creation|Process: Process Metadata|Scheduled Job: Scheduled Job Creation|Scheduled Job: Scheduled Job Metadata|User Account: User Account Authentication</t>
        </is>
      </c>
      <c r="F208" s="74" t="n">
        <v>11</v>
      </c>
      <c r="G208" s="72">
        <f t="array" ref="G208">SUM(IF(ISERROR(FIND(sources[data source],techniques[[#This Row],[data sources]])),0,1)*IF(sources[available]="yes",1,0))</f>
        <v/>
      </c>
      <c r="H208" s="73">
        <f t="array" ref="H208">IF(techniques[[#This Row],[technique]]=techniques[[#This Row],[id]],SUM(IF(techniques[[#This Row],[id]]=techniques[technique],1,0))-1,"")</f>
        <v/>
      </c>
      <c r="I208" s="74">
        <f t="array" ref="I208">IF(SUM(IF($C208=detections[],IF(detections[is active]="yes",1,0),0))&gt;0,SUM(IF($C208=detections[],IF(detections[is active]="yes",1,0),0)),"")</f>
        <v/>
      </c>
      <c r="J208" s="74">
        <f t="array" ref="J20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08" s="74">
        <f>IF(AND(ISNUMBER(techniques[[#This Row],[number of sub techniques]]),techniques[[#This Row],[number of sub techniques]]&gt;1),techniques[number of sub techniques],1)</f>
        <v/>
      </c>
      <c r="L208" s="72" t="n"/>
      <c r="M208" s="74">
        <f t="array" ref="M20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0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08" s="26">
        <f>IF(techniques[[#This Row],[detection rules]]&gt;=techniques[[#This Row],[expected detection rules]],1,techniques[[#This Row],[detection rules]]/techniques[[#This Row],[expected detection rules]])</f>
        <v/>
      </c>
      <c r="P20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08" s="29">
        <f>IF(ISERROR(SEARCH(techniques[[#This Row],[id]],techniques[[#This Row],[name]])),"ERROR","")</f>
        <v/>
      </c>
      <c r="S20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09" ht="12.75" customHeight="1">
      <c r="A209" s="74" t="inlineStr">
        <is>
          <t>T1125</t>
        </is>
      </c>
      <c r="B209" s="74" t="inlineStr">
        <is>
          <t>T1125</t>
        </is>
      </c>
      <c r="C209" s="13" t="inlineStr">
        <is>
          <t>Video Capture (T1125)</t>
        </is>
      </c>
      <c r="D209" s="13" t="inlineStr">
        <is>
          <t>collection</t>
        </is>
      </c>
      <c r="E209" s="13" t="inlineStr">
        <is>
          <t>Command: Command Execution|File: File Access|File: File Creation|Module: Module Load|Network Traffic: Network Connection Creation|Network Traffic: Network Traffic Content|Process: OS API Execution|Process: Process Creation|Process: Process Metadata</t>
        </is>
      </c>
      <c r="F209" s="74" t="n">
        <v>9</v>
      </c>
      <c r="G209" s="72">
        <f t="array" ref="G209">SUM(IF(ISERROR(FIND(sources[data source],techniques[[#This Row],[data sources]])),0,1)*IF(sources[available]="yes",1,0))</f>
        <v/>
      </c>
      <c r="H209" s="73">
        <f t="array" ref="H209">IF(techniques[[#This Row],[technique]]=techniques[[#This Row],[id]],SUM(IF(techniques[[#This Row],[id]]=techniques[technique],1,0))-1,"")</f>
        <v/>
      </c>
      <c r="I209" s="74">
        <f t="array" ref="I209">IF(SUM(IF($C209=detections[],IF(detections[is active]="yes",1,0),0))&gt;0,SUM(IF($C209=detections[],IF(detections[is active]="yes",1,0),0)),"")</f>
        <v/>
      </c>
      <c r="J209" s="74">
        <f t="array" ref="J20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09" s="74">
        <f>IF(AND(ISNUMBER(techniques[[#This Row],[number of sub techniques]]),techniques[[#This Row],[number of sub techniques]]&gt;1),techniques[number of sub techniques],1)</f>
        <v/>
      </c>
      <c r="L209" s="72" t="n"/>
      <c r="M209" s="74">
        <f t="array" ref="M20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0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09" s="26">
        <f>IF(techniques[[#This Row],[detection rules]]&gt;=techniques[[#This Row],[expected detection rules]],1,techniques[[#This Row],[detection rules]]/techniques[[#This Row],[expected detection rules]])</f>
        <v/>
      </c>
      <c r="P20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09" s="29">
        <f>IF(ISERROR(SEARCH(techniques[[#This Row],[id]],techniques[[#This Row],[name]])),"ERROR","")</f>
        <v/>
      </c>
      <c r="S20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10" ht="12.75" customHeight="1">
      <c r="A210" s="74" t="inlineStr">
        <is>
          <t>T1127</t>
        </is>
      </c>
      <c r="B210" s="74" t="inlineStr">
        <is>
          <t>T1127</t>
        </is>
      </c>
      <c r="C210" s="13" t="inlineStr">
        <is>
          <t>Trusted Developer Utilities Proxy Execution (T1127)</t>
        </is>
      </c>
      <c r="D210" s="13" t="inlineStr">
        <is>
          <t>stealth|execution</t>
        </is>
      </c>
      <c r="E210" s="13" t="inlineStr">
        <is>
          <t>File: File Creation|Module: Module Load|Network Traffic: Network Connection Creation|Process: Process Creation|Process: Process Metadata</t>
        </is>
      </c>
      <c r="F210" s="74" t="n">
        <v>5</v>
      </c>
      <c r="G210" s="72">
        <f t="array" ref="G210">SUM(IF(ISERROR(FIND(sources[data source],techniques[[#This Row],[data sources]])),0,1)*IF(sources[available]="yes",1,0))</f>
        <v/>
      </c>
      <c r="H210" s="73">
        <f t="array" ref="H210">IF(techniques[[#This Row],[technique]]=techniques[[#This Row],[id]],SUM(IF(techniques[[#This Row],[id]]=techniques[technique],1,0))-1,"")</f>
        <v/>
      </c>
      <c r="I210" s="74">
        <f t="array" ref="I210">IF(SUM(IF($C210=detections[],IF(detections[is active]="yes",1,0),0))&gt;0,SUM(IF($C210=detections[],IF(detections[is active]="yes",1,0),0)),"")</f>
        <v/>
      </c>
      <c r="J210" s="74">
        <f t="array" ref="J21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10" s="74">
        <f>IF(AND(ISNUMBER(techniques[[#This Row],[number of sub techniques]]),techniques[[#This Row],[number of sub techniques]]&gt;1),techniques[number of sub techniques],1)</f>
        <v/>
      </c>
      <c r="L210" s="72" t="n"/>
      <c r="M210" s="74">
        <f t="array" ref="M21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1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10" s="26">
        <f>IF(techniques[[#This Row],[detection rules]]&gt;=techniques[[#This Row],[expected detection rules]],1,techniques[[#This Row],[detection rules]]/techniques[[#This Row],[expected detection rules]])</f>
        <v/>
      </c>
      <c r="P21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10" s="29">
        <f>IF(ISERROR(SEARCH(techniques[[#This Row],[id]],techniques[[#This Row],[name]])),"ERROR","")</f>
        <v/>
      </c>
      <c r="S21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11" ht="12.75" customHeight="1">
      <c r="A211" s="74" t="inlineStr">
        <is>
          <t>T1127</t>
        </is>
      </c>
      <c r="B211" s="74" t="inlineStr">
        <is>
          <t>T1127.001</t>
        </is>
      </c>
      <c r="C211" s="13" t="inlineStr">
        <is>
          <t>MSBuild (T1127.001)</t>
        </is>
      </c>
      <c r="D211" s="13" t="inlineStr">
        <is>
          <t>stealth|execution</t>
        </is>
      </c>
      <c r="E211" s="13" t="inlineStr">
        <is>
          <t>File: File Creation|Module: Module Load|Network Traffic: Network Connection Creation|Process: Process Access|Process: Process Creation|Process: Process Metadata|Process: Process Modification|Script: Script Execution</t>
        </is>
      </c>
      <c r="F211" s="74" t="n">
        <v>8</v>
      </c>
      <c r="G211" s="72">
        <f t="array" ref="G211">SUM(IF(ISERROR(FIND(sources[data source],techniques[[#This Row],[data sources]])),0,1)*IF(sources[available]="yes",1,0))</f>
        <v/>
      </c>
      <c r="H211" s="73">
        <f t="array" ref="H211">IF(techniques[[#This Row],[technique]]=techniques[[#This Row],[id]],SUM(IF(techniques[[#This Row],[id]]=techniques[technique],1,0))-1,"")</f>
        <v/>
      </c>
      <c r="I211" s="74">
        <f t="array" ref="I211">IF(SUM(IF($C211=detections[],IF(detections[is active]="yes",1,0),0))&gt;0,SUM(IF($C211=detections[],IF(detections[is active]="yes",1,0),0)),"")</f>
        <v/>
      </c>
      <c r="J211" s="74">
        <f t="array" ref="J21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11" s="74">
        <f>IF(AND(ISNUMBER(techniques[[#This Row],[number of sub techniques]]),techniques[[#This Row],[number of sub techniques]]&gt;1),techniques[number of sub techniques],1)</f>
        <v/>
      </c>
      <c r="L211" s="72" t="n"/>
      <c r="M211" s="74">
        <f t="array" ref="M21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1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11" s="26">
        <f>IF(techniques[[#This Row],[detection rules]]&gt;=techniques[[#This Row],[expected detection rules]],1,techniques[[#This Row],[detection rules]]/techniques[[#This Row],[expected detection rules]])</f>
        <v/>
      </c>
      <c r="P21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11" s="29">
        <f>IF(ISERROR(SEARCH(techniques[[#This Row],[id]],techniques[[#This Row],[name]])),"ERROR","")</f>
        <v/>
      </c>
      <c r="S21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12" ht="12.75" customHeight="1">
      <c r="A212" s="74" t="inlineStr">
        <is>
          <t>T1127</t>
        </is>
      </c>
      <c r="B212" s="74" t="inlineStr">
        <is>
          <t>T1127.002</t>
        </is>
      </c>
      <c r="C212" s="13" t="inlineStr">
        <is>
          <t>ClickOnce (T1127.002)</t>
        </is>
      </c>
      <c r="D212" s="13" t="inlineStr">
        <is>
          <t>stealth|execution</t>
        </is>
      </c>
      <c r="E212" s="13" t="inlineStr">
        <is>
          <t>Module: Module Load|Process: Process Creation|Process: Process Metadata</t>
        </is>
      </c>
      <c r="F212" s="74" t="n">
        <v>3</v>
      </c>
      <c r="G212" s="72">
        <f t="array" ref="G212">SUM(IF(ISERROR(FIND(sources[data source],techniques[[#This Row],[data sources]])),0,1)*IF(sources[available]="yes",1,0))</f>
        <v/>
      </c>
      <c r="H212" s="73">
        <f t="array" ref="H212">IF(techniques[[#This Row],[technique]]=techniques[[#This Row],[id]],SUM(IF(techniques[[#This Row],[id]]=techniques[technique],1,0))-1,"")</f>
        <v/>
      </c>
      <c r="I212" s="74">
        <f t="array" ref="I212">IF(SUM(IF($C212=detections[],IF(detections[is active]="yes",1,0),0))&gt;0,SUM(IF($C212=detections[],IF(detections[is active]="yes",1,0),0)),"")</f>
        <v/>
      </c>
      <c r="J212" s="74">
        <f t="array" ref="J21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12" s="74">
        <f>IF(AND(ISNUMBER(techniques[[#This Row],[number of sub techniques]]),techniques[[#This Row],[number of sub techniques]]&gt;1),techniques[number of sub techniques],1)</f>
        <v/>
      </c>
      <c r="L212" s="72" t="n"/>
      <c r="M212" s="74">
        <f t="array" ref="M21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1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12" s="26">
        <f>IF(techniques[[#This Row],[detection rules]]&gt;=techniques[[#This Row],[expected detection rules]],1,techniques[[#This Row],[detection rules]]/techniques[[#This Row],[expected detection rules]])</f>
        <v/>
      </c>
      <c r="P21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12" s="29">
        <f>IF(ISERROR(SEARCH(techniques[[#This Row],[id]],techniques[[#This Row],[name]])),"ERROR","")</f>
        <v/>
      </c>
      <c r="S21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13" ht="12.75" customHeight="1">
      <c r="A213" s="74" t="inlineStr">
        <is>
          <t>T1127</t>
        </is>
      </c>
      <c r="B213" s="74" t="inlineStr">
        <is>
          <t>T1127.003</t>
        </is>
      </c>
      <c r="C213" s="13" t="inlineStr">
        <is>
          <t>JamPlus (T1127.003)</t>
        </is>
      </c>
      <c r="D213" s="13" t="inlineStr">
        <is>
          <t>stealth|execution</t>
        </is>
      </c>
      <c r="E213" s="13" t="inlineStr">
        <is>
          <t>File: File Creation|Network Traffic: Network Connection Creation|Process: Process Creation|Process: Process Metadata</t>
        </is>
      </c>
      <c r="F213" s="74" t="n">
        <v>4</v>
      </c>
      <c r="G213" s="72">
        <f t="array" ref="G213">SUM(IF(ISERROR(FIND(sources[data source],techniques[[#This Row],[data sources]])),0,1)*IF(sources[available]="yes",1,0))</f>
        <v/>
      </c>
      <c r="H213" s="73">
        <f t="array" ref="H213">IF(techniques[[#This Row],[technique]]=techniques[[#This Row],[id]],SUM(IF(techniques[[#This Row],[id]]=techniques[technique],1,0))-1,"")</f>
        <v/>
      </c>
      <c r="I213" s="74">
        <f t="array" ref="I213">IF(SUM(IF($C213=detections[],IF(detections[is active]="yes",1,0),0))&gt;0,SUM(IF($C213=detections[],IF(detections[is active]="yes",1,0),0)),"")</f>
        <v/>
      </c>
      <c r="J213" s="74">
        <f t="array" ref="J21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13" s="74">
        <f>IF(AND(ISNUMBER(techniques[[#This Row],[number of sub techniques]]),techniques[[#This Row],[number of sub techniques]]&gt;1),techniques[number of sub techniques],1)</f>
        <v/>
      </c>
      <c r="L213" s="72" t="n"/>
      <c r="M213" s="74">
        <f t="array" ref="M21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1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13" s="26">
        <f>IF(techniques[[#This Row],[detection rules]]&gt;=techniques[[#This Row],[expected detection rules]],1,techniques[[#This Row],[detection rules]]/techniques[[#This Row],[expected detection rules]])</f>
        <v/>
      </c>
      <c r="P21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13" s="29">
        <f>IF(ISERROR(SEARCH(techniques[[#This Row],[id]],techniques[[#This Row],[name]])),"ERROR","")</f>
        <v/>
      </c>
      <c r="S21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14" ht="12.75" customHeight="1">
      <c r="A214" s="74" t="inlineStr">
        <is>
          <t>T1129</t>
        </is>
      </c>
      <c r="B214" s="74" t="inlineStr">
        <is>
          <t>T1129</t>
        </is>
      </c>
      <c r="C214" s="13" t="inlineStr">
        <is>
          <t>Shared Modules (T1129)</t>
        </is>
      </c>
      <c r="D214" s="13" t="inlineStr">
        <is>
          <t>execution</t>
        </is>
      </c>
      <c r="E214" s="13" t="inlineStr">
        <is>
          <t>File: File Access|File: File Creation|Module: Module Load|Network Traffic: Network Connection Creation|Network Traffic: Network Traffic Content|Process: Process Creation|Process: Process Metadata</t>
        </is>
      </c>
      <c r="F214" s="74" t="n">
        <v>7</v>
      </c>
      <c r="G214" s="72">
        <f t="array" ref="G214">SUM(IF(ISERROR(FIND(sources[data source],techniques[[#This Row],[data sources]])),0,1)*IF(sources[available]="yes",1,0))</f>
        <v/>
      </c>
      <c r="H214" s="73">
        <f t="array" ref="H214">IF(techniques[[#This Row],[technique]]=techniques[[#This Row],[id]],SUM(IF(techniques[[#This Row],[id]]=techniques[technique],1,0))-1,"")</f>
        <v/>
      </c>
      <c r="I214" s="74">
        <f t="array" ref="I214">IF(SUM(IF($C214=detections[],IF(detections[is active]="yes",1,0),0))&gt;0,SUM(IF($C214=detections[],IF(detections[is active]="yes",1,0),0)),"")</f>
        <v/>
      </c>
      <c r="J214" s="74">
        <f t="array" ref="J21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14" s="74">
        <f>IF(AND(ISNUMBER(techniques[[#This Row],[number of sub techniques]]),techniques[[#This Row],[number of sub techniques]]&gt;1),techniques[number of sub techniques],1)</f>
        <v/>
      </c>
      <c r="L214" s="72" t="n"/>
      <c r="M214" s="74">
        <f t="array" ref="M21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1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14" s="26">
        <f>IF(techniques[[#This Row],[detection rules]]&gt;=techniques[[#This Row],[expected detection rules]],1,techniques[[#This Row],[detection rules]]/techniques[[#This Row],[expected detection rules]])</f>
        <v/>
      </c>
      <c r="P21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14" s="29">
        <f>IF(ISERROR(SEARCH(techniques[[#This Row],[id]],techniques[[#This Row],[name]])),"ERROR","")</f>
        <v/>
      </c>
      <c r="S21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15" ht="12.75" customHeight="1">
      <c r="A215" s="74" t="inlineStr">
        <is>
          <t>T1132</t>
        </is>
      </c>
      <c r="B215" s="74" t="inlineStr">
        <is>
          <t>T1132</t>
        </is>
      </c>
      <c r="C215" s="13" t="inlineStr">
        <is>
          <t>Data Encoding (T1132)</t>
        </is>
      </c>
      <c r="D215" s="13" t="inlineStr">
        <is>
          <t>command-and-control</t>
        </is>
      </c>
      <c r="E215" s="13" t="inlineStr">
        <is>
          <t>Command: Command Execution|Network Traffic: Network Connection Creation|Network Traffic: Network Traffic Content|Process: Process Creation|User Account: User Account Authentication</t>
        </is>
      </c>
      <c r="F215" s="74" t="n">
        <v>5</v>
      </c>
      <c r="G215" s="72">
        <f t="array" ref="G215">SUM(IF(ISERROR(FIND(sources[data source],techniques[[#This Row],[data sources]])),0,1)*IF(sources[available]="yes",1,0))</f>
        <v/>
      </c>
      <c r="H215" s="73">
        <f t="array" ref="H215">IF(techniques[[#This Row],[technique]]=techniques[[#This Row],[id]],SUM(IF(techniques[[#This Row],[id]]=techniques[technique],1,0))-1,"")</f>
        <v/>
      </c>
      <c r="I215" s="74">
        <f t="array" ref="I215">IF(SUM(IF($C215=detections[],IF(detections[is active]="yes",1,0),0))&gt;0,SUM(IF($C215=detections[],IF(detections[is active]="yes",1,0),0)),"")</f>
        <v/>
      </c>
      <c r="J215" s="74">
        <f t="array" ref="J21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15" s="74">
        <f>IF(AND(ISNUMBER(techniques[[#This Row],[number of sub techniques]]),techniques[[#This Row],[number of sub techniques]]&gt;1),techniques[number of sub techniques],1)</f>
        <v/>
      </c>
      <c r="L215" s="72" t="n"/>
      <c r="M215" s="74">
        <f t="array" ref="M21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1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15" s="26">
        <f>IF(techniques[[#This Row],[detection rules]]&gt;=techniques[[#This Row],[expected detection rules]],1,techniques[[#This Row],[detection rules]]/techniques[[#This Row],[expected detection rules]])</f>
        <v/>
      </c>
      <c r="P21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15" s="29">
        <f>IF(ISERROR(SEARCH(techniques[[#This Row],[id]],techniques[[#This Row],[name]])),"ERROR","")</f>
        <v/>
      </c>
      <c r="S21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16" ht="12.75" customHeight="1">
      <c r="A216" s="74" t="inlineStr">
        <is>
          <t>T1132</t>
        </is>
      </c>
      <c r="B216" s="74" t="inlineStr">
        <is>
          <t>T1132.001</t>
        </is>
      </c>
      <c r="C216" s="13" t="inlineStr">
        <is>
          <t>Standard Encoding (T1132.001)</t>
        </is>
      </c>
      <c r="D216" s="13" t="inlineStr">
        <is>
          <t>command-and-control</t>
        </is>
      </c>
      <c r="E216" s="13" t="inlineStr">
        <is>
          <t>Application Log: Application Log Content|Network Traffic: Network Connection Creation|Network Traffic: Network Traffic Content|Network Traffic: Network Traffic Flow|Process: Process Creation|Script: Script Execution</t>
        </is>
      </c>
      <c r="F216" s="74" t="n">
        <v>6</v>
      </c>
      <c r="G216" s="72">
        <f t="array" ref="G216">SUM(IF(ISERROR(FIND(sources[data source],techniques[[#This Row],[data sources]])),0,1)*IF(sources[available]="yes",1,0))</f>
        <v/>
      </c>
      <c r="H216" s="73">
        <f t="array" ref="H216">IF(techniques[[#This Row],[technique]]=techniques[[#This Row],[id]],SUM(IF(techniques[[#This Row],[id]]=techniques[technique],1,0))-1,"")</f>
        <v/>
      </c>
      <c r="I216" s="74">
        <f t="array" ref="I216">IF(SUM(IF($C216=detections[],IF(detections[is active]="yes",1,0),0))&gt;0,SUM(IF($C216=detections[],IF(detections[is active]="yes",1,0),0)),"")</f>
        <v/>
      </c>
      <c r="J216" s="74">
        <f t="array" ref="J21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16" s="74">
        <f>IF(AND(ISNUMBER(techniques[[#This Row],[number of sub techniques]]),techniques[[#This Row],[number of sub techniques]]&gt;1),techniques[number of sub techniques],1)</f>
        <v/>
      </c>
      <c r="L216" s="72" t="n"/>
      <c r="M216" s="74">
        <f t="array" ref="M21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1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16" s="26">
        <f>IF(techniques[[#This Row],[detection rules]]&gt;=techniques[[#This Row],[expected detection rules]],1,techniques[[#This Row],[detection rules]]/techniques[[#This Row],[expected detection rules]])</f>
        <v/>
      </c>
      <c r="P21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16" s="29">
        <f>IF(ISERROR(SEARCH(techniques[[#This Row],[id]],techniques[[#This Row],[name]])),"ERROR","")</f>
        <v/>
      </c>
      <c r="S21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17" ht="12.75" customHeight="1">
      <c r="A217" s="74" t="inlineStr">
        <is>
          <t>T1132</t>
        </is>
      </c>
      <c r="B217" s="74" t="inlineStr">
        <is>
          <t>T1132.002</t>
        </is>
      </c>
      <c r="C217" s="13" t="inlineStr">
        <is>
          <t>Non-Standard Encoding (T1132.002)</t>
        </is>
      </c>
      <c r="D217" s="13" t="inlineStr">
        <is>
          <t>command-and-control</t>
        </is>
      </c>
      <c r="E217" s="13" t="inlineStr">
        <is>
          <t>Application Log: Application Log Content|Network Traffic: Network Connection Creation|Network Traffic: Network Traffic Content|Network Traffic: Network Traffic Flow|Process: Process Creation|Script: Script Execution</t>
        </is>
      </c>
      <c r="F217" s="74" t="n">
        <v>6</v>
      </c>
      <c r="G217" s="72">
        <f t="array" ref="G217">SUM(IF(ISERROR(FIND(sources[data source],techniques[[#This Row],[data sources]])),0,1)*IF(sources[available]="yes",1,0))</f>
        <v/>
      </c>
      <c r="H217" s="73">
        <f t="array" ref="H217">IF(techniques[[#This Row],[technique]]=techniques[[#This Row],[id]],SUM(IF(techniques[[#This Row],[id]]=techniques[technique],1,0))-1,"")</f>
        <v/>
      </c>
      <c r="I217" s="74">
        <f t="array" ref="I217">IF(SUM(IF($C217=detections[],IF(detections[is active]="yes",1,0),0))&gt;0,SUM(IF($C217=detections[],IF(detections[is active]="yes",1,0),0)),"")</f>
        <v/>
      </c>
      <c r="J217" s="74">
        <f t="array" ref="J21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17" s="74">
        <f>IF(AND(ISNUMBER(techniques[[#This Row],[number of sub techniques]]),techniques[[#This Row],[number of sub techniques]]&gt;1),techniques[number of sub techniques],1)</f>
        <v/>
      </c>
      <c r="L217" s="72" t="n"/>
      <c r="M217" s="74">
        <f t="array" ref="M21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1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17" s="26">
        <f>IF(techniques[[#This Row],[detection rules]]&gt;=techniques[[#This Row],[expected detection rules]],1,techniques[[#This Row],[detection rules]]/techniques[[#This Row],[expected detection rules]])</f>
        <v/>
      </c>
      <c r="P21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17" s="29">
        <f>IF(ISERROR(SEARCH(techniques[[#This Row],[id]],techniques[[#This Row],[name]])),"ERROR","")</f>
        <v/>
      </c>
      <c r="S21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18" ht="12.75" customHeight="1">
      <c r="A218" s="74" t="inlineStr">
        <is>
          <t>T1133</t>
        </is>
      </c>
      <c r="B218" s="74" t="inlineStr">
        <is>
          <t>T1133</t>
        </is>
      </c>
      <c r="C218" s="13" t="inlineStr">
        <is>
          <t>External Remote Services (T1133)</t>
        </is>
      </c>
      <c r="D218" s="13" t="inlineStr">
        <is>
          <t>persistence|initial-access</t>
        </is>
      </c>
      <c r="E218" s="13" t="inlineStr">
        <is>
          <t>Application Log: Application Log Content|Logon Session: Logon Session Metadata|Network Traffic: Network Connection Creation|Network Traffic: Network Traffic Flow|User Account: User Account Authentication</t>
        </is>
      </c>
      <c r="F218" s="74" t="n">
        <v>5</v>
      </c>
      <c r="G218" s="72">
        <f t="array" ref="G218">SUM(IF(ISERROR(FIND(sources[data source],techniques[[#This Row],[data sources]])),0,1)*IF(sources[available]="yes",1,0))</f>
        <v/>
      </c>
      <c r="H218" s="73">
        <f t="array" ref="H218">IF(techniques[[#This Row],[technique]]=techniques[[#This Row],[id]],SUM(IF(techniques[[#This Row],[id]]=techniques[technique],1,0))-1,"")</f>
        <v/>
      </c>
      <c r="I218" s="74">
        <f t="array" ref="I218">IF(SUM(IF($C218=detections[],IF(detections[is active]="yes",1,0),0))&gt;0,SUM(IF($C218=detections[],IF(detections[is active]="yes",1,0),0)),"")</f>
        <v/>
      </c>
      <c r="J218" s="74">
        <f t="array" ref="J21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18" s="74">
        <f>IF(AND(ISNUMBER(techniques[[#This Row],[number of sub techniques]]),techniques[[#This Row],[number of sub techniques]]&gt;1),techniques[number of sub techniques],1)</f>
        <v/>
      </c>
      <c r="L218" s="72" t="n"/>
      <c r="M218" s="74">
        <f t="array" ref="M21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1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18" s="26">
        <f>IF(techniques[[#This Row],[detection rules]]&gt;=techniques[[#This Row],[expected detection rules]],1,techniques[[#This Row],[detection rules]]/techniques[[#This Row],[expected detection rules]])</f>
        <v/>
      </c>
      <c r="P21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18" s="29">
        <f>IF(ISERROR(SEARCH(techniques[[#This Row],[id]],techniques[[#This Row],[name]])),"ERROR","")</f>
        <v/>
      </c>
      <c r="S21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19" ht="12.75" customHeight="1">
      <c r="A219" s="74" t="inlineStr">
        <is>
          <t>T1134</t>
        </is>
      </c>
      <c r="B219" s="74" t="inlineStr">
        <is>
          <t>T1134</t>
        </is>
      </c>
      <c r="C219" s="13" t="inlineStr">
        <is>
          <t>Access Token Manipulation (T1134)</t>
        </is>
      </c>
      <c r="D219" s="13" t="inlineStr">
        <is>
          <t>stealth|privilege-escalation</t>
        </is>
      </c>
      <c r="E219" s="13" t="inlineStr">
        <is>
          <t>Active Directory: Active Directory Object Modification|Logon Session: Logon Session Metadata|Process: OS API Execution|Process: Process Access|Process: Process Creation</t>
        </is>
      </c>
      <c r="F219" s="74" t="n">
        <v>5</v>
      </c>
      <c r="G219" s="72">
        <f t="array" ref="G219">SUM(IF(ISERROR(FIND(sources[data source],techniques[[#This Row],[data sources]])),0,1)*IF(sources[available]="yes",1,0))</f>
        <v/>
      </c>
      <c r="H219" s="73">
        <f t="array" ref="H219">IF(techniques[[#This Row],[technique]]=techniques[[#This Row],[id]],SUM(IF(techniques[[#This Row],[id]]=techniques[technique],1,0))-1,"")</f>
        <v/>
      </c>
      <c r="I219" s="74">
        <f t="array" ref="I219">IF(SUM(IF($C219=detections[],IF(detections[is active]="yes",1,0),0))&gt;0,SUM(IF($C219=detections[],IF(detections[is active]="yes",1,0),0)),"")</f>
        <v/>
      </c>
      <c r="J219" s="74">
        <f t="array" ref="J21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19" s="74">
        <f>IF(AND(ISNUMBER(techniques[[#This Row],[number of sub techniques]]),techniques[[#This Row],[number of sub techniques]]&gt;1),techniques[number of sub techniques],1)</f>
        <v/>
      </c>
      <c r="L219" s="72" t="n"/>
      <c r="M219" s="74">
        <f t="array" ref="M21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1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19" s="26">
        <f>IF(techniques[[#This Row],[detection rules]]&gt;=techniques[[#This Row],[expected detection rules]],1,techniques[[#This Row],[detection rules]]/techniques[[#This Row],[expected detection rules]])</f>
        <v/>
      </c>
      <c r="P21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19" s="29">
        <f>IF(ISERROR(SEARCH(techniques[[#This Row],[id]],techniques[[#This Row],[name]])),"ERROR","")</f>
        <v/>
      </c>
      <c r="S21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20" ht="12.75" customHeight="1">
      <c r="A220" s="74" t="inlineStr">
        <is>
          <t>T1134</t>
        </is>
      </c>
      <c r="B220" s="74" t="inlineStr">
        <is>
          <t>T1134.001</t>
        </is>
      </c>
      <c r="C220" s="13" t="inlineStr">
        <is>
          <t>Token Impersonation/Theft (T1134.001)</t>
        </is>
      </c>
      <c r="D220" s="13" t="inlineStr">
        <is>
          <t>stealth|privilege-escalation</t>
        </is>
      </c>
      <c r="E220" s="13" t="inlineStr">
        <is>
          <t>Process: OS API Execution|Process: Process Access|Process: Process Creation</t>
        </is>
      </c>
      <c r="F220" s="74" t="n">
        <v>3</v>
      </c>
      <c r="G220" s="72">
        <f t="array" ref="G220">SUM(IF(ISERROR(FIND(sources[data source],techniques[[#This Row],[data sources]])),0,1)*IF(sources[available]="yes",1,0))</f>
        <v/>
      </c>
      <c r="H220" s="73">
        <f t="array" ref="H220">IF(techniques[[#This Row],[technique]]=techniques[[#This Row],[id]],SUM(IF(techniques[[#This Row],[id]]=techniques[technique],1,0))-1,"")</f>
        <v/>
      </c>
      <c r="I220" s="74">
        <f t="array" ref="I220">IF(SUM(IF($C220=detections[],IF(detections[is active]="yes",1,0),0))&gt;0,SUM(IF($C220=detections[],IF(detections[is active]="yes",1,0),0)),"")</f>
        <v/>
      </c>
      <c r="J220" s="74">
        <f t="array" ref="J22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20" s="74">
        <f>IF(AND(ISNUMBER(techniques[[#This Row],[number of sub techniques]]),techniques[[#This Row],[number of sub techniques]]&gt;1),techniques[number of sub techniques],1)</f>
        <v/>
      </c>
      <c r="L220" s="72" t="n"/>
      <c r="M220" s="74">
        <f t="array" ref="M22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2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20" s="26">
        <f>IF(techniques[[#This Row],[detection rules]]&gt;=techniques[[#This Row],[expected detection rules]],1,techniques[[#This Row],[detection rules]]/techniques[[#This Row],[expected detection rules]])</f>
        <v/>
      </c>
      <c r="P22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20" s="29">
        <f>IF(ISERROR(SEARCH(techniques[[#This Row],[id]],techniques[[#This Row],[name]])),"ERROR","")</f>
        <v/>
      </c>
      <c r="S22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21" ht="12.75" customHeight="1">
      <c r="A221" s="74" t="inlineStr">
        <is>
          <t>T1134</t>
        </is>
      </c>
      <c r="B221" s="74" t="inlineStr">
        <is>
          <t>T1134.002</t>
        </is>
      </c>
      <c r="C221" s="13" t="inlineStr">
        <is>
          <t>Create Process with Token (T1134.002)</t>
        </is>
      </c>
      <c r="D221" s="13" t="inlineStr">
        <is>
          <t>stealth|privilege-escalation</t>
        </is>
      </c>
      <c r="E221" s="13" t="inlineStr">
        <is>
          <t>Active Directory: Active Directory Object Modification|Logon Session: Logon Session Metadata|Process: OS API Execution|Process: Process Access|Process: Process Creation</t>
        </is>
      </c>
      <c r="F221" s="74" t="n">
        <v>5</v>
      </c>
      <c r="G221" s="72">
        <f t="array" ref="G221">SUM(IF(ISERROR(FIND(sources[data source],techniques[[#This Row],[data sources]])),0,1)*IF(sources[available]="yes",1,0))</f>
        <v/>
      </c>
      <c r="H221" s="73">
        <f t="array" ref="H221">IF(techniques[[#This Row],[technique]]=techniques[[#This Row],[id]],SUM(IF(techniques[[#This Row],[id]]=techniques[technique],1,0))-1,"")</f>
        <v/>
      </c>
      <c r="I221" s="74">
        <f t="array" ref="I221">IF(SUM(IF($C221=detections[],IF(detections[is active]="yes",1,0),0))&gt;0,SUM(IF($C221=detections[],IF(detections[is active]="yes",1,0),0)),"")</f>
        <v/>
      </c>
      <c r="J221" s="74">
        <f t="array" ref="J22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21" s="74">
        <f>IF(AND(ISNUMBER(techniques[[#This Row],[number of sub techniques]]),techniques[[#This Row],[number of sub techniques]]&gt;1),techniques[number of sub techniques],1)</f>
        <v/>
      </c>
      <c r="L221" s="72" t="n"/>
      <c r="M221" s="74">
        <f t="array" ref="M22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2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21" s="26">
        <f>IF(techniques[[#This Row],[detection rules]]&gt;=techniques[[#This Row],[expected detection rules]],1,techniques[[#This Row],[detection rules]]/techniques[[#This Row],[expected detection rules]])</f>
        <v/>
      </c>
      <c r="P22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21" s="29">
        <f>IF(ISERROR(SEARCH(techniques[[#This Row],[id]],techniques[[#This Row],[name]])),"ERROR","")</f>
        <v/>
      </c>
      <c r="S22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22" ht="12.75" customHeight="1">
      <c r="A222" s="74" t="inlineStr">
        <is>
          <t>T1134</t>
        </is>
      </c>
      <c r="B222" s="74" t="inlineStr">
        <is>
          <t>T1134.003</t>
        </is>
      </c>
      <c r="C222" s="13" t="inlineStr">
        <is>
          <t>Make and Impersonate Token (T1134.003)</t>
        </is>
      </c>
      <c r="D222" s="13" t="inlineStr">
        <is>
          <t>stealth|privilege-escalation</t>
        </is>
      </c>
      <c r="E222" s="13" t="inlineStr">
        <is>
          <t>Logon Session: Logon Session Metadata|Process: OS API Execution|Process: Process Creation</t>
        </is>
      </c>
      <c r="F222" s="74" t="n">
        <v>3</v>
      </c>
      <c r="G222" s="72">
        <f t="array" ref="G222">SUM(IF(ISERROR(FIND(sources[data source],techniques[[#This Row],[data sources]])),0,1)*IF(sources[available]="yes",1,0))</f>
        <v/>
      </c>
      <c r="H222" s="73">
        <f t="array" ref="H222">IF(techniques[[#This Row],[technique]]=techniques[[#This Row],[id]],SUM(IF(techniques[[#This Row],[id]]=techniques[technique],1,0))-1,"")</f>
        <v/>
      </c>
      <c r="I222" s="74">
        <f t="array" ref="I222">IF(SUM(IF($C222=detections[],IF(detections[is active]="yes",1,0),0))&gt;0,SUM(IF($C222=detections[],IF(detections[is active]="yes",1,0),0)),"")</f>
        <v/>
      </c>
      <c r="J222" s="74">
        <f t="array" ref="J22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22" s="74">
        <f>IF(AND(ISNUMBER(techniques[[#This Row],[number of sub techniques]]),techniques[[#This Row],[number of sub techniques]]&gt;1),techniques[number of sub techniques],1)</f>
        <v/>
      </c>
      <c r="L222" s="72" t="n"/>
      <c r="M222" s="74">
        <f t="array" ref="M22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2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22" s="26">
        <f>IF(techniques[[#This Row],[detection rules]]&gt;=techniques[[#This Row],[expected detection rules]],1,techniques[[#This Row],[detection rules]]/techniques[[#This Row],[expected detection rules]])</f>
        <v/>
      </c>
      <c r="P22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22" s="29">
        <f>IF(ISERROR(SEARCH(techniques[[#This Row],[id]],techniques[[#This Row],[name]])),"ERROR","")</f>
        <v/>
      </c>
      <c r="S22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23" ht="12.75" customHeight="1">
      <c r="A223" s="74" t="inlineStr">
        <is>
          <t>T1134</t>
        </is>
      </c>
      <c r="B223" s="74" t="inlineStr">
        <is>
          <t>T1134.004</t>
        </is>
      </c>
      <c r="C223" s="13" t="inlineStr">
        <is>
          <t>Parent PID Spoofing (T1134.004)</t>
        </is>
      </c>
      <c r="D223" s="13" t="inlineStr">
        <is>
          <t>stealth|privilege-escalation</t>
        </is>
      </c>
      <c r="E223" s="13" t="inlineStr">
        <is>
          <t>Process: OS API Execution|Process: Process Creation|Process: Process Metadata</t>
        </is>
      </c>
      <c r="F223" s="74" t="n">
        <v>3</v>
      </c>
      <c r="G223" s="72">
        <f t="array" ref="G223">SUM(IF(ISERROR(FIND(sources[data source],techniques[[#This Row],[data sources]])),0,1)*IF(sources[available]="yes",1,0))</f>
        <v/>
      </c>
      <c r="H223" s="73">
        <f t="array" ref="H223">IF(techniques[[#This Row],[technique]]=techniques[[#This Row],[id]],SUM(IF(techniques[[#This Row],[id]]=techniques[technique],1,0))-1,"")</f>
        <v/>
      </c>
      <c r="I223" s="74">
        <f t="array" ref="I223">IF(SUM(IF($C223=detections[],IF(detections[is active]="yes",1,0),0))&gt;0,SUM(IF($C223=detections[],IF(detections[is active]="yes",1,0),0)),"")</f>
        <v/>
      </c>
      <c r="J223" s="74">
        <f t="array" ref="J22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23" s="74">
        <f>IF(AND(ISNUMBER(techniques[[#This Row],[number of sub techniques]]),techniques[[#This Row],[number of sub techniques]]&gt;1),techniques[number of sub techniques],1)</f>
        <v/>
      </c>
      <c r="L223" s="72" t="n"/>
      <c r="M223" s="74">
        <f t="array" ref="M22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2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23" s="26">
        <f>IF(techniques[[#This Row],[detection rules]]&gt;=techniques[[#This Row],[expected detection rules]],1,techniques[[#This Row],[detection rules]]/techniques[[#This Row],[expected detection rules]])</f>
        <v/>
      </c>
      <c r="P22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23" s="29">
        <f>IF(ISERROR(SEARCH(techniques[[#This Row],[id]],techniques[[#This Row],[name]])),"ERROR","")</f>
        <v/>
      </c>
      <c r="S22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24" ht="12.75" customHeight="1">
      <c r="A224" s="74" t="inlineStr">
        <is>
          <t>T1134</t>
        </is>
      </c>
      <c r="B224" s="74" t="inlineStr">
        <is>
          <t>T1134.005</t>
        </is>
      </c>
      <c r="C224" s="13" t="inlineStr">
        <is>
          <t>SID-History Injection (T1134.005)</t>
        </is>
      </c>
      <c r="D224" s="13" t="inlineStr">
        <is>
          <t>stealth|privilege-escalation</t>
        </is>
      </c>
      <c r="E224" s="13" t="inlineStr">
        <is>
          <t>Active Directory: Active Directory Object Modification|Process: OS API Execution|User Account: User Account Metadata</t>
        </is>
      </c>
      <c r="F224" s="74" t="n">
        <v>3</v>
      </c>
      <c r="G224" s="72">
        <f t="array" ref="G224">SUM(IF(ISERROR(FIND(sources[data source],techniques[[#This Row],[data sources]])),0,1)*IF(sources[available]="yes",1,0))</f>
        <v/>
      </c>
      <c r="H224" s="73">
        <f t="array" ref="H224">IF(techniques[[#This Row],[technique]]=techniques[[#This Row],[id]],SUM(IF(techniques[[#This Row],[id]]=techniques[technique],1,0))-1,"")</f>
        <v/>
      </c>
      <c r="I224" s="74">
        <f t="array" ref="I224">IF(SUM(IF($C224=detections[],IF(detections[is active]="yes",1,0),0))&gt;0,SUM(IF($C224=detections[],IF(detections[is active]="yes",1,0),0)),"")</f>
        <v/>
      </c>
      <c r="J224" s="74">
        <f t="array" ref="J22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24" s="74">
        <f>IF(AND(ISNUMBER(techniques[[#This Row],[number of sub techniques]]),techniques[[#This Row],[number of sub techniques]]&gt;1),techniques[number of sub techniques],1)</f>
        <v/>
      </c>
      <c r="L224" s="72" t="n"/>
      <c r="M224" s="74">
        <f t="array" ref="M22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2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24" s="26">
        <f>IF(techniques[[#This Row],[detection rules]]&gt;=techniques[[#This Row],[expected detection rules]],1,techniques[[#This Row],[detection rules]]/techniques[[#This Row],[expected detection rules]])</f>
        <v/>
      </c>
      <c r="P22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24" s="29">
        <f>IF(ISERROR(SEARCH(techniques[[#This Row],[id]],techniques[[#This Row],[name]])),"ERROR","")</f>
        <v/>
      </c>
      <c r="S22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25" ht="12.75" customHeight="1">
      <c r="A225" s="74" t="inlineStr">
        <is>
          <t>T1135</t>
        </is>
      </c>
      <c r="B225" s="74" t="inlineStr">
        <is>
          <t>T1135</t>
        </is>
      </c>
      <c r="C225" s="13" t="inlineStr">
        <is>
          <t>Network Share Discovery (T1135)</t>
        </is>
      </c>
      <c r="D225" s="13" t="inlineStr">
        <is>
          <t>discovery</t>
        </is>
      </c>
      <c r="E225" s="13" t="inlineStr">
        <is>
          <t>Command: Command Execution|Named Pipe: Named Pipe Metadata|Network Traffic: Network Connection Creation|Network Traffic: Network Traffic Flow|Process: OS API Execution|Process: Process Creation</t>
        </is>
      </c>
      <c r="F225" s="74" t="n">
        <v>6</v>
      </c>
      <c r="G225" s="72">
        <f t="array" ref="G225">SUM(IF(ISERROR(FIND(sources[data source],techniques[[#This Row],[data sources]])),0,1)*IF(sources[available]="yes",1,0))</f>
        <v/>
      </c>
      <c r="H225" s="73">
        <f t="array" ref="H225">IF(techniques[[#This Row],[technique]]=techniques[[#This Row],[id]],SUM(IF(techniques[[#This Row],[id]]=techniques[technique],1,0))-1,"")</f>
        <v/>
      </c>
      <c r="I225" s="74">
        <f t="array" ref="I225">IF(SUM(IF($C225=detections[],IF(detections[is active]="yes",1,0),0))&gt;0,SUM(IF($C225=detections[],IF(detections[is active]="yes",1,0),0)),"")</f>
        <v/>
      </c>
      <c r="J225" s="74">
        <f t="array" ref="J22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25" s="74">
        <f>IF(AND(ISNUMBER(techniques[[#This Row],[number of sub techniques]]),techniques[[#This Row],[number of sub techniques]]&gt;1),techniques[number of sub techniques],1)</f>
        <v/>
      </c>
      <c r="L225" s="72" t="n"/>
      <c r="M225" s="74">
        <f t="array" ref="M22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2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25" s="26">
        <f>IF(techniques[[#This Row],[detection rules]]&gt;=techniques[[#This Row],[expected detection rules]],1,techniques[[#This Row],[detection rules]]/techniques[[#This Row],[expected detection rules]])</f>
        <v/>
      </c>
      <c r="P22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25" s="29">
        <f>IF(ISERROR(SEARCH(techniques[[#This Row],[id]],techniques[[#This Row],[name]])),"ERROR","")</f>
        <v/>
      </c>
      <c r="S22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26" ht="12.75" customHeight="1">
      <c r="A226" s="74" t="inlineStr">
        <is>
          <t>T1136</t>
        </is>
      </c>
      <c r="B226" s="74" t="inlineStr">
        <is>
          <t>T1136</t>
        </is>
      </c>
      <c r="C226" s="13" t="inlineStr">
        <is>
          <t>Create Account (T1136)</t>
        </is>
      </c>
      <c r="D226" s="13" t="inlineStr">
        <is>
          <t>persistence</t>
        </is>
      </c>
      <c r="E226" s="13" t="inlineStr">
        <is>
          <t>Command: Command Execution|File: File Modification|Process: Process Creation|User Account: User Account Creation|User Account: User Account Modification</t>
        </is>
      </c>
      <c r="F226" s="74" t="n">
        <v>5</v>
      </c>
      <c r="G226" s="72">
        <f t="array" ref="G226">SUM(IF(ISERROR(FIND(sources[data source],techniques[[#This Row],[data sources]])),0,1)*IF(sources[available]="yes",1,0))</f>
        <v/>
      </c>
      <c r="H226" s="73">
        <f t="array" ref="H226">IF(techniques[[#This Row],[technique]]=techniques[[#This Row],[id]],SUM(IF(techniques[[#This Row],[id]]=techniques[technique],1,0))-1,"")</f>
        <v/>
      </c>
      <c r="I226" s="74">
        <f t="array" ref="I226">IF(SUM(IF($C226=detections[],IF(detections[is active]="yes",1,0),0))&gt;0,SUM(IF($C226=detections[],IF(detections[is active]="yes",1,0),0)),"")</f>
        <v/>
      </c>
      <c r="J226" s="74">
        <f t="array" ref="J22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26" s="74">
        <f>IF(AND(ISNUMBER(techniques[[#This Row],[number of sub techniques]]),techniques[[#This Row],[number of sub techniques]]&gt;1),techniques[number of sub techniques],1)</f>
        <v/>
      </c>
      <c r="L226" s="72" t="n"/>
      <c r="M226" s="74">
        <f t="array" ref="M22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2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26" s="26">
        <f>IF(techniques[[#This Row],[detection rules]]&gt;=techniques[[#This Row],[expected detection rules]],1,techniques[[#This Row],[detection rules]]/techniques[[#This Row],[expected detection rules]])</f>
        <v/>
      </c>
      <c r="P22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26" s="29">
        <f>IF(ISERROR(SEARCH(techniques[[#This Row],[id]],techniques[[#This Row],[name]])),"ERROR","")</f>
        <v/>
      </c>
      <c r="S22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27" ht="12.75" customHeight="1">
      <c r="A227" s="74" t="inlineStr">
        <is>
          <t>T1136</t>
        </is>
      </c>
      <c r="B227" s="74" t="inlineStr">
        <is>
          <t>T1136.001</t>
        </is>
      </c>
      <c r="C227" s="13" t="inlineStr">
        <is>
          <t>Local Account (T1136.001)</t>
        </is>
      </c>
      <c r="D227" s="13" t="inlineStr">
        <is>
          <t>persistence</t>
        </is>
      </c>
      <c r="E227" s="13" t="inlineStr">
        <is>
          <t>Command: Command Execution|File: File Modification|Process: Process Creation|User Account: User Account Creation</t>
        </is>
      </c>
      <c r="F227" s="74" t="n">
        <v>4</v>
      </c>
      <c r="G227" s="72">
        <f t="array" ref="G227">SUM(IF(ISERROR(FIND(sources[data source],techniques[[#This Row],[data sources]])),0,1)*IF(sources[available]="yes",1,0))</f>
        <v/>
      </c>
      <c r="H227" s="73">
        <f t="array" ref="H227">IF(techniques[[#This Row],[technique]]=techniques[[#This Row],[id]],SUM(IF(techniques[[#This Row],[id]]=techniques[technique],1,0))-1,"")</f>
        <v/>
      </c>
      <c r="I227" s="74">
        <f t="array" ref="I227">IF(SUM(IF($C227=detections[],IF(detections[is active]="yes",1,0),0))&gt;0,SUM(IF($C227=detections[],IF(detections[is active]="yes",1,0),0)),"")</f>
        <v/>
      </c>
      <c r="J227" s="74">
        <f t="array" ref="J22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27" s="74">
        <f>IF(AND(ISNUMBER(techniques[[#This Row],[number of sub techniques]]),techniques[[#This Row],[number of sub techniques]]&gt;1),techniques[number of sub techniques],1)</f>
        <v/>
      </c>
      <c r="L227" s="72" t="n"/>
      <c r="M227" s="74">
        <f t="array" ref="M22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2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27" s="26">
        <f>IF(techniques[[#This Row],[detection rules]]&gt;=techniques[[#This Row],[expected detection rules]],1,techniques[[#This Row],[detection rules]]/techniques[[#This Row],[expected detection rules]])</f>
        <v/>
      </c>
      <c r="P22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27" s="29">
        <f>IF(ISERROR(SEARCH(techniques[[#This Row],[id]],techniques[[#This Row],[name]])),"ERROR","")</f>
        <v/>
      </c>
      <c r="S22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28" ht="12.75" customHeight="1">
      <c r="A228" s="74" t="inlineStr">
        <is>
          <t>T1136</t>
        </is>
      </c>
      <c r="B228" s="74" t="inlineStr">
        <is>
          <t>T1136.002</t>
        </is>
      </c>
      <c r="C228" s="13" t="inlineStr">
        <is>
          <t>Domain Account (T1136.002)</t>
        </is>
      </c>
      <c r="D228" s="13" t="inlineStr">
        <is>
          <t>persistence</t>
        </is>
      </c>
      <c r="E228" s="13" t="inlineStr">
        <is>
          <t>Command: Command Execution|Logon Session: Logon Session Creation|Process: Process Creation|User Account: User Account Authentication|User Account: User Account Creation</t>
        </is>
      </c>
      <c r="F228" s="74" t="n">
        <v>5</v>
      </c>
      <c r="G228" s="72">
        <f t="array" ref="G228">SUM(IF(ISERROR(FIND(sources[data source],techniques[[#This Row],[data sources]])),0,1)*IF(sources[available]="yes",1,0))</f>
        <v/>
      </c>
      <c r="H228" s="73">
        <f t="array" ref="H228">IF(techniques[[#This Row],[technique]]=techniques[[#This Row],[id]],SUM(IF(techniques[[#This Row],[id]]=techniques[technique],1,0))-1,"")</f>
        <v/>
      </c>
      <c r="I228" s="74">
        <f t="array" ref="I228">IF(SUM(IF($C228=detections[],IF(detections[is active]="yes",1,0),0))&gt;0,SUM(IF($C228=detections[],IF(detections[is active]="yes",1,0),0)),"")</f>
        <v/>
      </c>
      <c r="J228" s="74">
        <f t="array" ref="J22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28" s="74">
        <f>IF(AND(ISNUMBER(techniques[[#This Row],[number of sub techniques]]),techniques[[#This Row],[number of sub techniques]]&gt;1),techniques[number of sub techniques],1)</f>
        <v/>
      </c>
      <c r="L228" s="72" t="n"/>
      <c r="M228" s="74">
        <f t="array" ref="M22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2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28" s="26">
        <f>IF(techniques[[#This Row],[detection rules]]&gt;=techniques[[#This Row],[expected detection rules]],1,techniques[[#This Row],[detection rules]]/techniques[[#This Row],[expected detection rules]])</f>
        <v/>
      </c>
      <c r="P22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28" s="29">
        <f>IF(ISERROR(SEARCH(techniques[[#This Row],[id]],techniques[[#This Row],[name]])),"ERROR","")</f>
        <v/>
      </c>
      <c r="S22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29" ht="12.75" customHeight="1">
      <c r="A229" s="74" t="inlineStr">
        <is>
          <t>T1136</t>
        </is>
      </c>
      <c r="B229" s="74" t="inlineStr">
        <is>
          <t>T1136.003</t>
        </is>
      </c>
      <c r="C229" s="13" t="inlineStr">
        <is>
          <t>Cloud Account (T1136.003)</t>
        </is>
      </c>
      <c r="D229" s="13" t="inlineStr">
        <is>
          <t>persistence</t>
        </is>
      </c>
      <c r="E229" s="13" t="inlineStr">
        <is>
          <t>Group: Group Modification|User Account: User Account Authentication|User Account: User Account Creation|User Account: User Account Modification</t>
        </is>
      </c>
      <c r="F229" s="74" t="n">
        <v>4</v>
      </c>
      <c r="G229" s="72">
        <f t="array" ref="G229">SUM(IF(ISERROR(FIND(sources[data source],techniques[[#This Row],[data sources]])),0,1)*IF(sources[available]="yes",1,0))</f>
        <v/>
      </c>
      <c r="H229" s="73">
        <f t="array" ref="H229">IF(techniques[[#This Row],[technique]]=techniques[[#This Row],[id]],SUM(IF(techniques[[#This Row],[id]]=techniques[technique],1,0))-1,"")</f>
        <v/>
      </c>
      <c r="I229" s="74">
        <f t="array" ref="I229">IF(SUM(IF($C229=detections[],IF(detections[is active]="yes",1,0),0))&gt;0,SUM(IF($C229=detections[],IF(detections[is active]="yes",1,0),0)),"")</f>
        <v/>
      </c>
      <c r="J229" s="74">
        <f t="array" ref="J22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29" s="74">
        <f>IF(AND(ISNUMBER(techniques[[#This Row],[number of sub techniques]]),techniques[[#This Row],[number of sub techniques]]&gt;1),techniques[number of sub techniques],1)</f>
        <v/>
      </c>
      <c r="L229" s="72" t="n"/>
      <c r="M229" s="74">
        <f t="array" ref="M22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2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29" s="26">
        <f>IF(techniques[[#This Row],[detection rules]]&gt;=techniques[[#This Row],[expected detection rules]],1,techniques[[#This Row],[detection rules]]/techniques[[#This Row],[expected detection rules]])</f>
        <v/>
      </c>
      <c r="P22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29" s="29">
        <f>IF(ISERROR(SEARCH(techniques[[#This Row],[id]],techniques[[#This Row],[name]])),"ERROR","")</f>
        <v/>
      </c>
      <c r="S22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30" ht="12.75" customHeight="1">
      <c r="A230" s="74" t="inlineStr">
        <is>
          <t>T1137</t>
        </is>
      </c>
      <c r="B230" s="74" t="inlineStr">
        <is>
          <t>T1137</t>
        </is>
      </c>
      <c r="C230" s="13" t="inlineStr">
        <is>
          <t>Office Application Startup (T1137)</t>
        </is>
      </c>
      <c r="D230" s="13" t="inlineStr">
        <is>
          <t>persistence</t>
        </is>
      </c>
      <c r="E230" s="13" t="inlineStr">
        <is>
          <t>Application Log: Application Log Content|File: File Creation|Process: Process Creation|User Account: User Account Modification|Windows Registry: Windows Registry Key Modification</t>
        </is>
      </c>
      <c r="F230" s="74" t="n">
        <v>5</v>
      </c>
      <c r="G230" s="72">
        <f t="array" ref="G230">SUM(IF(ISERROR(FIND(sources[data source],techniques[[#This Row],[data sources]])),0,1)*IF(sources[available]="yes",1,0))</f>
        <v/>
      </c>
      <c r="H230" s="73">
        <f t="array" ref="H230">IF(techniques[[#This Row],[technique]]=techniques[[#This Row],[id]],SUM(IF(techniques[[#This Row],[id]]=techniques[technique],1,0))-1,"")</f>
        <v/>
      </c>
      <c r="I230" s="74">
        <f t="array" ref="I230">IF(SUM(IF($C230=detections[],IF(detections[is active]="yes",1,0),0))&gt;0,SUM(IF($C230=detections[],IF(detections[is active]="yes",1,0),0)),"")</f>
        <v/>
      </c>
      <c r="J230" s="74">
        <f t="array" ref="J23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30" s="74">
        <f>IF(AND(ISNUMBER(techniques[[#This Row],[number of sub techniques]]),techniques[[#This Row],[number of sub techniques]]&gt;1),techniques[number of sub techniques],1)</f>
        <v/>
      </c>
      <c r="L230" s="72" t="n"/>
      <c r="M230" s="74">
        <f t="array" ref="M23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3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30" s="26">
        <f>IF(techniques[[#This Row],[detection rules]]&gt;=techniques[[#This Row],[expected detection rules]],1,techniques[[#This Row],[detection rules]]/techniques[[#This Row],[expected detection rules]])</f>
        <v/>
      </c>
      <c r="P23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30" s="29">
        <f>IF(ISERROR(SEARCH(techniques[[#This Row],[id]],techniques[[#This Row],[name]])),"ERROR","")</f>
        <v/>
      </c>
      <c r="S23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31" ht="12.75" customHeight="1">
      <c r="A231" s="74" t="inlineStr">
        <is>
          <t>T1137</t>
        </is>
      </c>
      <c r="B231" s="74" t="inlineStr">
        <is>
          <t>T1137.001</t>
        </is>
      </c>
      <c r="C231" s="13" t="inlineStr">
        <is>
          <t>Office Template Macros (T1137.001)</t>
        </is>
      </c>
      <c r="D231" s="13" t="inlineStr">
        <is>
          <t>persistence</t>
        </is>
      </c>
      <c r="E231" s="13" t="inlineStr">
        <is>
          <t>Command: Command Execution|File: File Creation|File: File Metadata|Process: Process Creation|Windows Registry: Windows Registry Key Modification</t>
        </is>
      </c>
      <c r="F231" s="74" t="n">
        <v>5</v>
      </c>
      <c r="G231" s="72">
        <f t="array" ref="G231">SUM(IF(ISERROR(FIND(sources[data source],techniques[[#This Row],[data sources]])),0,1)*IF(sources[available]="yes",1,0))</f>
        <v/>
      </c>
      <c r="H231" s="73">
        <f t="array" ref="H231">IF(techniques[[#This Row],[technique]]=techniques[[#This Row],[id]],SUM(IF(techniques[[#This Row],[id]]=techniques[technique],1,0))-1,"")</f>
        <v/>
      </c>
      <c r="I231" s="74">
        <f t="array" ref="I231">IF(SUM(IF($C231=detections[],IF(detections[is active]="yes",1,0),0))&gt;0,SUM(IF($C231=detections[],IF(detections[is active]="yes",1,0),0)),"")</f>
        <v/>
      </c>
      <c r="J231" s="74">
        <f t="array" ref="J23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31" s="74">
        <f>IF(AND(ISNUMBER(techniques[[#This Row],[number of sub techniques]]),techniques[[#This Row],[number of sub techniques]]&gt;1),techniques[number of sub techniques],1)</f>
        <v/>
      </c>
      <c r="L231" s="72" t="n"/>
      <c r="M231" s="74">
        <f t="array" ref="M23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3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31" s="26">
        <f>IF(techniques[[#This Row],[detection rules]]&gt;=techniques[[#This Row],[expected detection rules]],1,techniques[[#This Row],[detection rules]]/techniques[[#This Row],[expected detection rules]])</f>
        <v/>
      </c>
      <c r="P23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31" s="29">
        <f>IF(ISERROR(SEARCH(techniques[[#This Row],[id]],techniques[[#This Row],[name]])),"ERROR","")</f>
        <v/>
      </c>
      <c r="S23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32" ht="12.75" customHeight="1">
      <c r="A232" s="74" t="inlineStr">
        <is>
          <t>T1137</t>
        </is>
      </c>
      <c r="B232" s="74" t="inlineStr">
        <is>
          <t>T1137.002</t>
        </is>
      </c>
      <c r="C232" s="13" t="inlineStr">
        <is>
          <t>Office Test (T1137.002)</t>
        </is>
      </c>
      <c r="D232" s="13" t="inlineStr">
        <is>
          <t>persistence</t>
        </is>
      </c>
      <c r="E232" s="13" t="inlineStr">
        <is>
          <t>Command: Command Execution|File: File Creation|Module: Module Load|Process: Process Creation|Windows Registry: Windows Registry Key Modification</t>
        </is>
      </c>
      <c r="F232" s="74" t="n">
        <v>5</v>
      </c>
      <c r="G232" s="72">
        <f t="array" ref="G232">SUM(IF(ISERROR(FIND(sources[data source],techniques[[#This Row],[data sources]])),0,1)*IF(sources[available]="yes",1,0))</f>
        <v/>
      </c>
      <c r="H232" s="73">
        <f t="array" ref="H232">IF(techniques[[#This Row],[technique]]=techniques[[#This Row],[id]],SUM(IF(techniques[[#This Row],[id]]=techniques[technique],1,0))-1,"")</f>
        <v/>
      </c>
      <c r="I232" s="74">
        <f t="array" ref="I232">IF(SUM(IF($C232=detections[],IF(detections[is active]="yes",1,0),0))&gt;0,SUM(IF($C232=detections[],IF(detections[is active]="yes",1,0),0)),"")</f>
        <v/>
      </c>
      <c r="J232" s="74">
        <f t="array" ref="J23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32" s="74">
        <f>IF(AND(ISNUMBER(techniques[[#This Row],[number of sub techniques]]),techniques[[#This Row],[number of sub techniques]]&gt;1),techniques[number of sub techniques],1)</f>
        <v/>
      </c>
      <c r="L232" s="72" t="n"/>
      <c r="M232" s="74">
        <f t="array" ref="M23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3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32" s="26">
        <f>IF(techniques[[#This Row],[detection rules]]&gt;=techniques[[#This Row],[expected detection rules]],1,techniques[[#This Row],[detection rules]]/techniques[[#This Row],[expected detection rules]])</f>
        <v/>
      </c>
      <c r="P23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32" s="29">
        <f>IF(ISERROR(SEARCH(techniques[[#This Row],[id]],techniques[[#This Row],[name]])),"ERROR","")</f>
        <v/>
      </c>
      <c r="S23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33" ht="12.75" customHeight="1">
      <c r="A233" s="74" t="inlineStr">
        <is>
          <t>T1137</t>
        </is>
      </c>
      <c r="B233" s="74" t="inlineStr">
        <is>
          <t>T1137.003</t>
        </is>
      </c>
      <c r="C233" s="13" t="inlineStr">
        <is>
          <t>Outlook Forms (T1137.003)</t>
        </is>
      </c>
      <c r="D233" s="13" t="inlineStr">
        <is>
          <t>persistence</t>
        </is>
      </c>
      <c r="E233" s="13" t="inlineStr">
        <is>
          <t>Application Log: Application Log Content|Command: Command Execution|Module: Module Load|Process: Process Creation</t>
        </is>
      </c>
      <c r="F233" s="74" t="n">
        <v>4</v>
      </c>
      <c r="G233" s="72">
        <f t="array" ref="G233">SUM(IF(ISERROR(FIND(sources[data source],techniques[[#This Row],[data sources]])),0,1)*IF(sources[available]="yes",1,0))</f>
        <v/>
      </c>
      <c r="H233" s="73">
        <f t="array" ref="H233">IF(techniques[[#This Row],[technique]]=techniques[[#This Row],[id]],SUM(IF(techniques[[#This Row],[id]]=techniques[technique],1,0))-1,"")</f>
        <v/>
      </c>
      <c r="I233" s="74">
        <f t="array" ref="I233">IF(SUM(IF($C233=detections[],IF(detections[is active]="yes",1,0),0))&gt;0,SUM(IF($C233=detections[],IF(detections[is active]="yes",1,0),0)),"")</f>
        <v/>
      </c>
      <c r="J233" s="74">
        <f t="array" ref="J23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33" s="74">
        <f>IF(AND(ISNUMBER(techniques[[#This Row],[number of sub techniques]]),techniques[[#This Row],[number of sub techniques]]&gt;1),techniques[number of sub techniques],1)</f>
        <v/>
      </c>
      <c r="L233" s="72" t="n"/>
      <c r="M233" s="74">
        <f t="array" ref="M23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3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33" s="26">
        <f>IF(techniques[[#This Row],[detection rules]]&gt;=techniques[[#This Row],[expected detection rules]],1,techniques[[#This Row],[detection rules]]/techniques[[#This Row],[expected detection rules]])</f>
        <v/>
      </c>
      <c r="P23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33" s="29">
        <f>IF(ISERROR(SEARCH(techniques[[#This Row],[id]],techniques[[#This Row],[name]])),"ERROR","")</f>
        <v/>
      </c>
      <c r="S23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34" ht="12.75" customHeight="1">
      <c r="A234" s="74" t="inlineStr">
        <is>
          <t>T1137</t>
        </is>
      </c>
      <c r="B234" s="74" t="inlineStr">
        <is>
          <t>T1137.004</t>
        </is>
      </c>
      <c r="C234" s="13" t="inlineStr">
        <is>
          <t>Outlook Home Page (T1137.004)</t>
        </is>
      </c>
      <c r="D234" s="13" t="inlineStr">
        <is>
          <t>persistence</t>
        </is>
      </c>
      <c r="E234" s="13" t="inlineStr">
        <is>
          <t>Application Log: Application Log Content|Command: Command Execution|Module: Module Load|Process: Process Creation</t>
        </is>
      </c>
      <c r="F234" s="74" t="n">
        <v>4</v>
      </c>
      <c r="G234" s="72">
        <f t="array" ref="G234">SUM(IF(ISERROR(FIND(sources[data source],techniques[[#This Row],[data sources]])),0,1)*IF(sources[available]="yes",1,0))</f>
        <v/>
      </c>
      <c r="H234" s="73">
        <f t="array" ref="H234">IF(techniques[[#This Row],[technique]]=techniques[[#This Row],[id]],SUM(IF(techniques[[#This Row],[id]]=techniques[technique],1,0))-1,"")</f>
        <v/>
      </c>
      <c r="I234" s="74">
        <f t="array" ref="I234">IF(SUM(IF($C234=detections[],IF(detections[is active]="yes",1,0),0))&gt;0,SUM(IF($C234=detections[],IF(detections[is active]="yes",1,0),0)),"")</f>
        <v/>
      </c>
      <c r="J234" s="74">
        <f t="array" ref="J23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34" s="74">
        <f>IF(AND(ISNUMBER(techniques[[#This Row],[number of sub techniques]]),techniques[[#This Row],[number of sub techniques]]&gt;1),techniques[number of sub techniques],1)</f>
        <v/>
      </c>
      <c r="L234" s="72" t="n"/>
      <c r="M234" s="74">
        <f t="array" ref="M23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3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34" s="26">
        <f>IF(techniques[[#This Row],[detection rules]]&gt;=techniques[[#This Row],[expected detection rules]],1,techniques[[#This Row],[detection rules]]/techniques[[#This Row],[expected detection rules]])</f>
        <v/>
      </c>
      <c r="P23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34" s="29">
        <f>IF(ISERROR(SEARCH(techniques[[#This Row],[id]],techniques[[#This Row],[name]])),"ERROR","")</f>
        <v/>
      </c>
      <c r="S23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35" ht="12.75" customHeight="1">
      <c r="A235" s="74" t="inlineStr">
        <is>
          <t>T1137</t>
        </is>
      </c>
      <c r="B235" s="74" t="inlineStr">
        <is>
          <t>T1137.005</t>
        </is>
      </c>
      <c r="C235" s="13" t="inlineStr">
        <is>
          <t>Outlook Rules (T1137.005)</t>
        </is>
      </c>
      <c r="D235" s="13" t="inlineStr">
        <is>
          <t>persistence</t>
        </is>
      </c>
      <c r="E235" s="13" t="inlineStr">
        <is>
          <t>Application Log: Application Log Content|Command: Command Execution|Module: Module Load|Process: Process Creation</t>
        </is>
      </c>
      <c r="F235" s="74" t="n">
        <v>4</v>
      </c>
      <c r="G235" s="72">
        <f t="array" ref="G235">SUM(IF(ISERROR(FIND(sources[data source],techniques[[#This Row],[data sources]])),0,1)*IF(sources[available]="yes",1,0))</f>
        <v/>
      </c>
      <c r="H235" s="73">
        <f t="array" ref="H235">IF(techniques[[#This Row],[technique]]=techniques[[#This Row],[id]],SUM(IF(techniques[[#This Row],[id]]=techniques[technique],1,0))-1,"")</f>
        <v/>
      </c>
      <c r="I235" s="74">
        <f t="array" ref="I235">IF(SUM(IF($C235=detections[],IF(detections[is active]="yes",1,0),0))&gt;0,SUM(IF($C235=detections[],IF(detections[is active]="yes",1,0),0)),"")</f>
        <v/>
      </c>
      <c r="J235" s="74">
        <f t="array" ref="J23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35" s="74">
        <f>IF(AND(ISNUMBER(techniques[[#This Row],[number of sub techniques]]),techniques[[#This Row],[number of sub techniques]]&gt;1),techniques[number of sub techniques],1)</f>
        <v/>
      </c>
      <c r="L235" s="72" t="n"/>
      <c r="M235" s="74">
        <f t="array" ref="M23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3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35" s="26">
        <f>IF(techniques[[#This Row],[detection rules]]&gt;=techniques[[#This Row],[expected detection rules]],1,techniques[[#This Row],[detection rules]]/techniques[[#This Row],[expected detection rules]])</f>
        <v/>
      </c>
      <c r="P23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35" s="29">
        <f>IF(ISERROR(SEARCH(techniques[[#This Row],[id]],techniques[[#This Row],[name]])),"ERROR","")</f>
        <v/>
      </c>
      <c r="S23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36" ht="12.75" customHeight="1">
      <c r="A236" s="74" t="inlineStr">
        <is>
          <t>T1137</t>
        </is>
      </c>
      <c r="B236" s="74" t="inlineStr">
        <is>
          <t>T1137.006</t>
        </is>
      </c>
      <c r="C236" s="13" t="inlineStr">
        <is>
          <t>Add-ins (T1137.006)</t>
        </is>
      </c>
      <c r="D236" s="13" t="inlineStr">
        <is>
          <t>persistence</t>
        </is>
      </c>
      <c r="E236" s="13" t="inlineStr">
        <is>
          <t>Application Log: Application Log Content|Command: Command Execution|File: File Creation|File: File Modification|Process: Process Creation|Windows Registry: Windows Registry Key Modification</t>
        </is>
      </c>
      <c r="F236" s="74" t="n">
        <v>6</v>
      </c>
      <c r="G236" s="72">
        <f t="array" ref="G236">SUM(IF(ISERROR(FIND(sources[data source],techniques[[#This Row],[data sources]])),0,1)*IF(sources[available]="yes",1,0))</f>
        <v/>
      </c>
      <c r="H236" s="73">
        <f t="array" ref="H236">IF(techniques[[#This Row],[technique]]=techniques[[#This Row],[id]],SUM(IF(techniques[[#This Row],[id]]=techniques[technique],1,0))-1,"")</f>
        <v/>
      </c>
      <c r="I236" s="74">
        <f t="array" ref="I236">IF(SUM(IF($C236=detections[],IF(detections[is active]="yes",1,0),0))&gt;0,SUM(IF($C236=detections[],IF(detections[is active]="yes",1,0),0)),"")</f>
        <v/>
      </c>
      <c r="J236" s="74">
        <f t="array" ref="J23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36" s="74">
        <f>IF(AND(ISNUMBER(techniques[[#This Row],[number of sub techniques]]),techniques[[#This Row],[number of sub techniques]]&gt;1),techniques[number of sub techniques],1)</f>
        <v/>
      </c>
      <c r="L236" s="72" t="n"/>
      <c r="M236" s="74">
        <f t="array" ref="M23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3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36" s="26">
        <f>IF(techniques[[#This Row],[detection rules]]&gt;=techniques[[#This Row],[expected detection rules]],1,techniques[[#This Row],[detection rules]]/techniques[[#This Row],[expected detection rules]])</f>
        <v/>
      </c>
      <c r="P23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36" s="29">
        <f>IF(ISERROR(SEARCH(techniques[[#This Row],[id]],techniques[[#This Row],[name]])),"ERROR","")</f>
        <v/>
      </c>
      <c r="S23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37" ht="12.75" customHeight="1">
      <c r="A237" s="74" t="inlineStr">
        <is>
          <t>T1140</t>
        </is>
      </c>
      <c r="B237" s="74" t="inlineStr">
        <is>
          <t>T1140</t>
        </is>
      </c>
      <c r="C237" s="13" t="inlineStr">
        <is>
          <t>Deobfuscate/Decode Files or Information (T1140)</t>
        </is>
      </c>
      <c r="D237" s="13" t="inlineStr">
        <is>
          <t>stealth</t>
        </is>
      </c>
      <c r="E237" s="13" t="inlineStr">
        <is>
          <t>Command: Command Execution|File: File Creation|Process: Process Access|Process: Process Creation</t>
        </is>
      </c>
      <c r="F237" s="74" t="n">
        <v>4</v>
      </c>
      <c r="G237" s="72">
        <f t="array" ref="G237">SUM(IF(ISERROR(FIND(sources[data source],techniques[[#This Row],[data sources]])),0,1)*IF(sources[available]="yes",1,0))</f>
        <v/>
      </c>
      <c r="H237" s="73">
        <f t="array" ref="H237">IF(techniques[[#This Row],[technique]]=techniques[[#This Row],[id]],SUM(IF(techniques[[#This Row],[id]]=techniques[technique],1,0))-1,"")</f>
        <v/>
      </c>
      <c r="I237" s="74">
        <f t="array" ref="I237">IF(SUM(IF($C237=detections[],IF(detections[is active]="yes",1,0),0))&gt;0,SUM(IF($C237=detections[],IF(detections[is active]="yes",1,0),0)),"")</f>
        <v/>
      </c>
      <c r="J237" s="74">
        <f t="array" ref="J23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37" s="74">
        <f>IF(AND(ISNUMBER(techniques[[#This Row],[number of sub techniques]]),techniques[[#This Row],[number of sub techniques]]&gt;1),techniques[number of sub techniques],1)</f>
        <v/>
      </c>
      <c r="L237" s="72" t="n"/>
      <c r="M237" s="74">
        <f t="array" ref="M23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3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37" s="26">
        <f>IF(techniques[[#This Row],[detection rules]]&gt;=techniques[[#This Row],[expected detection rules]],1,techniques[[#This Row],[detection rules]]/techniques[[#This Row],[expected detection rules]])</f>
        <v/>
      </c>
      <c r="P23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37" s="29">
        <f>IF(ISERROR(SEARCH(techniques[[#This Row],[id]],techniques[[#This Row],[name]])),"ERROR","")</f>
        <v/>
      </c>
      <c r="S23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38" ht="12.75" customHeight="1">
      <c r="A238" s="74" t="inlineStr">
        <is>
          <t>T1176</t>
        </is>
      </c>
      <c r="B238" s="74" t="inlineStr">
        <is>
          <t>T1176</t>
        </is>
      </c>
      <c r="C238" s="13" t="inlineStr">
        <is>
          <t>Software Extensions (T1176)</t>
        </is>
      </c>
      <c r="D238" s="13" t="inlineStr">
        <is>
          <t>persistence</t>
        </is>
      </c>
      <c r="E238" s="13" t="inlineStr">
        <is>
          <t>Command: Command Execution|File: File Creation|Network Traffic: Network Connection Creation|Network Traffic: Network Traffic Flow|Process: Process Creation|Windows Registry: Windows Registry Key Modification</t>
        </is>
      </c>
      <c r="F238" s="74" t="n">
        <v>6</v>
      </c>
      <c r="G238" s="72">
        <f t="array" ref="G238">SUM(IF(ISERROR(FIND(sources[data source],techniques[[#This Row],[data sources]])),0,1)*IF(sources[available]="yes",1,0))</f>
        <v/>
      </c>
      <c r="H238" s="73">
        <f t="array" ref="H238">IF(techniques[[#This Row],[technique]]=techniques[[#This Row],[id]],SUM(IF(techniques[[#This Row],[id]]=techniques[technique],1,0))-1,"")</f>
        <v/>
      </c>
      <c r="I238" s="74">
        <f t="array" ref="I238">IF(SUM(IF($C238=detections[],IF(detections[is active]="yes",1,0),0))&gt;0,SUM(IF($C238=detections[],IF(detections[is active]="yes",1,0),0)),"")</f>
        <v/>
      </c>
      <c r="J238" s="74">
        <f t="array" ref="J23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38" s="74">
        <f>IF(AND(ISNUMBER(techniques[[#This Row],[number of sub techniques]]),techniques[[#This Row],[number of sub techniques]]&gt;1),techniques[number of sub techniques],1)</f>
        <v/>
      </c>
      <c r="L238" s="72" t="n"/>
      <c r="M238" s="74">
        <f t="array" ref="M23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3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38" s="26">
        <f>IF(techniques[[#This Row],[detection rules]]&gt;=techniques[[#This Row],[expected detection rules]],1,techniques[[#This Row],[detection rules]]/techniques[[#This Row],[expected detection rules]])</f>
        <v/>
      </c>
      <c r="P23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38" s="29">
        <f>IF(ISERROR(SEARCH(techniques[[#This Row],[id]],techniques[[#This Row],[name]])),"ERROR","")</f>
        <v/>
      </c>
      <c r="S23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39" ht="12.75" customHeight="1">
      <c r="A239" s="74" t="inlineStr">
        <is>
          <t>T1176</t>
        </is>
      </c>
      <c r="B239" s="74" t="inlineStr">
        <is>
          <t>T1176.001</t>
        </is>
      </c>
      <c r="C239" s="13" t="inlineStr">
        <is>
          <t>Browser Extensions (T1176.001)</t>
        </is>
      </c>
      <c r="D239" s="13" t="inlineStr">
        <is>
          <t>persistence</t>
        </is>
      </c>
      <c r="E239" s="13" t="inlineStr">
        <is>
          <t>Command: Command Execution|File: File Access|File: File Creation|Network Traffic: Network Connection Creation|Network Traffic: Network Traffic Content|Process: Process Creation|Windows Registry: Windows Registry Key Modification</t>
        </is>
      </c>
      <c r="F239" s="74" t="n">
        <v>7</v>
      </c>
      <c r="G239" s="72">
        <f t="array" ref="G239">SUM(IF(ISERROR(FIND(sources[data source],techniques[[#This Row],[data sources]])),0,1)*IF(sources[available]="yes",1,0))</f>
        <v/>
      </c>
      <c r="H239" s="73">
        <f t="array" ref="H239">IF(techniques[[#This Row],[technique]]=techniques[[#This Row],[id]],SUM(IF(techniques[[#This Row],[id]]=techniques[technique],1,0))-1,"")</f>
        <v/>
      </c>
      <c r="I239" s="74">
        <f t="array" ref="I239">IF(SUM(IF($C239=detections[],IF(detections[is active]="yes",1,0),0))&gt;0,SUM(IF($C239=detections[],IF(detections[is active]="yes",1,0),0)),"")</f>
        <v/>
      </c>
      <c r="J239" s="74">
        <f t="array" ref="J23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39" s="74">
        <f>IF(AND(ISNUMBER(techniques[[#This Row],[number of sub techniques]]),techniques[[#This Row],[number of sub techniques]]&gt;1),techniques[number of sub techniques],1)</f>
        <v/>
      </c>
      <c r="L239" s="72" t="n"/>
      <c r="M239" s="74">
        <f t="array" ref="M23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3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39" s="26">
        <f>IF(techniques[[#This Row],[detection rules]]&gt;=techniques[[#This Row],[expected detection rules]],1,techniques[[#This Row],[detection rules]]/techniques[[#This Row],[expected detection rules]])</f>
        <v/>
      </c>
      <c r="P23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39" s="29">
        <f>IF(ISERROR(SEARCH(techniques[[#This Row],[id]],techniques[[#This Row],[name]])),"ERROR","")</f>
        <v/>
      </c>
      <c r="S23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40" ht="12.75" customHeight="1">
      <c r="A240" s="74" t="inlineStr">
        <is>
          <t>T1176</t>
        </is>
      </c>
      <c r="B240" s="74" t="inlineStr">
        <is>
          <t>T1176.002</t>
        </is>
      </c>
      <c r="C240" s="13" t="inlineStr">
        <is>
          <t>IDE Extensions (T1176.002)</t>
        </is>
      </c>
      <c r="D240" s="13" t="inlineStr">
        <is>
          <t>persistence</t>
        </is>
      </c>
      <c r="E240" s="13" t="inlineStr">
        <is>
          <t>File: File Creation|Network Traffic: Network Connection Creation|Network Traffic: Network Traffic Flow|Process: Process Creation</t>
        </is>
      </c>
      <c r="F240" s="74" t="n">
        <v>4</v>
      </c>
      <c r="G240" s="72">
        <f t="array" ref="G240">SUM(IF(ISERROR(FIND(sources[data source],techniques[[#This Row],[data sources]])),0,1)*IF(sources[available]="yes",1,0))</f>
        <v/>
      </c>
      <c r="H240" s="73">
        <f t="array" ref="H240">IF(techniques[[#This Row],[technique]]=techniques[[#This Row],[id]],SUM(IF(techniques[[#This Row],[id]]=techniques[technique],1,0))-1,"")</f>
        <v/>
      </c>
      <c r="I240" s="74">
        <f t="array" ref="I240">IF(SUM(IF($C240=detections[],IF(detections[is active]="yes",1,0),0))&gt;0,SUM(IF($C240=detections[],IF(detections[is active]="yes",1,0),0)),"")</f>
        <v/>
      </c>
      <c r="J240" s="74">
        <f t="array" ref="J24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40" s="74">
        <f>IF(AND(ISNUMBER(techniques[[#This Row],[number of sub techniques]]),techniques[[#This Row],[number of sub techniques]]&gt;1),techniques[number of sub techniques],1)</f>
        <v/>
      </c>
      <c r="L240" s="72" t="n"/>
      <c r="M240" s="74">
        <f t="array" ref="M24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4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40" s="26">
        <f>IF(techniques[[#This Row],[detection rules]]&gt;=techniques[[#This Row],[expected detection rules]],1,techniques[[#This Row],[detection rules]]/techniques[[#This Row],[expected detection rules]])</f>
        <v/>
      </c>
      <c r="P24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40" s="29">
        <f>IF(ISERROR(SEARCH(techniques[[#This Row],[id]],techniques[[#This Row],[name]])),"ERROR","")</f>
        <v/>
      </c>
      <c r="S24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41" ht="12.75" customHeight="1">
      <c r="A241" s="74" t="inlineStr">
        <is>
          <t>T1185</t>
        </is>
      </c>
      <c r="B241" s="74" t="inlineStr">
        <is>
          <t>T1185</t>
        </is>
      </c>
      <c r="C241" s="13" t="inlineStr">
        <is>
          <t>Browser Session Hijacking (T1185)</t>
        </is>
      </c>
      <c r="D241" s="13" t="inlineStr">
        <is>
          <t>collection</t>
        </is>
      </c>
      <c r="E241" s="13" t="inlineStr">
        <is>
          <t>Logon Session: Logon Session Creation|Logon Session: Logon Session Metadata|Module: Module Load|Network Traffic: Network Connection Creation|Process: Process Access|Process: Process Modification|User Account: User Account Metadata</t>
        </is>
      </c>
      <c r="F241" s="74" t="n">
        <v>7</v>
      </c>
      <c r="G241" s="72">
        <f t="array" ref="G241">SUM(IF(ISERROR(FIND(sources[data source],techniques[[#This Row],[data sources]])),0,1)*IF(sources[available]="yes",1,0))</f>
        <v/>
      </c>
      <c r="H241" s="73">
        <f t="array" ref="H241">IF(techniques[[#This Row],[technique]]=techniques[[#This Row],[id]],SUM(IF(techniques[[#This Row],[id]]=techniques[technique],1,0))-1,"")</f>
        <v/>
      </c>
      <c r="I241" s="74">
        <f t="array" ref="I241">IF(SUM(IF($C241=detections[],IF(detections[is active]="yes",1,0),0))&gt;0,SUM(IF($C241=detections[],IF(detections[is active]="yes",1,0),0)),"")</f>
        <v/>
      </c>
      <c r="J241" s="74">
        <f t="array" ref="J24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41" s="74">
        <f>IF(AND(ISNUMBER(techniques[[#This Row],[number of sub techniques]]),techniques[[#This Row],[number of sub techniques]]&gt;1),techniques[number of sub techniques],1)</f>
        <v/>
      </c>
      <c r="L241" s="72" t="n"/>
      <c r="M241" s="74">
        <f t="array" ref="M24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4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41" s="26">
        <f>IF(techniques[[#This Row],[detection rules]]&gt;=techniques[[#This Row],[expected detection rules]],1,techniques[[#This Row],[detection rules]]/techniques[[#This Row],[expected detection rules]])</f>
        <v/>
      </c>
      <c r="P24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41" s="29">
        <f>IF(ISERROR(SEARCH(techniques[[#This Row],[id]],techniques[[#This Row],[name]])),"ERROR","")</f>
        <v/>
      </c>
      <c r="S24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42" ht="12.75" customHeight="1">
      <c r="A242" s="74" t="inlineStr">
        <is>
          <t>T1187</t>
        </is>
      </c>
      <c r="B242" s="74" t="inlineStr">
        <is>
          <t>T1187</t>
        </is>
      </c>
      <c r="C242" s="13" t="inlineStr">
        <is>
          <t>Forced Authentication (T1187)</t>
        </is>
      </c>
      <c r="D242" s="13" t="inlineStr">
        <is>
          <t>credential-access</t>
        </is>
      </c>
      <c r="E242" s="13" t="inlineStr">
        <is>
          <t>File: File Creation|File: File Modification|Network Traffic: Network Traffic Content|Network Traffic: Network Traffic Flow</t>
        </is>
      </c>
      <c r="F242" s="74" t="n">
        <v>4</v>
      </c>
      <c r="G242" s="72">
        <f t="array" ref="G242">SUM(IF(ISERROR(FIND(sources[data source],techniques[[#This Row],[data sources]])),0,1)*IF(sources[available]="yes",1,0))</f>
        <v/>
      </c>
      <c r="H242" s="73">
        <f t="array" ref="H242">IF(techniques[[#This Row],[technique]]=techniques[[#This Row],[id]],SUM(IF(techniques[[#This Row],[id]]=techniques[technique],1,0))-1,"")</f>
        <v/>
      </c>
      <c r="I242" s="74">
        <f t="array" ref="I242">IF(SUM(IF($C242=detections[],IF(detections[is active]="yes",1,0),0))&gt;0,SUM(IF($C242=detections[],IF(detections[is active]="yes",1,0),0)),"")</f>
        <v/>
      </c>
      <c r="J242" s="74">
        <f t="array" ref="J24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42" s="74">
        <f>IF(AND(ISNUMBER(techniques[[#This Row],[number of sub techniques]]),techniques[[#This Row],[number of sub techniques]]&gt;1),techniques[number of sub techniques],1)</f>
        <v/>
      </c>
      <c r="L242" s="72" t="n"/>
      <c r="M242" s="74">
        <f t="array" ref="M24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4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42" s="26">
        <f>IF(techniques[[#This Row],[detection rules]]&gt;=techniques[[#This Row],[expected detection rules]],1,techniques[[#This Row],[detection rules]]/techniques[[#This Row],[expected detection rules]])</f>
        <v/>
      </c>
      <c r="P24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42" s="29">
        <f>IF(ISERROR(SEARCH(techniques[[#This Row],[id]],techniques[[#This Row],[name]])),"ERROR","")</f>
        <v/>
      </c>
      <c r="S24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43" ht="12.75" customHeight="1">
      <c r="A243" s="74" t="inlineStr">
        <is>
          <t>T1189</t>
        </is>
      </c>
      <c r="B243" s="74" t="inlineStr">
        <is>
          <t>T1189</t>
        </is>
      </c>
      <c r="C243" s="13" t="inlineStr">
        <is>
          <t>Drive-by Compromise (T1189)</t>
        </is>
      </c>
      <c r="D243" s="13" t="inlineStr">
        <is>
          <t>initial-access</t>
        </is>
      </c>
      <c r="E243" s="13" t="inlineStr">
        <is>
          <t>Application Log: Application Log Content|File: File Creation|Logon Session: Logon Session Creation|Network Traffic: Network Connection Creation|Network Traffic: Network Traffic Content|Process: Process Creation|Process: Process Modification|User Account: User Account Authentication|User Account: User Account Metadata</t>
        </is>
      </c>
      <c r="F243" s="74" t="n">
        <v>9</v>
      </c>
      <c r="G243" s="72">
        <f t="array" ref="G243">SUM(IF(ISERROR(FIND(sources[data source],techniques[[#This Row],[data sources]])),0,1)*IF(sources[available]="yes",1,0))</f>
        <v/>
      </c>
      <c r="H243" s="73">
        <f t="array" ref="H243">IF(techniques[[#This Row],[technique]]=techniques[[#This Row],[id]],SUM(IF(techniques[[#This Row],[id]]=techniques[technique],1,0))-1,"")</f>
        <v/>
      </c>
      <c r="I243" s="74">
        <f t="array" ref="I243">IF(SUM(IF($C243=detections[],IF(detections[is active]="yes",1,0),0))&gt;0,SUM(IF($C243=detections[],IF(detections[is active]="yes",1,0),0)),"")</f>
        <v/>
      </c>
      <c r="J243" s="74">
        <f t="array" ref="J24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43" s="74">
        <f>IF(AND(ISNUMBER(techniques[[#This Row],[number of sub techniques]]),techniques[[#This Row],[number of sub techniques]]&gt;1),techniques[number of sub techniques],1)</f>
        <v/>
      </c>
      <c r="L243" s="72" t="n"/>
      <c r="M243" s="74">
        <f t="array" ref="M24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4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43" s="26">
        <f>IF(techniques[[#This Row],[detection rules]]&gt;=techniques[[#This Row],[expected detection rules]],1,techniques[[#This Row],[detection rules]]/techniques[[#This Row],[expected detection rules]])</f>
        <v/>
      </c>
      <c r="P24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43" s="29">
        <f>IF(ISERROR(SEARCH(techniques[[#This Row],[id]],techniques[[#This Row],[name]])),"ERROR","")</f>
        <v/>
      </c>
      <c r="S24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44" ht="12.75" customHeight="1">
      <c r="A244" s="74" t="inlineStr">
        <is>
          <t>T1190</t>
        </is>
      </c>
      <c r="B244" s="74" t="inlineStr">
        <is>
          <t>T1190</t>
        </is>
      </c>
      <c r="C244" s="13" t="inlineStr">
        <is>
          <t>Exploit Public-Facing Application (T1190)</t>
        </is>
      </c>
      <c r="D244" s="13" t="inlineStr">
        <is>
          <t>initial-access</t>
        </is>
      </c>
      <c r="E244" s="13" t="inlineStr">
        <is>
          <t>Application Log: Application Log Content|Module: Module Load|Network Traffic: Network Connection Creation|Network Traffic: Network Traffic Content|Network Traffic: Network Traffic Flow|Process: Process Creation</t>
        </is>
      </c>
      <c r="F244" s="74" t="n">
        <v>6</v>
      </c>
      <c r="G244" s="72">
        <f t="array" ref="G244">SUM(IF(ISERROR(FIND(sources[data source],techniques[[#This Row],[data sources]])),0,1)*IF(sources[available]="yes",1,0))</f>
        <v/>
      </c>
      <c r="H244" s="73">
        <f t="array" ref="H244">IF(techniques[[#This Row],[technique]]=techniques[[#This Row],[id]],SUM(IF(techniques[[#This Row],[id]]=techniques[technique],1,0))-1,"")</f>
        <v/>
      </c>
      <c r="I244" s="74">
        <f t="array" ref="I244">IF(SUM(IF($C244=detections[],IF(detections[is active]="yes",1,0),0))&gt;0,SUM(IF($C244=detections[],IF(detections[is active]="yes",1,0),0)),"")</f>
        <v/>
      </c>
      <c r="J244" s="74">
        <f t="array" ref="J24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44" s="74">
        <f>IF(AND(ISNUMBER(techniques[[#This Row],[number of sub techniques]]),techniques[[#This Row],[number of sub techniques]]&gt;1),techniques[number of sub techniques],1)</f>
        <v/>
      </c>
      <c r="L244" s="72" t="n"/>
      <c r="M244" s="74">
        <f t="array" ref="M24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4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44" s="26">
        <f>IF(techniques[[#This Row],[detection rules]]&gt;=techniques[[#This Row],[expected detection rules]],1,techniques[[#This Row],[detection rules]]/techniques[[#This Row],[expected detection rules]])</f>
        <v/>
      </c>
      <c r="P24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44" s="29">
        <f>IF(ISERROR(SEARCH(techniques[[#This Row],[id]],techniques[[#This Row],[name]])),"ERROR","")</f>
        <v/>
      </c>
      <c r="S24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45" ht="12.75" customHeight="1">
      <c r="A245" s="74" t="inlineStr">
        <is>
          <t>T1195</t>
        </is>
      </c>
      <c r="B245" s="74" t="inlineStr">
        <is>
          <t>T1195</t>
        </is>
      </c>
      <c r="C245" s="13" t="inlineStr">
        <is>
          <t>Supply Chain Compromise (T1195)</t>
        </is>
      </c>
      <c r="D245" s="13" t="inlineStr">
        <is>
          <t>initial-access</t>
        </is>
      </c>
      <c r="E245" s="13" t="inlineStr">
        <is>
          <t>File: File Creation|File: File Metadata|File: File Modification|Module: Module Load|Network Traffic: Network Traffic Flow|Process: Process Creation|Process: Process Modification</t>
        </is>
      </c>
      <c r="F245" s="74" t="n">
        <v>7</v>
      </c>
      <c r="G245" s="72">
        <f t="array" ref="G245">SUM(IF(ISERROR(FIND(sources[data source],techniques[[#This Row],[data sources]])),0,1)*IF(sources[available]="yes",1,0))</f>
        <v/>
      </c>
      <c r="H245" s="73">
        <f t="array" ref="H245">IF(techniques[[#This Row],[technique]]=techniques[[#This Row],[id]],SUM(IF(techniques[[#This Row],[id]]=techniques[technique],1,0))-1,"")</f>
        <v/>
      </c>
      <c r="I245" s="74">
        <f t="array" ref="I245">IF(SUM(IF($C245=detections[],IF(detections[is active]="yes",1,0),0))&gt;0,SUM(IF($C245=detections[],IF(detections[is active]="yes",1,0),0)),"")</f>
        <v/>
      </c>
      <c r="J245" s="74">
        <f t="array" ref="J24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45" s="74">
        <f>IF(AND(ISNUMBER(techniques[[#This Row],[number of sub techniques]]),techniques[[#This Row],[number of sub techniques]]&gt;1),techniques[number of sub techniques],1)</f>
        <v/>
      </c>
      <c r="L245" s="72" t="n"/>
      <c r="M245" s="74">
        <f t="array" ref="M24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4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45" s="26">
        <f>IF(techniques[[#This Row],[detection rules]]&gt;=techniques[[#This Row],[expected detection rules]],1,techniques[[#This Row],[detection rules]]/techniques[[#This Row],[expected detection rules]])</f>
        <v/>
      </c>
      <c r="P24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45" s="29">
        <f>IF(ISERROR(SEARCH(techniques[[#This Row],[id]],techniques[[#This Row],[name]])),"ERROR","")</f>
        <v/>
      </c>
      <c r="S24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46" ht="12.75" customHeight="1">
      <c r="A246" s="74" t="inlineStr">
        <is>
          <t>T1195</t>
        </is>
      </c>
      <c r="B246" s="74" t="inlineStr">
        <is>
          <t>T1195.001</t>
        </is>
      </c>
      <c r="C246" s="13" t="inlineStr">
        <is>
          <t>Compromise Software Dependencies and Development Tools (T1195.001)</t>
        </is>
      </c>
      <c r="D246" s="13" t="inlineStr">
        <is>
          <t>initial-access</t>
        </is>
      </c>
      <c r="E246" s="13" t="inlineStr">
        <is>
          <t>File: File Creation|File: File Metadata|Module: Module Load|Network Traffic: Network Traffic Flow|Process: Process Creation|Process: Process Modification|Windows Registry: Windows Registry Key Modification</t>
        </is>
      </c>
      <c r="F246" s="74" t="n">
        <v>7</v>
      </c>
      <c r="G246" s="72">
        <f t="array" ref="G246">SUM(IF(ISERROR(FIND(sources[data source],techniques[[#This Row],[data sources]])),0,1)*IF(sources[available]="yes",1,0))</f>
        <v/>
      </c>
      <c r="H246" s="73">
        <f t="array" ref="H246">IF(techniques[[#This Row],[technique]]=techniques[[#This Row],[id]],SUM(IF(techniques[[#This Row],[id]]=techniques[technique],1,0))-1,"")</f>
        <v/>
      </c>
      <c r="I246" s="74">
        <f t="array" ref="I246">IF(SUM(IF($C246=detections[],IF(detections[is active]="yes",1,0),0))&gt;0,SUM(IF($C246=detections[],IF(detections[is active]="yes",1,0),0)),"")</f>
        <v/>
      </c>
      <c r="J246" s="74">
        <f t="array" ref="J24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46" s="74">
        <f>IF(AND(ISNUMBER(techniques[[#This Row],[number of sub techniques]]),techniques[[#This Row],[number of sub techniques]]&gt;1),techniques[number of sub techniques],1)</f>
        <v/>
      </c>
      <c r="L246" s="72" t="n"/>
      <c r="M246" s="74">
        <f t="array" ref="M24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4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46" s="26">
        <f>IF(techniques[[#This Row],[detection rules]]&gt;=techniques[[#This Row],[expected detection rules]],1,techniques[[#This Row],[detection rules]]/techniques[[#This Row],[expected detection rules]])</f>
        <v/>
      </c>
      <c r="P24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46" s="29">
        <f>IF(ISERROR(SEARCH(techniques[[#This Row],[id]],techniques[[#This Row],[name]])),"ERROR","")</f>
        <v/>
      </c>
      <c r="S24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47" ht="12.75" customHeight="1">
      <c r="A247" s="74" t="inlineStr">
        <is>
          <t>T1195</t>
        </is>
      </c>
      <c r="B247" s="74" t="inlineStr">
        <is>
          <t>T1195.002</t>
        </is>
      </c>
      <c r="C247" s="13" t="inlineStr">
        <is>
          <t>Compromise Software Supply Chain (T1195.002)</t>
        </is>
      </c>
      <c r="D247" s="13" t="inlineStr">
        <is>
          <t>initial-access</t>
        </is>
      </c>
      <c r="E247" s="13" t="inlineStr">
        <is>
          <t>Driver: Driver Load|File: File Creation|File: File Metadata|Module: Module Load|Network Traffic: Network Connection Creation|Network Traffic: Network Traffic Flow|Process: Process Creation|Windows Registry: Windows Registry Key Modification</t>
        </is>
      </c>
      <c r="F247" s="74" t="n">
        <v>8</v>
      </c>
      <c r="G247" s="72">
        <f t="array" ref="G247">SUM(IF(ISERROR(FIND(sources[data source],techniques[[#This Row],[data sources]])),0,1)*IF(sources[available]="yes",1,0))</f>
        <v/>
      </c>
      <c r="H247" s="73">
        <f t="array" ref="H247">IF(techniques[[#This Row],[technique]]=techniques[[#This Row],[id]],SUM(IF(techniques[[#This Row],[id]]=techniques[technique],1,0))-1,"")</f>
        <v/>
      </c>
      <c r="I247" s="74">
        <f t="array" ref="I247">IF(SUM(IF($C247=detections[],IF(detections[is active]="yes",1,0),0))&gt;0,SUM(IF($C247=detections[],IF(detections[is active]="yes",1,0),0)),"")</f>
        <v/>
      </c>
      <c r="J247" s="74">
        <f t="array" ref="J24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47" s="74">
        <f>IF(AND(ISNUMBER(techniques[[#This Row],[number of sub techniques]]),techniques[[#This Row],[number of sub techniques]]&gt;1),techniques[number of sub techniques],1)</f>
        <v/>
      </c>
      <c r="L247" s="72" t="n"/>
      <c r="M247" s="74">
        <f t="array" ref="M24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4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47" s="26">
        <f>IF(techniques[[#This Row],[detection rules]]&gt;=techniques[[#This Row],[expected detection rules]],1,techniques[[#This Row],[detection rules]]/techniques[[#This Row],[expected detection rules]])</f>
        <v/>
      </c>
      <c r="P24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47" s="29">
        <f>IF(ISERROR(SEARCH(techniques[[#This Row],[id]],techniques[[#This Row],[name]])),"ERROR","")</f>
        <v/>
      </c>
      <c r="S24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48" ht="12.75" customHeight="1">
      <c r="A248" s="74" t="inlineStr">
        <is>
          <t>T1195</t>
        </is>
      </c>
      <c r="B248" s="74" t="inlineStr">
        <is>
          <t>T1195.003</t>
        </is>
      </c>
      <c r="C248" s="13" t="inlineStr">
        <is>
          <t>Compromise Hardware Supply Chain (T1195.003)</t>
        </is>
      </c>
      <c r="D248" s="13" t="inlineStr">
        <is>
          <t>initial-access</t>
        </is>
      </c>
      <c r="E248" s="13" t="inlineStr">
        <is>
          <t>Driver: Driver Load|File: File Metadata|Module: Module Load|Process: Process Access|Sensor Health: Host Status</t>
        </is>
      </c>
      <c r="F248" s="74" t="n">
        <v>5</v>
      </c>
      <c r="G248" s="72">
        <f t="array" ref="G248">SUM(IF(ISERROR(FIND(sources[data source],techniques[[#This Row],[data sources]])),0,1)*IF(sources[available]="yes",1,0))</f>
        <v/>
      </c>
      <c r="H248" s="73">
        <f t="array" ref="H248">IF(techniques[[#This Row],[technique]]=techniques[[#This Row],[id]],SUM(IF(techniques[[#This Row],[id]]=techniques[technique],1,0))-1,"")</f>
        <v/>
      </c>
      <c r="I248" s="74">
        <f t="array" ref="I248">IF(SUM(IF($C248=detections[],IF(detections[is active]="yes",1,0),0))&gt;0,SUM(IF($C248=detections[],IF(detections[is active]="yes",1,0),0)),"")</f>
        <v/>
      </c>
      <c r="J248" s="74">
        <f t="array" ref="J24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48" s="74">
        <f>IF(AND(ISNUMBER(techniques[[#This Row],[number of sub techniques]]),techniques[[#This Row],[number of sub techniques]]&gt;1),techniques[number of sub techniques],1)</f>
        <v/>
      </c>
      <c r="L248" s="72" t="n"/>
      <c r="M248" s="74">
        <f t="array" ref="M24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4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48" s="26">
        <f>IF(techniques[[#This Row],[detection rules]]&gt;=techniques[[#This Row],[expected detection rules]],1,techniques[[#This Row],[detection rules]]/techniques[[#This Row],[expected detection rules]])</f>
        <v/>
      </c>
      <c r="P24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48" s="29">
        <f>IF(ISERROR(SEARCH(techniques[[#This Row],[id]],techniques[[#This Row],[name]])),"ERROR","")</f>
        <v/>
      </c>
      <c r="S24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49" ht="12.75" customHeight="1">
      <c r="A249" s="74" t="inlineStr">
        <is>
          <t>T1197</t>
        </is>
      </c>
      <c r="B249" s="74" t="inlineStr">
        <is>
          <t>T1197</t>
        </is>
      </c>
      <c r="C249" s="13" t="inlineStr">
        <is>
          <t>BITS Jobs (T1197)</t>
        </is>
      </c>
      <c r="D249" s="13" t="inlineStr">
        <is>
          <t>stealth|persistence|execution</t>
        </is>
      </c>
      <c r="E249" s="13" t="inlineStr">
        <is>
          <t>Command: Command Execution|Network Traffic: Network Connection Creation|Process: Process Creation|Service: Service Creation</t>
        </is>
      </c>
      <c r="F249" s="74" t="n">
        <v>4</v>
      </c>
      <c r="G249" s="72">
        <f t="array" ref="G249">SUM(IF(ISERROR(FIND(sources[data source],techniques[[#This Row],[data sources]])),0,1)*IF(sources[available]="yes",1,0))</f>
        <v/>
      </c>
      <c r="H249" s="73">
        <f t="array" ref="H249">IF(techniques[[#This Row],[technique]]=techniques[[#This Row],[id]],SUM(IF(techniques[[#This Row],[id]]=techniques[technique],1,0))-1,"")</f>
        <v/>
      </c>
      <c r="I249" s="74">
        <f t="array" ref="I249">IF(SUM(IF($C249=detections[],IF(detections[is active]="yes",1,0),0))&gt;0,SUM(IF($C249=detections[],IF(detections[is active]="yes",1,0),0)),"")</f>
        <v/>
      </c>
      <c r="J249" s="74">
        <f t="array" ref="J24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49" s="74">
        <f>IF(AND(ISNUMBER(techniques[[#This Row],[number of sub techniques]]),techniques[[#This Row],[number of sub techniques]]&gt;1),techniques[number of sub techniques],1)</f>
        <v/>
      </c>
      <c r="L249" s="72" t="n"/>
      <c r="M249" s="74">
        <f t="array" ref="M24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4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49" s="26">
        <f>IF(techniques[[#This Row],[detection rules]]&gt;=techniques[[#This Row],[expected detection rules]],1,techniques[[#This Row],[detection rules]]/techniques[[#This Row],[expected detection rules]])</f>
        <v/>
      </c>
      <c r="P24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49" s="29">
        <f>IF(ISERROR(SEARCH(techniques[[#This Row],[id]],techniques[[#This Row],[name]])),"ERROR","")</f>
        <v/>
      </c>
      <c r="S24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50" ht="12.75" customHeight="1">
      <c r="A250" s="74" t="inlineStr">
        <is>
          <t>T1199</t>
        </is>
      </c>
      <c r="B250" s="74" t="inlineStr">
        <is>
          <t>T1199</t>
        </is>
      </c>
      <c r="C250" s="13" t="inlineStr">
        <is>
          <t>Trusted Relationship (T1199)</t>
        </is>
      </c>
      <c r="D250" s="13" t="inlineStr">
        <is>
          <t>initial-access</t>
        </is>
      </c>
      <c r="E250" s="13" t="inlineStr">
        <is>
          <t>Application Log: Application Log Content|Logon Session: Logon Session Creation|Logon Session: Logon Session Metadata|Network Traffic: Network Connection Creation|Network Traffic: Network Traffic Content</t>
        </is>
      </c>
      <c r="F250" s="74" t="n">
        <v>5</v>
      </c>
      <c r="G250" s="72">
        <f t="array" ref="G250">SUM(IF(ISERROR(FIND(sources[data source],techniques[[#This Row],[data sources]])),0,1)*IF(sources[available]="yes",1,0))</f>
        <v/>
      </c>
      <c r="H250" s="73">
        <f t="array" ref="H250">IF(techniques[[#This Row],[technique]]=techniques[[#This Row],[id]],SUM(IF(techniques[[#This Row],[id]]=techniques[technique],1,0))-1,"")</f>
        <v/>
      </c>
      <c r="I250" s="74">
        <f t="array" ref="I250">IF(SUM(IF($C250=detections[],IF(detections[is active]="yes",1,0),0))&gt;0,SUM(IF($C250=detections[],IF(detections[is active]="yes",1,0),0)),"")</f>
        <v/>
      </c>
      <c r="J250" s="74">
        <f t="array" ref="J25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50" s="74">
        <f>IF(AND(ISNUMBER(techniques[[#This Row],[number of sub techniques]]),techniques[[#This Row],[number of sub techniques]]&gt;1),techniques[number of sub techniques],1)</f>
        <v/>
      </c>
      <c r="L250" s="72" t="n"/>
      <c r="M250" s="74">
        <f t="array" ref="M25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5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50" s="26">
        <f>IF(techniques[[#This Row],[detection rules]]&gt;=techniques[[#This Row],[expected detection rules]],1,techniques[[#This Row],[detection rules]]/techniques[[#This Row],[expected detection rules]])</f>
        <v/>
      </c>
      <c r="P25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50" s="29">
        <f>IF(ISERROR(SEARCH(techniques[[#This Row],[id]],techniques[[#This Row],[name]])),"ERROR","")</f>
        <v/>
      </c>
      <c r="S25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51" ht="12.75" customHeight="1">
      <c r="A251" s="74" t="inlineStr">
        <is>
          <t>T1200</t>
        </is>
      </c>
      <c r="B251" s="74" t="inlineStr">
        <is>
          <t>T1200</t>
        </is>
      </c>
      <c r="C251" s="13" t="inlineStr">
        <is>
          <t>Hardware Additions (T1200)</t>
        </is>
      </c>
      <c r="D251" s="13" t="inlineStr">
        <is>
          <t>initial-access</t>
        </is>
      </c>
      <c r="E251" s="13" t="inlineStr">
        <is>
          <t>Application Log: Application Log Content|Drive: Drive Creation|Driver: Driver Load|File: File Creation|Module: Module Load|Network Traffic: Network Connection Creation|Network Traffic: Network Traffic Flow|Process: Process Creation</t>
        </is>
      </c>
      <c r="F251" s="74" t="n">
        <v>8</v>
      </c>
      <c r="G251" s="72">
        <f t="array" ref="G251">SUM(IF(ISERROR(FIND(sources[data source],techniques[[#This Row],[data sources]])),0,1)*IF(sources[available]="yes",1,0))</f>
        <v/>
      </c>
      <c r="H251" s="73">
        <f t="array" ref="H251">IF(techniques[[#This Row],[technique]]=techniques[[#This Row],[id]],SUM(IF(techniques[[#This Row],[id]]=techniques[technique],1,0))-1,"")</f>
        <v/>
      </c>
      <c r="I251" s="74">
        <f t="array" ref="I251">IF(SUM(IF($C251=detections[],IF(detections[is active]="yes",1,0),0))&gt;0,SUM(IF($C251=detections[],IF(detections[is active]="yes",1,0),0)),"")</f>
        <v/>
      </c>
      <c r="J251" s="74">
        <f t="array" ref="J25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51" s="74">
        <f>IF(AND(ISNUMBER(techniques[[#This Row],[number of sub techniques]]),techniques[[#This Row],[number of sub techniques]]&gt;1),techniques[number of sub techniques],1)</f>
        <v/>
      </c>
      <c r="L251" s="72" t="n"/>
      <c r="M251" s="74">
        <f t="array" ref="M25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5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51" s="26">
        <f>IF(techniques[[#This Row],[detection rules]]&gt;=techniques[[#This Row],[expected detection rules]],1,techniques[[#This Row],[detection rules]]/techniques[[#This Row],[expected detection rules]])</f>
        <v/>
      </c>
      <c r="P25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51" s="29">
        <f>IF(ISERROR(SEARCH(techniques[[#This Row],[id]],techniques[[#This Row],[name]])),"ERROR","")</f>
        <v/>
      </c>
      <c r="S25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52" ht="12.75" customHeight="1">
      <c r="A252" s="74" t="inlineStr">
        <is>
          <t>T1201</t>
        </is>
      </c>
      <c r="B252" s="74" t="inlineStr">
        <is>
          <t>T1201</t>
        </is>
      </c>
      <c r="C252" s="13" t="inlineStr">
        <is>
          <t>Password Policy Discovery (T1201)</t>
        </is>
      </c>
      <c r="D252" s="13" t="inlineStr">
        <is>
          <t>discovery</t>
        </is>
      </c>
      <c r="E252" s="13" t="inlineStr">
        <is>
          <t>Active Directory: Active Directory Object Access|Command: Command Execution|Process: Process Creation|User Account: User Account Metadata</t>
        </is>
      </c>
      <c r="F252" s="74" t="n">
        <v>4</v>
      </c>
      <c r="G252" s="72">
        <f t="array" ref="G252">SUM(IF(ISERROR(FIND(sources[data source],techniques[[#This Row],[data sources]])),0,1)*IF(sources[available]="yes",1,0))</f>
        <v/>
      </c>
      <c r="H252" s="73">
        <f t="array" ref="H252">IF(techniques[[#This Row],[technique]]=techniques[[#This Row],[id]],SUM(IF(techniques[[#This Row],[id]]=techniques[technique],1,0))-1,"")</f>
        <v/>
      </c>
      <c r="I252" s="74">
        <f t="array" ref="I252">IF(SUM(IF($C252=detections[],IF(detections[is active]="yes",1,0),0))&gt;0,SUM(IF($C252=detections[],IF(detections[is active]="yes",1,0),0)),"")</f>
        <v/>
      </c>
      <c r="J252" s="74">
        <f t="array" ref="J25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52" s="74">
        <f>IF(AND(ISNUMBER(techniques[[#This Row],[number of sub techniques]]),techniques[[#This Row],[number of sub techniques]]&gt;1),techniques[number of sub techniques],1)</f>
        <v/>
      </c>
      <c r="L252" s="72" t="n"/>
      <c r="M252" s="74">
        <f t="array" ref="M25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5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52" s="26">
        <f>IF(techniques[[#This Row],[detection rules]]&gt;=techniques[[#This Row],[expected detection rules]],1,techniques[[#This Row],[detection rules]]/techniques[[#This Row],[expected detection rules]])</f>
        <v/>
      </c>
      <c r="P25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52" s="29">
        <f>IF(ISERROR(SEARCH(techniques[[#This Row],[id]],techniques[[#This Row],[name]])),"ERROR","")</f>
        <v/>
      </c>
      <c r="S25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53" ht="12.75" customHeight="1">
      <c r="A253" s="74" t="inlineStr">
        <is>
          <t>T1202</t>
        </is>
      </c>
      <c r="B253" s="74" t="inlineStr">
        <is>
          <t>T1202</t>
        </is>
      </c>
      <c r="C253" s="13" t="inlineStr">
        <is>
          <t>Indirect Command Execution (T1202)</t>
        </is>
      </c>
      <c r="D253" s="13" t="inlineStr">
        <is>
          <t>stealth</t>
        </is>
      </c>
      <c r="E253" s="13" t="inlineStr">
        <is>
          <t>File: File Creation|Network Traffic: Network Connection Creation|Process: Process Creation</t>
        </is>
      </c>
      <c r="F253" s="74" t="n">
        <v>3</v>
      </c>
      <c r="G253" s="72">
        <f t="array" ref="G253">SUM(IF(ISERROR(FIND(sources[data source],techniques[[#This Row],[data sources]])),0,1)*IF(sources[available]="yes",1,0))</f>
        <v/>
      </c>
      <c r="H253" s="73">
        <f t="array" ref="H253">IF(techniques[[#This Row],[technique]]=techniques[[#This Row],[id]],SUM(IF(techniques[[#This Row],[id]]=techniques[technique],1,0))-1,"")</f>
        <v/>
      </c>
      <c r="I253" s="74">
        <f t="array" ref="I253">IF(SUM(IF($C253=detections[],IF(detections[is active]="yes",1,0),0))&gt;0,SUM(IF($C253=detections[],IF(detections[is active]="yes",1,0),0)),"")</f>
        <v/>
      </c>
      <c r="J253" s="74">
        <f t="array" ref="J25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53" s="74">
        <f>IF(AND(ISNUMBER(techniques[[#This Row],[number of sub techniques]]),techniques[[#This Row],[number of sub techniques]]&gt;1),techniques[number of sub techniques],1)</f>
        <v/>
      </c>
      <c r="L253" s="72" t="n"/>
      <c r="M253" s="74">
        <f t="array" ref="M25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5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53" s="26">
        <f>IF(techniques[[#This Row],[detection rules]]&gt;=techniques[[#This Row],[expected detection rules]],1,techniques[[#This Row],[detection rules]]/techniques[[#This Row],[expected detection rules]])</f>
        <v/>
      </c>
      <c r="P25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53" s="29">
        <f>IF(ISERROR(SEARCH(techniques[[#This Row],[id]],techniques[[#This Row],[name]])),"ERROR","")</f>
        <v/>
      </c>
      <c r="S25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54" ht="12.75" customHeight="1">
      <c r="A254" s="74" t="inlineStr">
        <is>
          <t>T1203</t>
        </is>
      </c>
      <c r="B254" s="74" t="inlineStr">
        <is>
          <t>T1203</t>
        </is>
      </c>
      <c r="C254" s="13" t="inlineStr">
        <is>
          <t>Exploitation for Client Execution (T1203)</t>
        </is>
      </c>
      <c r="D254" s="13" t="inlineStr">
        <is>
          <t>execution</t>
        </is>
      </c>
      <c r="E254" s="13" t="inlineStr">
        <is>
          <t>Application Log: Application Log Content|File: File Access|File: File Creation|File: File Modification|Network Traffic: Network Connection Creation|Network Traffic: Network Traffic Flow|Process: Process Creation</t>
        </is>
      </c>
      <c r="F254" s="74" t="n">
        <v>7</v>
      </c>
      <c r="G254" s="72">
        <f t="array" ref="G254">SUM(IF(ISERROR(FIND(sources[data source],techniques[[#This Row],[data sources]])),0,1)*IF(sources[available]="yes",1,0))</f>
        <v/>
      </c>
      <c r="H254" s="73">
        <f t="array" ref="H254">IF(techniques[[#This Row],[technique]]=techniques[[#This Row],[id]],SUM(IF(techniques[[#This Row],[id]]=techniques[technique],1,0))-1,"")</f>
        <v/>
      </c>
      <c r="I254" s="74">
        <f t="array" ref="I254">IF(SUM(IF($C254=detections[],IF(detections[is active]="yes",1,0),0))&gt;0,SUM(IF($C254=detections[],IF(detections[is active]="yes",1,0),0)),"")</f>
        <v/>
      </c>
      <c r="J254" s="74">
        <f t="array" ref="J25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54" s="74">
        <f>IF(AND(ISNUMBER(techniques[[#This Row],[number of sub techniques]]),techniques[[#This Row],[number of sub techniques]]&gt;1),techniques[number of sub techniques],1)</f>
        <v/>
      </c>
      <c r="L254" s="72" t="n"/>
      <c r="M254" s="74">
        <f t="array" ref="M25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5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54" s="26">
        <f>IF(techniques[[#This Row],[detection rules]]&gt;=techniques[[#This Row],[expected detection rules]],1,techniques[[#This Row],[detection rules]]/techniques[[#This Row],[expected detection rules]])</f>
        <v/>
      </c>
      <c r="P25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54" s="29">
        <f>IF(ISERROR(SEARCH(techniques[[#This Row],[id]],techniques[[#This Row],[name]])),"ERROR","")</f>
        <v/>
      </c>
      <c r="S25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55" ht="12.75" customHeight="1">
      <c r="A255" s="74" t="inlineStr">
        <is>
          <t>T1204</t>
        </is>
      </c>
      <c r="B255" s="74" t="inlineStr">
        <is>
          <t>T1204</t>
        </is>
      </c>
      <c r="C255" s="13" t="inlineStr">
        <is>
          <t>User Execution (T1204)</t>
        </is>
      </c>
      <c r="D255" s="13" t="inlineStr">
        <is>
          <t>execution</t>
        </is>
      </c>
      <c r="E255" s="13" t="inlineStr">
        <is>
          <t>Application Log: Application Log Content|Container: Container Creation|Container: Container Start|File: File Access|File: File Creation|File: File Modification|Instance: Instance Creation|Instance: Instance Start|Network Traffic: Network Connection Creation|Network Traffic: Network Traffic Content|Process: Process Creation</t>
        </is>
      </c>
      <c r="F255" s="74" t="n">
        <v>11</v>
      </c>
      <c r="G255" s="72">
        <f t="array" ref="G255">SUM(IF(ISERROR(FIND(sources[data source],techniques[[#This Row],[data sources]])),0,1)*IF(sources[available]="yes",1,0))</f>
        <v/>
      </c>
      <c r="H255" s="73">
        <f t="array" ref="H255">IF(techniques[[#This Row],[technique]]=techniques[[#This Row],[id]],SUM(IF(techniques[[#This Row],[id]]=techniques[technique],1,0))-1,"")</f>
        <v/>
      </c>
      <c r="I255" s="74">
        <f t="array" ref="I255">IF(SUM(IF($C255=detections[],IF(detections[is active]="yes",1,0),0))&gt;0,SUM(IF($C255=detections[],IF(detections[is active]="yes",1,0),0)),"")</f>
        <v/>
      </c>
      <c r="J255" s="74">
        <f t="array" ref="J25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55" s="74">
        <f>IF(AND(ISNUMBER(techniques[[#This Row],[number of sub techniques]]),techniques[[#This Row],[number of sub techniques]]&gt;1),techniques[number of sub techniques],1)</f>
        <v/>
      </c>
      <c r="L255" s="72" t="n"/>
      <c r="M255" s="74">
        <f t="array" ref="M25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5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55" s="26">
        <f>IF(techniques[[#This Row],[detection rules]]&gt;=techniques[[#This Row],[expected detection rules]],1,techniques[[#This Row],[detection rules]]/techniques[[#This Row],[expected detection rules]])</f>
        <v/>
      </c>
      <c r="P25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55" s="29">
        <f>IF(ISERROR(SEARCH(techniques[[#This Row],[id]],techniques[[#This Row],[name]])),"ERROR","")</f>
        <v/>
      </c>
      <c r="S25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56" ht="12.75" customHeight="1">
      <c r="A256" s="74" t="inlineStr">
        <is>
          <t>T1204</t>
        </is>
      </c>
      <c r="B256" s="74" t="inlineStr">
        <is>
          <t>T1204.001</t>
        </is>
      </c>
      <c r="C256" s="13" t="inlineStr">
        <is>
          <t>Malicious Link (T1204.001)</t>
        </is>
      </c>
      <c r="D256" s="13" t="inlineStr">
        <is>
          <t>execution</t>
        </is>
      </c>
      <c r="E256" s="13" t="inlineStr">
        <is>
          <t>File: File Creation|Network Traffic: Network Connection Creation|Network Traffic: Network Traffic Content|Process: Process Creation</t>
        </is>
      </c>
      <c r="F256" s="74" t="n">
        <v>4</v>
      </c>
      <c r="G256" s="72">
        <f t="array" ref="G256">SUM(IF(ISERROR(FIND(sources[data source],techniques[[#This Row],[data sources]])),0,1)*IF(sources[available]="yes",1,0))</f>
        <v/>
      </c>
      <c r="H256" s="73">
        <f t="array" ref="H256">IF(techniques[[#This Row],[technique]]=techniques[[#This Row],[id]],SUM(IF(techniques[[#This Row],[id]]=techniques[technique],1,0))-1,"")</f>
        <v/>
      </c>
      <c r="I256" s="74">
        <f t="array" ref="I256">IF(SUM(IF($C256=detections[],IF(detections[is active]="yes",1,0),0))&gt;0,SUM(IF($C256=detections[],IF(detections[is active]="yes",1,0),0)),"")</f>
        <v/>
      </c>
      <c r="J256" s="74">
        <f t="array" ref="J25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56" s="74">
        <f>IF(AND(ISNUMBER(techniques[[#This Row],[number of sub techniques]]),techniques[[#This Row],[number of sub techniques]]&gt;1),techniques[number of sub techniques],1)</f>
        <v/>
      </c>
      <c r="L256" s="72" t="n"/>
      <c r="M256" s="74">
        <f t="array" ref="M25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5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56" s="26">
        <f>IF(techniques[[#This Row],[detection rules]]&gt;=techniques[[#This Row],[expected detection rules]],1,techniques[[#This Row],[detection rules]]/techniques[[#This Row],[expected detection rules]])</f>
        <v/>
      </c>
      <c r="P25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56" s="29">
        <f>IF(ISERROR(SEARCH(techniques[[#This Row],[id]],techniques[[#This Row],[name]])),"ERROR","")</f>
        <v/>
      </c>
      <c r="S25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57" ht="12.75" customHeight="1">
      <c r="A257" s="74" t="inlineStr">
        <is>
          <t>T1204</t>
        </is>
      </c>
      <c r="B257" s="74" t="inlineStr">
        <is>
          <t>T1204.002</t>
        </is>
      </c>
      <c r="C257" s="13" t="inlineStr">
        <is>
          <t>Malicious File (T1204.002)</t>
        </is>
      </c>
      <c r="D257" s="13" t="inlineStr">
        <is>
          <t>execution</t>
        </is>
      </c>
      <c r="E257" s="13" t="inlineStr">
        <is>
          <t>File: File Creation|File: File Metadata|Process: Process Creation</t>
        </is>
      </c>
      <c r="F257" s="74" t="n">
        <v>3</v>
      </c>
      <c r="G257" s="72">
        <f t="array" ref="G257">SUM(IF(ISERROR(FIND(sources[data source],techniques[[#This Row],[data sources]])),0,1)*IF(sources[available]="yes",1,0))</f>
        <v/>
      </c>
      <c r="H257" s="73">
        <f t="array" ref="H257">IF(techniques[[#This Row],[technique]]=techniques[[#This Row],[id]],SUM(IF(techniques[[#This Row],[id]]=techniques[technique],1,0))-1,"")</f>
        <v/>
      </c>
      <c r="I257" s="74">
        <f t="array" ref="I257">IF(SUM(IF($C257=detections[],IF(detections[is active]="yes",1,0),0))&gt;0,SUM(IF($C257=detections[],IF(detections[is active]="yes",1,0),0)),"")</f>
        <v/>
      </c>
      <c r="J257" s="74">
        <f t="array" ref="J25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57" s="74">
        <f>IF(AND(ISNUMBER(techniques[[#This Row],[number of sub techniques]]),techniques[[#This Row],[number of sub techniques]]&gt;1),techniques[number of sub techniques],1)</f>
        <v/>
      </c>
      <c r="L257" s="72" t="n"/>
      <c r="M257" s="74">
        <f t="array" ref="M25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5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57" s="26">
        <f>IF(techniques[[#This Row],[detection rules]]&gt;=techniques[[#This Row],[expected detection rules]],1,techniques[[#This Row],[detection rules]]/techniques[[#This Row],[expected detection rules]])</f>
        <v/>
      </c>
      <c r="P25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57" s="29">
        <f>IF(ISERROR(SEARCH(techniques[[#This Row],[id]],techniques[[#This Row],[name]])),"ERROR","")</f>
        <v/>
      </c>
      <c r="S25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58" ht="12.75" customHeight="1">
      <c r="A258" s="74" t="inlineStr">
        <is>
          <t>T1204</t>
        </is>
      </c>
      <c r="B258" s="74" t="inlineStr">
        <is>
          <t>T1204.003</t>
        </is>
      </c>
      <c r="C258" s="13" t="inlineStr">
        <is>
          <t>Malicious Image (T1204.003)</t>
        </is>
      </c>
      <c r="D258" s="13" t="inlineStr">
        <is>
          <t>execution</t>
        </is>
      </c>
      <c r="E258" s="13" t="inlineStr">
        <is>
          <t>Command: Command Execution|Container: Container Creation|Container: Container Start|Image: Image Creation|Instance: Instance Creation|Instance: Instance Start|Network Traffic: Network Traffic Content|Process: Process Creation</t>
        </is>
      </c>
      <c r="F258" s="74" t="n">
        <v>8</v>
      </c>
      <c r="G258" s="72">
        <f t="array" ref="G258">SUM(IF(ISERROR(FIND(sources[data source],techniques[[#This Row],[data sources]])),0,1)*IF(sources[available]="yes",1,0))</f>
        <v/>
      </c>
      <c r="H258" s="73">
        <f t="array" ref="H258">IF(techniques[[#This Row],[technique]]=techniques[[#This Row],[id]],SUM(IF(techniques[[#This Row],[id]]=techniques[technique],1,0))-1,"")</f>
        <v/>
      </c>
      <c r="I258" s="74">
        <f t="array" ref="I258">IF(SUM(IF($C258=detections[],IF(detections[is active]="yes",1,0),0))&gt;0,SUM(IF($C258=detections[],IF(detections[is active]="yes",1,0),0)),"")</f>
        <v/>
      </c>
      <c r="J258" s="74">
        <f t="array" ref="J25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58" s="74">
        <f>IF(AND(ISNUMBER(techniques[[#This Row],[number of sub techniques]]),techniques[[#This Row],[number of sub techniques]]&gt;1),techniques[number of sub techniques],1)</f>
        <v/>
      </c>
      <c r="L258" s="72" t="n"/>
      <c r="M258" s="74">
        <f t="array" ref="M25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5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58" s="26">
        <f>IF(techniques[[#This Row],[detection rules]]&gt;=techniques[[#This Row],[expected detection rules]],1,techniques[[#This Row],[detection rules]]/techniques[[#This Row],[expected detection rules]])</f>
        <v/>
      </c>
      <c r="P25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58" s="29">
        <f>IF(ISERROR(SEARCH(techniques[[#This Row],[id]],techniques[[#This Row],[name]])),"ERROR","")</f>
        <v/>
      </c>
      <c r="S25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59" ht="12.75" customHeight="1">
      <c r="A259" s="74" t="inlineStr">
        <is>
          <t>T1204</t>
        </is>
      </c>
      <c r="B259" s="74" t="inlineStr">
        <is>
          <t>T1204.004</t>
        </is>
      </c>
      <c r="C259" s="13" t="inlineStr">
        <is>
          <t>Malicious Copy and Paste (T1204.004)</t>
        </is>
      </c>
      <c r="D259" s="13" t="inlineStr">
        <is>
          <t>execution</t>
        </is>
      </c>
      <c r="E259" s="13" t="inlineStr">
        <is>
          <t>Command: Command Execution|File: File Creation|Network Traffic: Network Connection Creation|Network Traffic: Network Traffic Content|Process: Process Creation</t>
        </is>
      </c>
      <c r="F259" s="74" t="n">
        <v>5</v>
      </c>
      <c r="G259" s="72">
        <f t="array" ref="G259">SUM(IF(ISERROR(FIND(sources[data source],techniques[[#This Row],[data sources]])),0,1)*IF(sources[available]="yes",1,0))</f>
        <v/>
      </c>
      <c r="H259" s="73">
        <f t="array" ref="H259">IF(techniques[[#This Row],[technique]]=techniques[[#This Row],[id]],SUM(IF(techniques[[#This Row],[id]]=techniques[technique],1,0))-1,"")</f>
        <v/>
      </c>
      <c r="I259" s="74">
        <f t="array" ref="I259">IF(SUM(IF($C259=detections[],IF(detections[is active]="yes",1,0),0))&gt;0,SUM(IF($C259=detections[],IF(detections[is active]="yes",1,0),0)),"")</f>
        <v/>
      </c>
      <c r="J259" s="74">
        <f t="array" ref="J25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59" s="74">
        <f>IF(AND(ISNUMBER(techniques[[#This Row],[number of sub techniques]]),techniques[[#This Row],[number of sub techniques]]&gt;1),techniques[number of sub techniques],1)</f>
        <v/>
      </c>
      <c r="L259" s="72" t="n"/>
      <c r="M259" s="74">
        <f t="array" ref="M25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5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59" s="26">
        <f>IF(techniques[[#This Row],[detection rules]]&gt;=techniques[[#This Row],[expected detection rules]],1,techniques[[#This Row],[detection rules]]/techniques[[#This Row],[expected detection rules]])</f>
        <v/>
      </c>
      <c r="P25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59" s="29">
        <f>IF(ISERROR(SEARCH(techniques[[#This Row],[id]],techniques[[#This Row],[name]])),"ERROR","")</f>
        <v/>
      </c>
      <c r="S25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60" ht="12.75" customHeight="1">
      <c r="A260" s="74" t="inlineStr">
        <is>
          <t>T1204</t>
        </is>
      </c>
      <c r="B260" s="74" t="inlineStr">
        <is>
          <t>T1204.005</t>
        </is>
      </c>
      <c r="C260" s="13" t="inlineStr">
        <is>
          <t>Malicious Library (T1204.005)</t>
        </is>
      </c>
      <c r="D260" s="13" t="inlineStr">
        <is>
          <t>execution</t>
        </is>
      </c>
      <c r="E260" s="13" t="inlineStr">
        <is>
          <t>File: File Creation|File: File Metadata|Network Traffic: Network Connection Creation|Network Traffic: Network Traffic Content|Process: Process Creation</t>
        </is>
      </c>
      <c r="F260" s="74" t="n">
        <v>5</v>
      </c>
      <c r="G260" s="72">
        <f t="array" ref="G260">SUM(IF(ISERROR(FIND(sources[data source],techniques[[#This Row],[data sources]])),0,1)*IF(sources[available]="yes",1,0))</f>
        <v/>
      </c>
      <c r="H260" s="73">
        <f t="array" ref="H260">IF(techniques[[#This Row],[technique]]=techniques[[#This Row],[id]],SUM(IF(techniques[[#This Row],[id]]=techniques[technique],1,0))-1,"")</f>
        <v/>
      </c>
      <c r="I260" s="74">
        <f t="array" ref="I260">IF(SUM(IF($C260=detections[],IF(detections[is active]="yes",1,0),0))&gt;0,SUM(IF($C260=detections[],IF(detections[is active]="yes",1,0),0)),"")</f>
        <v/>
      </c>
      <c r="J260" s="74">
        <f t="array" ref="J26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60" s="74">
        <f>IF(AND(ISNUMBER(techniques[[#This Row],[number of sub techniques]]),techniques[[#This Row],[number of sub techniques]]&gt;1),techniques[number of sub techniques],1)</f>
        <v/>
      </c>
      <c r="L260" s="72" t="n"/>
      <c r="M260" s="74">
        <f t="array" ref="M26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6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60" s="26">
        <f>IF(techniques[[#This Row],[detection rules]]&gt;=techniques[[#This Row],[expected detection rules]],1,techniques[[#This Row],[detection rules]]/techniques[[#This Row],[expected detection rules]])</f>
        <v/>
      </c>
      <c r="P26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60" s="29">
        <f>IF(ISERROR(SEARCH(techniques[[#This Row],[id]],techniques[[#This Row],[name]])),"ERROR","")</f>
        <v/>
      </c>
      <c r="S26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61" ht="12.75" customHeight="1">
      <c r="A261" s="74" t="inlineStr">
        <is>
          <t>T1205</t>
        </is>
      </c>
      <c r="B261" s="74" t="inlineStr">
        <is>
          <t>T1205</t>
        </is>
      </c>
      <c r="C261" s="13" t="inlineStr">
        <is>
          <t>Traffic Signaling (T1205)</t>
        </is>
      </c>
      <c r="D261" s="13" t="inlineStr">
        <is>
          <t>stealth|persistence|command-and-control</t>
        </is>
      </c>
      <c r="E261" s="13" t="inlineStr">
        <is>
          <t>Command: Command Execution|Network Traffic: Network Connection Creation|Network Traffic: Network Traffic Content|Network Traffic: Network Traffic Flow|Process: Process Creation</t>
        </is>
      </c>
      <c r="F261" s="74" t="n">
        <v>5</v>
      </c>
      <c r="G261" s="72">
        <f t="array" ref="G261">SUM(IF(ISERROR(FIND(sources[data source],techniques[[#This Row],[data sources]])),0,1)*IF(sources[available]="yes",1,0))</f>
        <v/>
      </c>
      <c r="H261" s="73">
        <f t="array" ref="H261">IF(techniques[[#This Row],[technique]]=techniques[[#This Row],[id]],SUM(IF(techniques[[#This Row],[id]]=techniques[technique],1,0))-1,"")</f>
        <v/>
      </c>
      <c r="I261" s="74">
        <f t="array" ref="I261">IF(SUM(IF($C261=detections[],IF(detections[is active]="yes",1,0),0))&gt;0,SUM(IF($C261=detections[],IF(detections[is active]="yes",1,0),0)),"")</f>
        <v/>
      </c>
      <c r="J261" s="74">
        <f t="array" ref="J26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61" s="74">
        <f>IF(AND(ISNUMBER(techniques[[#This Row],[number of sub techniques]]),techniques[[#This Row],[number of sub techniques]]&gt;1),techniques[number of sub techniques],1)</f>
        <v/>
      </c>
      <c r="L261" s="72" t="n"/>
      <c r="M261" s="74">
        <f t="array" ref="M26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6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61" s="26">
        <f>IF(techniques[[#This Row],[detection rules]]&gt;=techniques[[#This Row],[expected detection rules]],1,techniques[[#This Row],[detection rules]]/techniques[[#This Row],[expected detection rules]])</f>
        <v/>
      </c>
      <c r="P26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61" s="29">
        <f>IF(ISERROR(SEARCH(techniques[[#This Row],[id]],techniques[[#This Row],[name]])),"ERROR","")</f>
        <v/>
      </c>
      <c r="S26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62" ht="12.75" customHeight="1">
      <c r="A262" s="74" t="inlineStr">
        <is>
          <t>T1205</t>
        </is>
      </c>
      <c r="B262" s="74" t="inlineStr">
        <is>
          <t>T1205.001</t>
        </is>
      </c>
      <c r="C262" s="13" t="inlineStr">
        <is>
          <t>Port Knocking (T1205.001)</t>
        </is>
      </c>
      <c r="D262" s="13" t="inlineStr">
        <is>
          <t>stealth|persistence|command-and-control</t>
        </is>
      </c>
      <c r="E262" s="13" t="inlineStr">
        <is>
          <t>Network Traffic: Network Connection Creation|Network Traffic: Network Traffic Flow|Process: Process Creation</t>
        </is>
      </c>
      <c r="F262" s="74" t="n">
        <v>3</v>
      </c>
      <c r="G262" s="72">
        <f t="array" ref="G262">SUM(IF(ISERROR(FIND(sources[data source],techniques[[#This Row],[data sources]])),0,1)*IF(sources[available]="yes",1,0))</f>
        <v/>
      </c>
      <c r="H262" s="73">
        <f t="array" ref="H262">IF(techniques[[#This Row],[technique]]=techniques[[#This Row],[id]],SUM(IF(techniques[[#This Row],[id]]=techniques[technique],1,0))-1,"")</f>
        <v/>
      </c>
      <c r="I262" s="74">
        <f t="array" ref="I262">IF(SUM(IF($C262=detections[],IF(detections[is active]="yes",1,0),0))&gt;0,SUM(IF($C262=detections[],IF(detections[is active]="yes",1,0),0)),"")</f>
        <v/>
      </c>
      <c r="J262" s="74">
        <f t="array" ref="J26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62" s="74">
        <f>IF(AND(ISNUMBER(techniques[[#This Row],[number of sub techniques]]),techniques[[#This Row],[number of sub techniques]]&gt;1),techniques[number of sub techniques],1)</f>
        <v/>
      </c>
      <c r="L262" s="72" t="n"/>
      <c r="M262" s="74">
        <f t="array" ref="M26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6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62" s="26">
        <f>IF(techniques[[#This Row],[detection rules]]&gt;=techniques[[#This Row],[expected detection rules]],1,techniques[[#This Row],[detection rules]]/techniques[[#This Row],[expected detection rules]])</f>
        <v/>
      </c>
      <c r="P26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62" s="29">
        <f>IF(ISERROR(SEARCH(techniques[[#This Row],[id]],techniques[[#This Row],[name]])),"ERROR","")</f>
        <v/>
      </c>
      <c r="S26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63" ht="12.75" customHeight="1">
      <c r="A263" s="74" t="inlineStr">
        <is>
          <t>T1205</t>
        </is>
      </c>
      <c r="B263" s="74" t="inlineStr">
        <is>
          <t>T1205.002</t>
        </is>
      </c>
      <c r="C263" s="13" t="inlineStr">
        <is>
          <t>Socket Filters (T1205.002)</t>
        </is>
      </c>
      <c r="D263" s="13" t="inlineStr">
        <is>
          <t>stealth|persistence|command-and-control</t>
        </is>
      </c>
      <c r="E263" s="13" t="inlineStr">
        <is>
          <t>Driver: Driver Load|Module: Module Load|Network Traffic: Network Connection Creation|Network Traffic: Network Traffic Content|Process: Process Creation|Service: Service Creation</t>
        </is>
      </c>
      <c r="F263" s="74" t="n">
        <v>6</v>
      </c>
      <c r="G263" s="72">
        <f t="array" ref="G263">SUM(IF(ISERROR(FIND(sources[data source],techniques[[#This Row],[data sources]])),0,1)*IF(sources[available]="yes",1,0))</f>
        <v/>
      </c>
      <c r="H263" s="73">
        <f t="array" ref="H263">IF(techniques[[#This Row],[technique]]=techniques[[#This Row],[id]],SUM(IF(techniques[[#This Row],[id]]=techniques[technique],1,0))-1,"")</f>
        <v/>
      </c>
      <c r="I263" s="74">
        <f t="array" ref="I263">IF(SUM(IF($C263=detections[],IF(detections[is active]="yes",1,0),0))&gt;0,SUM(IF($C263=detections[],IF(detections[is active]="yes",1,0),0)),"")</f>
        <v/>
      </c>
      <c r="J263" s="74">
        <f t="array" ref="J26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63" s="74">
        <f>IF(AND(ISNUMBER(techniques[[#This Row],[number of sub techniques]]),techniques[[#This Row],[number of sub techniques]]&gt;1),techniques[number of sub techniques],1)</f>
        <v/>
      </c>
      <c r="L263" s="72" t="n"/>
      <c r="M263" s="74">
        <f t="array" ref="M26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6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63" s="26">
        <f>IF(techniques[[#This Row],[detection rules]]&gt;=techniques[[#This Row],[expected detection rules]],1,techniques[[#This Row],[detection rules]]/techniques[[#This Row],[expected detection rules]])</f>
        <v/>
      </c>
      <c r="P26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63" s="29">
        <f>IF(ISERROR(SEARCH(techniques[[#This Row],[id]],techniques[[#This Row],[name]])),"ERROR","")</f>
        <v/>
      </c>
      <c r="S26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64" ht="12.75" customHeight="1">
      <c r="A264" s="74" t="inlineStr">
        <is>
          <t>T1207</t>
        </is>
      </c>
      <c r="B264" s="74" t="inlineStr">
        <is>
          <t>T1207</t>
        </is>
      </c>
      <c r="C264" s="13" t="inlineStr">
        <is>
          <t>Rogue Domain Controller (T1207)</t>
        </is>
      </c>
      <c r="D264" s="13" t="inlineStr">
        <is>
          <t>defense-impairment</t>
        </is>
      </c>
      <c r="E264" s="13" t="inlineStr">
        <is>
          <t>Active Directory: Active Directory Credential Request|Active Directory: Active Directory Object Access|Active Directory: Active Directory Object Creation|Active Directory: Active Directory Object Modification|Network Traffic: Network Traffic Content</t>
        </is>
      </c>
      <c r="F264" s="74" t="n">
        <v>5</v>
      </c>
      <c r="G264" s="72">
        <f t="array" ref="G264">SUM(IF(ISERROR(FIND(sources[data source],techniques[[#This Row],[data sources]])),0,1)*IF(sources[available]="yes",1,0))</f>
        <v/>
      </c>
      <c r="H264" s="73">
        <f t="array" ref="H264">IF(techniques[[#This Row],[technique]]=techniques[[#This Row],[id]],SUM(IF(techniques[[#This Row],[id]]=techniques[technique],1,0))-1,"")</f>
        <v/>
      </c>
      <c r="I264" s="74">
        <f t="array" ref="I264">IF(SUM(IF($C264=detections[],IF(detections[is active]="yes",1,0),0))&gt;0,SUM(IF($C264=detections[],IF(detections[is active]="yes",1,0),0)),"")</f>
        <v/>
      </c>
      <c r="J264" s="74">
        <f t="array" ref="J26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64" s="74">
        <f>IF(AND(ISNUMBER(techniques[[#This Row],[number of sub techniques]]),techniques[[#This Row],[number of sub techniques]]&gt;1),techniques[number of sub techniques],1)</f>
        <v/>
      </c>
      <c r="L264" s="72" t="n"/>
      <c r="M264" s="74">
        <f t="array" ref="M26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6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64" s="26">
        <f>IF(techniques[[#This Row],[detection rules]]&gt;=techniques[[#This Row],[expected detection rules]],1,techniques[[#This Row],[detection rules]]/techniques[[#This Row],[expected detection rules]])</f>
        <v/>
      </c>
      <c r="P26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64" s="29">
        <f>IF(ISERROR(SEARCH(techniques[[#This Row],[id]],techniques[[#This Row],[name]])),"ERROR","")</f>
        <v/>
      </c>
      <c r="S26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65" ht="12.75" customHeight="1">
      <c r="A265" s="74" t="inlineStr">
        <is>
          <t>T1210</t>
        </is>
      </c>
      <c r="B265" s="74" t="inlineStr">
        <is>
          <t>T1210</t>
        </is>
      </c>
      <c r="C265" s="13" t="inlineStr">
        <is>
          <t>Exploitation of Remote Services (T1210)</t>
        </is>
      </c>
      <c r="D265" s="13" t="inlineStr">
        <is>
          <t>lateral-movement</t>
        </is>
      </c>
      <c r="E265" s="13" t="inlineStr">
        <is>
          <t>Application Log: Application Log Content|File: File Creation|Module: Module Load|Network Traffic: Network Connection Creation|Network Traffic: Network Traffic Content|Process: Process Access|Process: Process Creation</t>
        </is>
      </c>
      <c r="F265" s="74" t="n">
        <v>7</v>
      </c>
      <c r="G265" s="72">
        <f t="array" ref="G265">SUM(IF(ISERROR(FIND(sources[data source],techniques[[#This Row],[data sources]])),0,1)*IF(sources[available]="yes",1,0))</f>
        <v/>
      </c>
      <c r="H265" s="73">
        <f t="array" ref="H265">IF(techniques[[#This Row],[technique]]=techniques[[#This Row],[id]],SUM(IF(techniques[[#This Row],[id]]=techniques[technique],1,0))-1,"")</f>
        <v/>
      </c>
      <c r="I265" s="74">
        <f t="array" ref="I265">IF(SUM(IF($C265=detections[],IF(detections[is active]="yes",1,0),0))&gt;0,SUM(IF($C265=detections[],IF(detections[is active]="yes",1,0),0)),"")</f>
        <v/>
      </c>
      <c r="J265" s="74">
        <f t="array" ref="J26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65" s="74">
        <f>IF(AND(ISNUMBER(techniques[[#This Row],[number of sub techniques]]),techniques[[#This Row],[number of sub techniques]]&gt;1),techniques[number of sub techniques],1)</f>
        <v/>
      </c>
      <c r="L265" s="72" t="n"/>
      <c r="M265" s="74">
        <f t="array" ref="M26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6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65" s="26">
        <f>IF(techniques[[#This Row],[detection rules]]&gt;=techniques[[#This Row],[expected detection rules]],1,techniques[[#This Row],[detection rules]]/techniques[[#This Row],[expected detection rules]])</f>
        <v/>
      </c>
      <c r="P26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65" s="29">
        <f>IF(ISERROR(SEARCH(techniques[[#This Row],[id]],techniques[[#This Row],[name]])),"ERROR","")</f>
        <v/>
      </c>
      <c r="S26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66" ht="12.75" customHeight="1">
      <c r="A266" s="74" t="inlineStr">
        <is>
          <t>T1211</t>
        </is>
      </c>
      <c r="B266" s="74" t="inlineStr">
        <is>
          <t>T1211</t>
        </is>
      </c>
      <c r="C266" s="13" t="inlineStr">
        <is>
          <t>Exploitation for Stealth (T1211)</t>
        </is>
      </c>
      <c r="D266" s="13" t="inlineStr">
        <is>
          <t>stealth</t>
        </is>
      </c>
      <c r="E266" s="13" t="inlineStr">
        <is>
          <t>Application Log: Application Log Content|Module: Module Load|Process: Process Creation</t>
        </is>
      </c>
      <c r="F266" s="74" t="n">
        <v>3</v>
      </c>
      <c r="G266" s="72">
        <f t="array" ref="G266">SUM(IF(ISERROR(FIND(sources[data source],techniques[[#This Row],[data sources]])),0,1)*IF(sources[available]="yes",1,0))</f>
        <v/>
      </c>
      <c r="H266" s="73">
        <f t="array" ref="H266">IF(techniques[[#This Row],[technique]]=techniques[[#This Row],[id]],SUM(IF(techniques[[#This Row],[id]]=techniques[technique],1,0))-1,"")</f>
        <v/>
      </c>
      <c r="I266" s="74">
        <f t="array" ref="I266">IF(SUM(IF($C266=detections[],IF(detections[is active]="yes",1,0),0))&gt;0,SUM(IF($C266=detections[],IF(detections[is active]="yes",1,0),0)),"")</f>
        <v/>
      </c>
      <c r="J266" s="74">
        <f t="array" ref="J26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66" s="74">
        <f>IF(AND(ISNUMBER(techniques[[#This Row],[number of sub techniques]]),techniques[[#This Row],[number of sub techniques]]&gt;1),techniques[number of sub techniques],1)</f>
        <v/>
      </c>
      <c r="L266" s="72" t="n"/>
      <c r="M266" s="74">
        <f t="array" ref="M26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6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66" s="26">
        <f>IF(techniques[[#This Row],[detection rules]]&gt;=techniques[[#This Row],[expected detection rules]],1,techniques[[#This Row],[detection rules]]/techniques[[#This Row],[expected detection rules]])</f>
        <v/>
      </c>
      <c r="P26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66" s="29">
        <f>IF(ISERROR(SEARCH(techniques[[#This Row],[id]],techniques[[#This Row],[name]])),"ERROR","")</f>
        <v/>
      </c>
      <c r="S26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67" ht="12.75" customHeight="1">
      <c r="A267" s="74" t="inlineStr">
        <is>
          <t>T1212</t>
        </is>
      </c>
      <c r="B267" s="74" t="inlineStr">
        <is>
          <t>T1212</t>
        </is>
      </c>
      <c r="C267" s="13" t="inlineStr">
        <is>
          <t>Exploitation for Credential Access (T1212)</t>
        </is>
      </c>
      <c r="D267" s="13" t="inlineStr">
        <is>
          <t>credential-access</t>
        </is>
      </c>
      <c r="E267" s="13" t="inlineStr">
        <is>
          <t>Application Log: Application Log Content|Process: Process Access|Process: Process Creation|User Account: User Account Authentication</t>
        </is>
      </c>
      <c r="F267" s="74" t="n">
        <v>4</v>
      </c>
      <c r="G267" s="72">
        <f t="array" ref="G267">SUM(IF(ISERROR(FIND(sources[data source],techniques[[#This Row],[data sources]])),0,1)*IF(sources[available]="yes",1,0))</f>
        <v/>
      </c>
      <c r="H267" s="73">
        <f t="array" ref="H267">IF(techniques[[#This Row],[technique]]=techniques[[#This Row],[id]],SUM(IF(techniques[[#This Row],[id]]=techniques[technique],1,0))-1,"")</f>
        <v/>
      </c>
      <c r="I267" s="74">
        <f t="array" ref="I267">IF(SUM(IF($C267=detections[],IF(detections[is active]="yes",1,0),0))&gt;0,SUM(IF($C267=detections[],IF(detections[is active]="yes",1,0),0)),"")</f>
        <v/>
      </c>
      <c r="J267" s="74">
        <f t="array" ref="J26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67" s="74">
        <f>IF(AND(ISNUMBER(techniques[[#This Row],[number of sub techniques]]),techniques[[#This Row],[number of sub techniques]]&gt;1),techniques[number of sub techniques],1)</f>
        <v/>
      </c>
      <c r="L267" s="72" t="n"/>
      <c r="M267" s="74">
        <f t="array" ref="M26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6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67" s="26">
        <f>IF(techniques[[#This Row],[detection rules]]&gt;=techniques[[#This Row],[expected detection rules]],1,techniques[[#This Row],[detection rules]]/techniques[[#This Row],[expected detection rules]])</f>
        <v/>
      </c>
      <c r="P26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67" s="29">
        <f>IF(ISERROR(SEARCH(techniques[[#This Row],[id]],techniques[[#This Row],[name]])),"ERROR","")</f>
        <v/>
      </c>
      <c r="S26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68" ht="12.75" customHeight="1">
      <c r="A268" s="74" t="inlineStr">
        <is>
          <t>T1213</t>
        </is>
      </c>
      <c r="B268" s="74" t="inlineStr">
        <is>
          <t>T1213</t>
        </is>
      </c>
      <c r="C268" s="13" t="inlineStr">
        <is>
          <t>Data from Information Repositories (T1213)</t>
        </is>
      </c>
      <c r="D268" s="13" t="inlineStr">
        <is>
          <t>collection</t>
        </is>
      </c>
      <c r="E268" s="13" t="inlineStr">
        <is>
          <t>Application Log: Application Log Content|Cloud Service: Cloud Service Modification|Cloud Storage: Cloud Storage Access|Command: Command Execution|File: File Access|Network Share: Network Share Access|Network Traffic: Network Connection Creation|Process: Process Creation</t>
        </is>
      </c>
      <c r="F268" s="74" t="n">
        <v>8</v>
      </c>
      <c r="G268" s="72">
        <f t="array" ref="G268">SUM(IF(ISERROR(FIND(sources[data source],techniques[[#This Row],[data sources]])),0,1)*IF(sources[available]="yes",1,0))</f>
        <v/>
      </c>
      <c r="H268" s="73">
        <f t="array" ref="H268">IF(techniques[[#This Row],[technique]]=techniques[[#This Row],[id]],SUM(IF(techniques[[#This Row],[id]]=techniques[technique],1,0))-1,"")</f>
        <v/>
      </c>
      <c r="I268" s="74">
        <f t="array" ref="I268">IF(SUM(IF($C268=detections[],IF(detections[is active]="yes",1,0),0))&gt;0,SUM(IF($C268=detections[],IF(detections[is active]="yes",1,0),0)),"")</f>
        <v/>
      </c>
      <c r="J268" s="74">
        <f t="array" ref="J26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68" s="74">
        <f>IF(AND(ISNUMBER(techniques[[#This Row],[number of sub techniques]]),techniques[[#This Row],[number of sub techniques]]&gt;1),techniques[number of sub techniques],1)</f>
        <v/>
      </c>
      <c r="L268" s="72" t="n"/>
      <c r="M268" s="74">
        <f t="array" ref="M26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6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68" s="26">
        <f>IF(techniques[[#This Row],[detection rules]]&gt;=techniques[[#This Row],[expected detection rules]],1,techniques[[#This Row],[detection rules]]/techniques[[#This Row],[expected detection rules]])</f>
        <v/>
      </c>
      <c r="P26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68" s="29">
        <f>IF(ISERROR(SEARCH(techniques[[#This Row],[id]],techniques[[#This Row],[name]])),"ERROR","")</f>
        <v/>
      </c>
      <c r="S26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69" ht="12.75" customHeight="1">
      <c r="A269" s="74" t="inlineStr">
        <is>
          <t>T1213</t>
        </is>
      </c>
      <c r="B269" s="74" t="inlineStr">
        <is>
          <t>T1213.001</t>
        </is>
      </c>
      <c r="C269" s="13" t="inlineStr">
        <is>
          <t>Confluence (T1213.001)</t>
        </is>
      </c>
      <c r="D269" s="13" t="inlineStr">
        <is>
          <t>collection</t>
        </is>
      </c>
      <c r="E269" s="13" t="inlineStr">
        <is>
          <t>Application Log: Application Log Content|Logon Session: Logon Session Creation|Network Traffic: Network Traffic Content</t>
        </is>
      </c>
      <c r="F269" s="74" t="n">
        <v>3</v>
      </c>
      <c r="G269" s="72">
        <f t="array" ref="G269">SUM(IF(ISERROR(FIND(sources[data source],techniques[[#This Row],[data sources]])),0,1)*IF(sources[available]="yes",1,0))</f>
        <v/>
      </c>
      <c r="H269" s="73">
        <f t="array" ref="H269">IF(techniques[[#This Row],[technique]]=techniques[[#This Row],[id]],SUM(IF(techniques[[#This Row],[id]]=techniques[technique],1,0))-1,"")</f>
        <v/>
      </c>
      <c r="I269" s="74">
        <f t="array" ref="I269">IF(SUM(IF($C269=detections[],IF(detections[is active]="yes",1,0),0))&gt;0,SUM(IF($C269=detections[],IF(detections[is active]="yes",1,0),0)),"")</f>
        <v/>
      </c>
      <c r="J269" s="74">
        <f t="array" ref="J26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69" s="74">
        <f>IF(AND(ISNUMBER(techniques[[#This Row],[number of sub techniques]]),techniques[[#This Row],[number of sub techniques]]&gt;1),techniques[number of sub techniques],1)</f>
        <v/>
      </c>
      <c r="L269" s="72" t="n"/>
      <c r="M269" s="74">
        <f t="array" ref="M26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6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69" s="26">
        <f>IF(techniques[[#This Row],[detection rules]]&gt;=techniques[[#This Row],[expected detection rules]],1,techniques[[#This Row],[detection rules]]/techniques[[#This Row],[expected detection rules]])</f>
        <v/>
      </c>
      <c r="P26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69" s="29">
        <f>IF(ISERROR(SEARCH(techniques[[#This Row],[id]],techniques[[#This Row],[name]])),"ERROR","")</f>
        <v/>
      </c>
      <c r="S26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70" ht="12.75" customHeight="1">
      <c r="A270" s="74" t="inlineStr">
        <is>
          <t>T1213</t>
        </is>
      </c>
      <c r="B270" s="74" t="inlineStr">
        <is>
          <t>T1213.002</t>
        </is>
      </c>
      <c r="C270" s="13" t="inlineStr">
        <is>
          <t>Sharepoint (T1213.002)</t>
        </is>
      </c>
      <c r="D270" s="13" t="inlineStr">
        <is>
          <t>collection</t>
        </is>
      </c>
      <c r="E270" s="13" t="inlineStr">
        <is>
          <t>Application Log: Application Log Content|Cloud Service: Cloud Service Metadata|Logon Session: Logon Session Creation</t>
        </is>
      </c>
      <c r="F270" s="74" t="n">
        <v>3</v>
      </c>
      <c r="G270" s="72">
        <f t="array" ref="G270">SUM(IF(ISERROR(FIND(sources[data source],techniques[[#This Row],[data sources]])),0,1)*IF(sources[available]="yes",1,0))</f>
        <v/>
      </c>
      <c r="H270" s="73">
        <f t="array" ref="H270">IF(techniques[[#This Row],[technique]]=techniques[[#This Row],[id]],SUM(IF(techniques[[#This Row],[id]]=techniques[technique],1,0))-1,"")</f>
        <v/>
      </c>
      <c r="I270" s="74">
        <f t="array" ref="I270">IF(SUM(IF($C270=detections[],IF(detections[is active]="yes",1,0),0))&gt;0,SUM(IF($C270=detections[],IF(detections[is active]="yes",1,0),0)),"")</f>
        <v/>
      </c>
      <c r="J270" s="74">
        <f t="array" ref="J27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70" s="74">
        <f>IF(AND(ISNUMBER(techniques[[#This Row],[number of sub techniques]]),techniques[[#This Row],[number of sub techniques]]&gt;1),techniques[number of sub techniques],1)</f>
        <v/>
      </c>
      <c r="L270" s="72" t="n"/>
      <c r="M270" s="74">
        <f t="array" ref="M27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7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70" s="26">
        <f>IF(techniques[[#This Row],[detection rules]]&gt;=techniques[[#This Row],[expected detection rules]],1,techniques[[#This Row],[detection rules]]/techniques[[#This Row],[expected detection rules]])</f>
        <v/>
      </c>
      <c r="P27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70" s="29">
        <f>IF(ISERROR(SEARCH(techniques[[#This Row],[id]],techniques[[#This Row],[name]])),"ERROR","")</f>
        <v/>
      </c>
      <c r="S27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71" ht="12.75" customHeight="1">
      <c r="A271" s="74" t="inlineStr">
        <is>
          <t>T1213</t>
        </is>
      </c>
      <c r="B271" s="74" t="inlineStr">
        <is>
          <t>T1213.003</t>
        </is>
      </c>
      <c r="C271" s="13" t="inlineStr">
        <is>
          <t>Code Repositories (T1213.003)</t>
        </is>
      </c>
      <c r="D271" s="13" t="inlineStr">
        <is>
          <t>collection</t>
        </is>
      </c>
      <c r="E271" s="13" t="inlineStr">
        <is>
          <t>Application Log: Application Log Content|Cloud Service: Cloud Service Metadata|Logon Session: Logon Session Creation</t>
        </is>
      </c>
      <c r="F271" s="74" t="n">
        <v>3</v>
      </c>
      <c r="G271" s="72">
        <f t="array" ref="G271">SUM(IF(ISERROR(FIND(sources[data source],techniques[[#This Row],[data sources]])),0,1)*IF(sources[available]="yes",1,0))</f>
        <v/>
      </c>
      <c r="H271" s="73">
        <f t="array" ref="H271">IF(techniques[[#This Row],[technique]]=techniques[[#This Row],[id]],SUM(IF(techniques[[#This Row],[id]]=techniques[technique],1,0))-1,"")</f>
        <v/>
      </c>
      <c r="I271" s="74">
        <f t="array" ref="I271">IF(SUM(IF($C271=detections[],IF(detections[is active]="yes",1,0),0))&gt;0,SUM(IF($C271=detections[],IF(detections[is active]="yes",1,0),0)),"")</f>
        <v/>
      </c>
      <c r="J271" s="74">
        <f t="array" ref="J27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71" s="74">
        <f>IF(AND(ISNUMBER(techniques[[#This Row],[number of sub techniques]]),techniques[[#This Row],[number of sub techniques]]&gt;1),techniques[number of sub techniques],1)</f>
        <v/>
      </c>
      <c r="L271" s="72" t="n"/>
      <c r="M271" s="74">
        <f t="array" ref="M27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7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71" s="26">
        <f>IF(techniques[[#This Row],[detection rules]]&gt;=techniques[[#This Row],[expected detection rules]],1,techniques[[#This Row],[detection rules]]/techniques[[#This Row],[expected detection rules]])</f>
        <v/>
      </c>
      <c r="P27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71" s="29">
        <f>IF(ISERROR(SEARCH(techniques[[#This Row],[id]],techniques[[#This Row],[name]])),"ERROR","")</f>
        <v/>
      </c>
      <c r="S27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72" ht="12.75" customHeight="1">
      <c r="A272" s="74" t="inlineStr">
        <is>
          <t>T1213</t>
        </is>
      </c>
      <c r="B272" s="74" t="inlineStr">
        <is>
          <t>T1213.004</t>
        </is>
      </c>
      <c r="C272" s="13" t="inlineStr">
        <is>
          <t>Customer Relationship Management Software (T1213.004)</t>
        </is>
      </c>
      <c r="D272" s="13" t="inlineStr">
        <is>
          <t>collection</t>
        </is>
      </c>
      <c r="E272" s="13" t="inlineStr">
        <is>
          <t>Application Log: Application Log Content|Logon Session: Logon Session Creation</t>
        </is>
      </c>
      <c r="F272" s="74" t="n">
        <v>2</v>
      </c>
      <c r="G272" s="72">
        <f t="array" ref="G272">SUM(IF(ISERROR(FIND(sources[data source],techniques[[#This Row],[data sources]])),0,1)*IF(sources[available]="yes",1,0))</f>
        <v/>
      </c>
      <c r="H272" s="73">
        <f t="array" ref="H272">IF(techniques[[#This Row],[technique]]=techniques[[#This Row],[id]],SUM(IF(techniques[[#This Row],[id]]=techniques[technique],1,0))-1,"")</f>
        <v/>
      </c>
      <c r="I272" s="74">
        <f t="array" ref="I272">IF(SUM(IF($C272=detections[],IF(detections[is active]="yes",1,0),0))&gt;0,SUM(IF($C272=detections[],IF(detections[is active]="yes",1,0),0)),"")</f>
        <v/>
      </c>
      <c r="J272" s="74">
        <f t="array" ref="J27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72" s="74">
        <f>IF(AND(ISNUMBER(techniques[[#This Row],[number of sub techniques]]),techniques[[#This Row],[number of sub techniques]]&gt;1),techniques[number of sub techniques],1)</f>
        <v/>
      </c>
      <c r="L272" s="72" t="n"/>
      <c r="M272" s="74">
        <f t="array" ref="M27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7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72" s="26">
        <f>IF(techniques[[#This Row],[detection rules]]&gt;=techniques[[#This Row],[expected detection rules]],1,techniques[[#This Row],[detection rules]]/techniques[[#This Row],[expected detection rules]])</f>
        <v/>
      </c>
      <c r="P27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72" s="29">
        <f>IF(ISERROR(SEARCH(techniques[[#This Row],[id]],techniques[[#This Row],[name]])),"ERROR","")</f>
        <v/>
      </c>
      <c r="S27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73" ht="12.75" customHeight="1">
      <c r="A273" s="74" t="inlineStr">
        <is>
          <t>T1213</t>
        </is>
      </c>
      <c r="B273" s="74" t="inlineStr">
        <is>
          <t>T1213.005</t>
        </is>
      </c>
      <c r="C273" s="13" t="inlineStr">
        <is>
          <t>Messaging Applications (T1213.005)</t>
        </is>
      </c>
      <c r="D273" s="13" t="inlineStr">
        <is>
          <t>collection</t>
        </is>
      </c>
      <c r="E273" s="13" t="inlineStr">
        <is>
          <t>Application Log: Application Log Content|Logon Session: Logon Session Creation</t>
        </is>
      </c>
      <c r="F273" s="74" t="n">
        <v>2</v>
      </c>
      <c r="G273" s="72">
        <f t="array" ref="G273">SUM(IF(ISERROR(FIND(sources[data source],techniques[[#This Row],[data sources]])),0,1)*IF(sources[available]="yes",1,0))</f>
        <v/>
      </c>
      <c r="H273" s="73">
        <f t="array" ref="H273">IF(techniques[[#This Row],[technique]]=techniques[[#This Row],[id]],SUM(IF(techniques[[#This Row],[id]]=techniques[technique],1,0))-1,"")</f>
        <v/>
      </c>
      <c r="I273" s="74">
        <f t="array" ref="I273">IF(SUM(IF($C273=detections[],IF(detections[is active]="yes",1,0),0))&gt;0,SUM(IF($C273=detections[],IF(detections[is active]="yes",1,0),0)),"")</f>
        <v/>
      </c>
      <c r="J273" s="74">
        <f t="array" ref="J27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73" s="74">
        <f>IF(AND(ISNUMBER(techniques[[#This Row],[number of sub techniques]]),techniques[[#This Row],[number of sub techniques]]&gt;1),techniques[number of sub techniques],1)</f>
        <v/>
      </c>
      <c r="L273" s="72" t="n"/>
      <c r="M273" s="74">
        <f t="array" ref="M27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7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73" s="26">
        <f>IF(techniques[[#This Row],[detection rules]]&gt;=techniques[[#This Row],[expected detection rules]],1,techniques[[#This Row],[detection rules]]/techniques[[#This Row],[expected detection rules]])</f>
        <v/>
      </c>
      <c r="P27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73" s="29">
        <f>IF(ISERROR(SEARCH(techniques[[#This Row],[id]],techniques[[#This Row],[name]])),"ERROR","")</f>
        <v/>
      </c>
      <c r="S27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74" ht="12.75" customHeight="1">
      <c r="A274" s="74" t="inlineStr">
        <is>
          <t>T1213</t>
        </is>
      </c>
      <c r="B274" s="74" t="inlineStr">
        <is>
          <t>T1213.006</t>
        </is>
      </c>
      <c r="C274" s="13" t="inlineStr">
        <is>
          <t>Databases (T1213.006)</t>
        </is>
      </c>
      <c r="D274" s="13" t="inlineStr">
        <is>
          <t>collection</t>
        </is>
      </c>
      <c r="E274" s="13" t="inlineStr">
        <is>
          <t>Application Log: Application Log Content|Cloud Service: Cloud Service Metadata|Cloud Storage: Cloud Storage Access|File: File Access|File: File Creation|Network Traffic: Network Connection Creation|Network Traffic: Network Traffic Content|Process: Process Creation</t>
        </is>
      </c>
      <c r="F274" s="74" t="n">
        <v>8</v>
      </c>
      <c r="G274" s="72">
        <f t="array" ref="G274">SUM(IF(ISERROR(FIND(sources[data source],techniques[[#This Row],[data sources]])),0,1)*IF(sources[available]="yes",1,0))</f>
        <v/>
      </c>
      <c r="H274" s="73">
        <f t="array" ref="H274">IF(techniques[[#This Row],[technique]]=techniques[[#This Row],[id]],SUM(IF(techniques[[#This Row],[id]]=techniques[technique],1,0))-1,"")</f>
        <v/>
      </c>
      <c r="I274" s="74">
        <f t="array" ref="I274">IF(SUM(IF($C274=detections[],IF(detections[is active]="yes",1,0),0))&gt;0,SUM(IF($C274=detections[],IF(detections[is active]="yes",1,0),0)),"")</f>
        <v/>
      </c>
      <c r="J274" s="74">
        <f t="array" ref="J27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74" s="74">
        <f>IF(AND(ISNUMBER(techniques[[#This Row],[number of sub techniques]]),techniques[[#This Row],[number of sub techniques]]&gt;1),techniques[number of sub techniques],1)</f>
        <v/>
      </c>
      <c r="L274" s="72" t="n"/>
      <c r="M274" s="74">
        <f t="array" ref="M27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7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74" s="26">
        <f>IF(techniques[[#This Row],[detection rules]]&gt;=techniques[[#This Row],[expected detection rules]],1,techniques[[#This Row],[detection rules]]/techniques[[#This Row],[expected detection rules]])</f>
        <v/>
      </c>
      <c r="P27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74" s="29">
        <f>IF(ISERROR(SEARCH(techniques[[#This Row],[id]],techniques[[#This Row],[name]])),"ERROR","")</f>
        <v/>
      </c>
      <c r="S27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75" ht="12.75" customHeight="1">
      <c r="A275" s="74" t="inlineStr">
        <is>
          <t>T1216</t>
        </is>
      </c>
      <c r="B275" s="74" t="inlineStr">
        <is>
          <t>T1216</t>
        </is>
      </c>
      <c r="C275" s="13" t="inlineStr">
        <is>
          <t>System Script Proxy Execution (T1216)</t>
        </is>
      </c>
      <c r="D275" s="13" t="inlineStr">
        <is>
          <t>stealth</t>
        </is>
      </c>
      <c r="E275" s="13" t="inlineStr">
        <is>
          <t>Command: Command Execution|File: File Creation|Module: Module Load|Process: Process Access|Process: Process Creation</t>
        </is>
      </c>
      <c r="F275" s="74" t="n">
        <v>5</v>
      </c>
      <c r="G275" s="72">
        <f t="array" ref="G275">SUM(IF(ISERROR(FIND(sources[data source],techniques[[#This Row],[data sources]])),0,1)*IF(sources[available]="yes",1,0))</f>
        <v/>
      </c>
      <c r="H275" s="73">
        <f t="array" ref="H275">IF(techniques[[#This Row],[technique]]=techniques[[#This Row],[id]],SUM(IF(techniques[[#This Row],[id]]=techniques[technique],1,0))-1,"")</f>
        <v/>
      </c>
      <c r="I275" s="74">
        <f t="array" ref="I275">IF(SUM(IF($C275=detections[],IF(detections[is active]="yes",1,0),0))&gt;0,SUM(IF($C275=detections[],IF(detections[is active]="yes",1,0),0)),"")</f>
        <v/>
      </c>
      <c r="J275" s="74">
        <f t="array" ref="J27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75" s="74">
        <f>IF(AND(ISNUMBER(techniques[[#This Row],[number of sub techniques]]),techniques[[#This Row],[number of sub techniques]]&gt;1),techniques[number of sub techniques],1)</f>
        <v/>
      </c>
      <c r="L275" s="72" t="n"/>
      <c r="M275" s="74">
        <f t="array" ref="M27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7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75" s="26">
        <f>IF(techniques[[#This Row],[detection rules]]&gt;=techniques[[#This Row],[expected detection rules]],1,techniques[[#This Row],[detection rules]]/techniques[[#This Row],[expected detection rules]])</f>
        <v/>
      </c>
      <c r="P27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75" s="29">
        <f>IF(ISERROR(SEARCH(techniques[[#This Row],[id]],techniques[[#This Row],[name]])),"ERROR","")</f>
        <v/>
      </c>
      <c r="S27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76" ht="12.75" customHeight="1">
      <c r="A276" s="74" t="inlineStr">
        <is>
          <t>T1216</t>
        </is>
      </c>
      <c r="B276" s="74" t="inlineStr">
        <is>
          <t>T1216.001</t>
        </is>
      </c>
      <c r="C276" s="13" t="inlineStr">
        <is>
          <t>PubPrn (T1216.001)</t>
        </is>
      </c>
      <c r="D276" s="13" t="inlineStr">
        <is>
          <t>stealth</t>
        </is>
      </c>
      <c r="E276" s="13" t="inlineStr">
        <is>
          <t>Command: Command Execution|Module: Module Load|Network Traffic: Network Connection Creation|Process: Process Creation</t>
        </is>
      </c>
      <c r="F276" s="74" t="n">
        <v>4</v>
      </c>
      <c r="G276" s="72">
        <f t="array" ref="G276">SUM(IF(ISERROR(FIND(sources[data source],techniques[[#This Row],[data sources]])),0,1)*IF(sources[available]="yes",1,0))</f>
        <v/>
      </c>
      <c r="H276" s="73">
        <f t="array" ref="H276">IF(techniques[[#This Row],[technique]]=techniques[[#This Row],[id]],SUM(IF(techniques[[#This Row],[id]]=techniques[technique],1,0))-1,"")</f>
        <v/>
      </c>
      <c r="I276" s="74">
        <f t="array" ref="I276">IF(SUM(IF($C276=detections[],IF(detections[is active]="yes",1,0),0))&gt;0,SUM(IF($C276=detections[],IF(detections[is active]="yes",1,0),0)),"")</f>
        <v/>
      </c>
      <c r="J276" s="74">
        <f t="array" ref="J27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76" s="74">
        <f>IF(AND(ISNUMBER(techniques[[#This Row],[number of sub techniques]]),techniques[[#This Row],[number of sub techniques]]&gt;1),techniques[number of sub techniques],1)</f>
        <v/>
      </c>
      <c r="L276" s="72" t="n"/>
      <c r="M276" s="74">
        <f t="array" ref="M27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7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76" s="26">
        <f>IF(techniques[[#This Row],[detection rules]]&gt;=techniques[[#This Row],[expected detection rules]],1,techniques[[#This Row],[detection rules]]/techniques[[#This Row],[expected detection rules]])</f>
        <v/>
      </c>
      <c r="P27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76" s="29">
        <f>IF(ISERROR(SEARCH(techniques[[#This Row],[id]],techniques[[#This Row],[name]])),"ERROR","")</f>
        <v/>
      </c>
      <c r="S27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77" ht="12.75" customHeight="1">
      <c r="A277" s="74" t="inlineStr">
        <is>
          <t>T1216</t>
        </is>
      </c>
      <c r="B277" s="74" t="inlineStr">
        <is>
          <t>T1216.002</t>
        </is>
      </c>
      <c r="C277" s="13" t="inlineStr">
        <is>
          <t>SyncAppvPublishingServer (T1216.002)</t>
        </is>
      </c>
      <c r="D277" s="13" t="inlineStr">
        <is>
          <t>stealth</t>
        </is>
      </c>
      <c r="E277" s="13" t="inlineStr">
        <is>
          <t>Command: Command Execution|Module: Module Load|Process: Process Access|Process: Process Creation</t>
        </is>
      </c>
      <c r="F277" s="74" t="n">
        <v>4</v>
      </c>
      <c r="G277" s="72">
        <f t="array" ref="G277">SUM(IF(ISERROR(FIND(sources[data source],techniques[[#This Row],[data sources]])),0,1)*IF(sources[available]="yes",1,0))</f>
        <v/>
      </c>
      <c r="H277" s="73">
        <f t="array" ref="H277">IF(techniques[[#This Row],[technique]]=techniques[[#This Row],[id]],SUM(IF(techniques[[#This Row],[id]]=techniques[technique],1,0))-1,"")</f>
        <v/>
      </c>
      <c r="I277" s="74">
        <f t="array" ref="I277">IF(SUM(IF($C277=detections[],IF(detections[is active]="yes",1,0),0))&gt;0,SUM(IF($C277=detections[],IF(detections[is active]="yes",1,0),0)),"")</f>
        <v/>
      </c>
      <c r="J277" s="74">
        <f t="array" ref="J27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77" s="74">
        <f>IF(AND(ISNUMBER(techniques[[#This Row],[number of sub techniques]]),techniques[[#This Row],[number of sub techniques]]&gt;1),techniques[number of sub techniques],1)</f>
        <v/>
      </c>
      <c r="L277" s="72" t="n"/>
      <c r="M277" s="74">
        <f t="array" ref="M27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7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77" s="26">
        <f>IF(techniques[[#This Row],[detection rules]]&gt;=techniques[[#This Row],[expected detection rules]],1,techniques[[#This Row],[detection rules]]/techniques[[#This Row],[expected detection rules]])</f>
        <v/>
      </c>
      <c r="P27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77" s="29">
        <f>IF(ISERROR(SEARCH(techniques[[#This Row],[id]],techniques[[#This Row],[name]])),"ERROR","")</f>
        <v/>
      </c>
      <c r="S27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78" ht="12.75" customHeight="1">
      <c r="A278" s="74" t="inlineStr">
        <is>
          <t>T1217</t>
        </is>
      </c>
      <c r="B278" s="74" t="inlineStr">
        <is>
          <t>T1217</t>
        </is>
      </c>
      <c r="C278" s="13" t="inlineStr">
        <is>
          <t>Browser Information Discovery (T1217)</t>
        </is>
      </c>
      <c r="D278" s="13" t="inlineStr">
        <is>
          <t>discovery</t>
        </is>
      </c>
      <c r="E278" s="13" t="inlineStr">
        <is>
          <t>Command: Command Execution|File: File Access|File: File Creation|Process: Process Creation</t>
        </is>
      </c>
      <c r="F278" s="74" t="n">
        <v>4</v>
      </c>
      <c r="G278" s="72">
        <f t="array" ref="G278">SUM(IF(ISERROR(FIND(sources[data source],techniques[[#This Row],[data sources]])),0,1)*IF(sources[available]="yes",1,0))</f>
        <v/>
      </c>
      <c r="H278" s="73">
        <f t="array" ref="H278">IF(techniques[[#This Row],[technique]]=techniques[[#This Row],[id]],SUM(IF(techniques[[#This Row],[id]]=techniques[technique],1,0))-1,"")</f>
        <v/>
      </c>
      <c r="I278" s="74">
        <f t="array" ref="I278">IF(SUM(IF($C278=detections[],IF(detections[is active]="yes",1,0),0))&gt;0,SUM(IF($C278=detections[],IF(detections[is active]="yes",1,0),0)),"")</f>
        <v/>
      </c>
      <c r="J278" s="74">
        <f t="array" ref="J27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78" s="74">
        <f>IF(AND(ISNUMBER(techniques[[#This Row],[number of sub techniques]]),techniques[[#This Row],[number of sub techniques]]&gt;1),techniques[number of sub techniques],1)</f>
        <v/>
      </c>
      <c r="L278" s="72" t="n"/>
      <c r="M278" s="74">
        <f t="array" ref="M27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7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78" s="26">
        <f>IF(techniques[[#This Row],[detection rules]]&gt;=techniques[[#This Row],[expected detection rules]],1,techniques[[#This Row],[detection rules]]/techniques[[#This Row],[expected detection rules]])</f>
        <v/>
      </c>
      <c r="P27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78" s="29">
        <f>IF(ISERROR(SEARCH(techniques[[#This Row],[id]],techniques[[#This Row],[name]])),"ERROR","")</f>
        <v/>
      </c>
      <c r="S27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79" ht="12.75" customHeight="1">
      <c r="A279" s="74" t="inlineStr">
        <is>
          <t>T1218</t>
        </is>
      </c>
      <c r="B279" s="74" t="inlineStr">
        <is>
          <t>T1218</t>
        </is>
      </c>
      <c r="C279" s="13" t="inlineStr">
        <is>
          <t>System Binary Proxy Execution (T1218)</t>
        </is>
      </c>
      <c r="D279" s="13" t="inlineStr">
        <is>
          <t>stealth</t>
        </is>
      </c>
      <c r="E279" s="13" t="inlineStr">
        <is>
          <t>Module: Module Load|Network Traffic: Network Connection Creation|Process: Process Creation</t>
        </is>
      </c>
      <c r="F279" s="74" t="n">
        <v>3</v>
      </c>
      <c r="G279" s="72">
        <f t="array" ref="G279">SUM(IF(ISERROR(FIND(sources[data source],techniques[[#This Row],[data sources]])),0,1)*IF(sources[available]="yes",1,0))</f>
        <v/>
      </c>
      <c r="H279" s="73">
        <f t="array" ref="H279">IF(techniques[[#This Row],[technique]]=techniques[[#This Row],[id]],SUM(IF(techniques[[#This Row],[id]]=techniques[technique],1,0))-1,"")</f>
        <v/>
      </c>
      <c r="I279" s="74">
        <f t="array" ref="I279">IF(SUM(IF($C279=detections[],IF(detections[is active]="yes",1,0),0))&gt;0,SUM(IF($C279=detections[],IF(detections[is active]="yes",1,0),0)),"")</f>
        <v/>
      </c>
      <c r="J279" s="74">
        <f t="array" ref="J27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79" s="74">
        <f>IF(AND(ISNUMBER(techniques[[#This Row],[number of sub techniques]]),techniques[[#This Row],[number of sub techniques]]&gt;1),techniques[number of sub techniques],1)</f>
        <v/>
      </c>
      <c r="L279" s="72" t="n"/>
      <c r="M279" s="74">
        <f t="array" ref="M27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7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79" s="26">
        <f>IF(techniques[[#This Row],[detection rules]]&gt;=techniques[[#This Row],[expected detection rules]],1,techniques[[#This Row],[detection rules]]/techniques[[#This Row],[expected detection rules]])</f>
        <v/>
      </c>
      <c r="P27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79" s="29">
        <f>IF(ISERROR(SEARCH(techniques[[#This Row],[id]],techniques[[#This Row],[name]])),"ERROR","")</f>
        <v/>
      </c>
      <c r="S27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80" ht="12.75" customHeight="1">
      <c r="A280" s="74" t="inlineStr">
        <is>
          <t>T1218</t>
        </is>
      </c>
      <c r="B280" s="74" t="inlineStr">
        <is>
          <t>T1218.001</t>
        </is>
      </c>
      <c r="C280" s="13" t="inlineStr">
        <is>
          <t>Compiled HTML File (T1218.001)</t>
        </is>
      </c>
      <c r="D280" s="13" t="inlineStr">
        <is>
          <t>stealth</t>
        </is>
      </c>
      <c r="E280" s="13" t="inlineStr">
        <is>
          <t>File: File Creation|Module: Module Load|Network Traffic: Network Connection Creation|Process: Process Creation</t>
        </is>
      </c>
      <c r="F280" s="74" t="n">
        <v>4</v>
      </c>
      <c r="G280" s="72">
        <f t="array" ref="G280">SUM(IF(ISERROR(FIND(sources[data source],techniques[[#This Row],[data sources]])),0,1)*IF(sources[available]="yes",1,0))</f>
        <v/>
      </c>
      <c r="H280" s="73">
        <f t="array" ref="H280">IF(techniques[[#This Row],[technique]]=techniques[[#This Row],[id]],SUM(IF(techniques[[#This Row],[id]]=techniques[technique],1,0))-1,"")</f>
        <v/>
      </c>
      <c r="I280" s="74">
        <f t="array" ref="I280">IF(SUM(IF($C280=detections[],IF(detections[is active]="yes",1,0),0))&gt;0,SUM(IF($C280=detections[],IF(detections[is active]="yes",1,0),0)),"")</f>
        <v/>
      </c>
      <c r="J280" s="74">
        <f t="array" ref="J28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80" s="74">
        <f>IF(AND(ISNUMBER(techniques[[#This Row],[number of sub techniques]]),techniques[[#This Row],[number of sub techniques]]&gt;1),techniques[number of sub techniques],1)</f>
        <v/>
      </c>
      <c r="L280" s="72" t="n"/>
      <c r="M280" s="74">
        <f t="array" ref="M28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8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80" s="26">
        <f>IF(techniques[[#This Row],[detection rules]]&gt;=techniques[[#This Row],[expected detection rules]],1,techniques[[#This Row],[detection rules]]/techniques[[#This Row],[expected detection rules]])</f>
        <v/>
      </c>
      <c r="P28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80" s="29">
        <f>IF(ISERROR(SEARCH(techniques[[#This Row],[id]],techniques[[#This Row],[name]])),"ERROR","")</f>
        <v/>
      </c>
      <c r="S28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81" ht="12.75" customHeight="1">
      <c r="A281" s="74" t="inlineStr">
        <is>
          <t>T1218</t>
        </is>
      </c>
      <c r="B281" s="74" t="inlineStr">
        <is>
          <t>T1218.002</t>
        </is>
      </c>
      <c r="C281" s="13" t="inlineStr">
        <is>
          <t>Control Panel (T1218.002)</t>
        </is>
      </c>
      <c r="D281" s="13" t="inlineStr">
        <is>
          <t>stealth</t>
        </is>
      </c>
      <c r="E281" s="13" t="inlineStr">
        <is>
          <t>File: File Creation|Module: Module Load|Process: Process Creation|Windows Registry: Windows Registry Key Creation</t>
        </is>
      </c>
      <c r="F281" s="74" t="n">
        <v>4</v>
      </c>
      <c r="G281" s="72">
        <f t="array" ref="G281">SUM(IF(ISERROR(FIND(sources[data source],techniques[[#This Row],[data sources]])),0,1)*IF(sources[available]="yes",1,0))</f>
        <v/>
      </c>
      <c r="H281" s="73">
        <f t="array" ref="H281">IF(techniques[[#This Row],[technique]]=techniques[[#This Row],[id]],SUM(IF(techniques[[#This Row],[id]]=techniques[technique],1,0))-1,"")</f>
        <v/>
      </c>
      <c r="I281" s="74">
        <f t="array" ref="I281">IF(SUM(IF($C281=detections[],IF(detections[is active]="yes",1,0),0))&gt;0,SUM(IF($C281=detections[],IF(detections[is active]="yes",1,0),0)),"")</f>
        <v/>
      </c>
      <c r="J281" s="74">
        <f t="array" ref="J28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81" s="74">
        <f>IF(AND(ISNUMBER(techniques[[#This Row],[number of sub techniques]]),techniques[[#This Row],[number of sub techniques]]&gt;1),techniques[number of sub techniques],1)</f>
        <v/>
      </c>
      <c r="L281" s="72" t="n"/>
      <c r="M281" s="74">
        <f t="array" ref="M28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8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81" s="26">
        <f>IF(techniques[[#This Row],[detection rules]]&gt;=techniques[[#This Row],[expected detection rules]],1,techniques[[#This Row],[detection rules]]/techniques[[#This Row],[expected detection rules]])</f>
        <v/>
      </c>
      <c r="P28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81" s="29">
        <f>IF(ISERROR(SEARCH(techniques[[#This Row],[id]],techniques[[#This Row],[name]])),"ERROR","")</f>
        <v/>
      </c>
      <c r="S28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82" ht="12.75" customHeight="1">
      <c r="A282" s="74" t="inlineStr">
        <is>
          <t>T1218</t>
        </is>
      </c>
      <c r="B282" s="74" t="inlineStr">
        <is>
          <t>T1218.003</t>
        </is>
      </c>
      <c r="C282" s="13" t="inlineStr">
        <is>
          <t>CMSTP (T1218.003)</t>
        </is>
      </c>
      <c r="D282" s="13" t="inlineStr">
        <is>
          <t>stealth</t>
        </is>
      </c>
      <c r="E282" s="13" t="inlineStr">
        <is>
          <t>Command: Command Execution|File: File Creation|Network Traffic: Network Connection Creation|Process: Process Access|Process: Process Creation|Windows Registry: Windows Registry Key Creation|Windows Registry: Windows Registry Key Modification</t>
        </is>
      </c>
      <c r="F282" s="74" t="n">
        <v>7</v>
      </c>
      <c r="G282" s="72">
        <f t="array" ref="G282">SUM(IF(ISERROR(FIND(sources[data source],techniques[[#This Row],[data sources]])),0,1)*IF(sources[available]="yes",1,0))</f>
        <v/>
      </c>
      <c r="H282" s="73">
        <f t="array" ref="H282">IF(techniques[[#This Row],[technique]]=techniques[[#This Row],[id]],SUM(IF(techniques[[#This Row],[id]]=techniques[technique],1,0))-1,"")</f>
        <v/>
      </c>
      <c r="I282" s="74">
        <f t="array" ref="I282">IF(SUM(IF($C282=detections[],IF(detections[is active]="yes",1,0),0))&gt;0,SUM(IF($C282=detections[],IF(detections[is active]="yes",1,0),0)),"")</f>
        <v/>
      </c>
      <c r="J282" s="74">
        <f t="array" ref="J28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82" s="74">
        <f>IF(AND(ISNUMBER(techniques[[#This Row],[number of sub techniques]]),techniques[[#This Row],[number of sub techniques]]&gt;1),techniques[number of sub techniques],1)</f>
        <v/>
      </c>
      <c r="L282" s="72" t="n"/>
      <c r="M282" s="74">
        <f t="array" ref="M28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8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82" s="26">
        <f>IF(techniques[[#This Row],[detection rules]]&gt;=techniques[[#This Row],[expected detection rules]],1,techniques[[#This Row],[detection rules]]/techniques[[#This Row],[expected detection rules]])</f>
        <v/>
      </c>
      <c r="P28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82" s="29">
        <f>IF(ISERROR(SEARCH(techniques[[#This Row],[id]],techniques[[#This Row],[name]])),"ERROR","")</f>
        <v/>
      </c>
      <c r="S28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83" ht="12.75" customHeight="1">
      <c r="A283" s="74" t="inlineStr">
        <is>
          <t>T1218</t>
        </is>
      </c>
      <c r="B283" s="74" t="inlineStr">
        <is>
          <t>T1218.004</t>
        </is>
      </c>
      <c r="C283" s="13" t="inlineStr">
        <is>
          <t>InstallUtil (T1218.004)</t>
        </is>
      </c>
      <c r="D283" s="13" t="inlineStr">
        <is>
          <t>stealth</t>
        </is>
      </c>
      <c r="E283" s="13" t="inlineStr">
        <is>
          <t>Command: Command Execution|File: File Creation|Module: Module Load|Process: Process Creation</t>
        </is>
      </c>
      <c r="F283" s="74" t="n">
        <v>4</v>
      </c>
      <c r="G283" s="72">
        <f t="array" ref="G283">SUM(IF(ISERROR(FIND(sources[data source],techniques[[#This Row],[data sources]])),0,1)*IF(sources[available]="yes",1,0))</f>
        <v/>
      </c>
      <c r="H283" s="73">
        <f t="array" ref="H283">IF(techniques[[#This Row],[technique]]=techniques[[#This Row],[id]],SUM(IF(techniques[[#This Row],[id]]=techniques[technique],1,0))-1,"")</f>
        <v/>
      </c>
      <c r="I283" s="74">
        <f t="array" ref="I283">IF(SUM(IF($C283=detections[],IF(detections[is active]="yes",1,0),0))&gt;0,SUM(IF($C283=detections[],IF(detections[is active]="yes",1,0),0)),"")</f>
        <v/>
      </c>
      <c r="J283" s="74">
        <f t="array" ref="J28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83" s="74">
        <f>IF(AND(ISNUMBER(techniques[[#This Row],[number of sub techniques]]),techniques[[#This Row],[number of sub techniques]]&gt;1),techniques[number of sub techniques],1)</f>
        <v/>
      </c>
      <c r="L283" s="72" t="n"/>
      <c r="M283" s="74">
        <f t="array" ref="M28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8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83" s="26">
        <f>IF(techniques[[#This Row],[detection rules]]&gt;=techniques[[#This Row],[expected detection rules]],1,techniques[[#This Row],[detection rules]]/techniques[[#This Row],[expected detection rules]])</f>
        <v/>
      </c>
      <c r="P28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83" s="29">
        <f>IF(ISERROR(SEARCH(techniques[[#This Row],[id]],techniques[[#This Row],[name]])),"ERROR","")</f>
        <v/>
      </c>
      <c r="S28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84" ht="12.75" customHeight="1">
      <c r="A284" s="74" t="inlineStr">
        <is>
          <t>T1218</t>
        </is>
      </c>
      <c r="B284" s="74" t="inlineStr">
        <is>
          <t>T1218.005</t>
        </is>
      </c>
      <c r="C284" s="13" t="inlineStr">
        <is>
          <t>Mshta (T1218.005)</t>
        </is>
      </c>
      <c r="D284" s="13" t="inlineStr">
        <is>
          <t>stealth</t>
        </is>
      </c>
      <c r="E284" s="13" t="inlineStr">
        <is>
          <t>File: File Creation|Network Traffic: Network Connection Creation|Process: Process Creation</t>
        </is>
      </c>
      <c r="F284" s="74" t="n">
        <v>3</v>
      </c>
      <c r="G284" s="72">
        <f t="array" ref="G284">SUM(IF(ISERROR(FIND(sources[data source],techniques[[#This Row],[data sources]])),0,1)*IF(sources[available]="yes",1,0))</f>
        <v/>
      </c>
      <c r="H284" s="73">
        <f t="array" ref="H284">IF(techniques[[#This Row],[technique]]=techniques[[#This Row],[id]],SUM(IF(techniques[[#This Row],[id]]=techniques[technique],1,0))-1,"")</f>
        <v/>
      </c>
      <c r="I284" s="74">
        <f t="array" ref="I284">IF(SUM(IF($C284=detections[],IF(detections[is active]="yes",1,0),0))&gt;0,SUM(IF($C284=detections[],IF(detections[is active]="yes",1,0),0)),"")</f>
        <v/>
      </c>
      <c r="J284" s="74">
        <f t="array" ref="J28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84" s="74">
        <f>IF(AND(ISNUMBER(techniques[[#This Row],[number of sub techniques]]),techniques[[#This Row],[number of sub techniques]]&gt;1),techniques[number of sub techniques],1)</f>
        <v/>
      </c>
      <c r="L284" s="72" t="n"/>
      <c r="M284" s="74">
        <f t="array" ref="M28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8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84" s="26">
        <f>IF(techniques[[#This Row],[detection rules]]&gt;=techniques[[#This Row],[expected detection rules]],1,techniques[[#This Row],[detection rules]]/techniques[[#This Row],[expected detection rules]])</f>
        <v/>
      </c>
      <c r="P28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84" s="29">
        <f>IF(ISERROR(SEARCH(techniques[[#This Row],[id]],techniques[[#This Row],[name]])),"ERROR","")</f>
        <v/>
      </c>
      <c r="S28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85" ht="12.75" customHeight="1">
      <c r="A285" s="74" t="inlineStr">
        <is>
          <t>T1218</t>
        </is>
      </c>
      <c r="B285" s="74" t="inlineStr">
        <is>
          <t>T1218.007</t>
        </is>
      </c>
      <c r="C285" s="13" t="inlineStr">
        <is>
          <t>Msiexec (T1218.007)</t>
        </is>
      </c>
      <c r="D285" s="13" t="inlineStr">
        <is>
          <t>stealth</t>
        </is>
      </c>
      <c r="E285" s="13" t="inlineStr">
        <is>
          <t>Module: Module Load|Network Traffic: Network Connection Creation|Process: Process Creation</t>
        </is>
      </c>
      <c r="F285" s="74" t="n">
        <v>3</v>
      </c>
      <c r="G285" s="72">
        <f t="array" ref="G285">SUM(IF(ISERROR(FIND(sources[data source],techniques[[#This Row],[data sources]])),0,1)*IF(sources[available]="yes",1,0))</f>
        <v/>
      </c>
      <c r="H285" s="73">
        <f t="array" ref="H285">IF(techniques[[#This Row],[technique]]=techniques[[#This Row],[id]],SUM(IF(techniques[[#This Row],[id]]=techniques[technique],1,0))-1,"")</f>
        <v/>
      </c>
      <c r="I285" s="74">
        <f t="array" ref="I285">IF(SUM(IF($C285=detections[],IF(detections[is active]="yes",1,0),0))&gt;0,SUM(IF($C285=detections[],IF(detections[is active]="yes",1,0),0)),"")</f>
        <v/>
      </c>
      <c r="J285" s="74">
        <f t="array" ref="J28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85" s="74">
        <f>IF(AND(ISNUMBER(techniques[[#This Row],[number of sub techniques]]),techniques[[#This Row],[number of sub techniques]]&gt;1),techniques[number of sub techniques],1)</f>
        <v/>
      </c>
      <c r="L285" s="72" t="n"/>
      <c r="M285" s="74">
        <f t="array" ref="M28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8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85" s="26">
        <f>IF(techniques[[#This Row],[detection rules]]&gt;=techniques[[#This Row],[expected detection rules]],1,techniques[[#This Row],[detection rules]]/techniques[[#This Row],[expected detection rules]])</f>
        <v/>
      </c>
      <c r="P28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85" s="29">
        <f>IF(ISERROR(SEARCH(techniques[[#This Row],[id]],techniques[[#This Row],[name]])),"ERROR","")</f>
        <v/>
      </c>
      <c r="S28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86" ht="12.75" customHeight="1">
      <c r="A286" s="74" t="inlineStr">
        <is>
          <t>T1218</t>
        </is>
      </c>
      <c r="B286" s="74" t="inlineStr">
        <is>
          <t>T1218.008</t>
        </is>
      </c>
      <c r="C286" s="13" t="inlineStr">
        <is>
          <t>Odbcconf (T1218.008)</t>
        </is>
      </c>
      <c r="D286" s="13" t="inlineStr">
        <is>
          <t>stealth</t>
        </is>
      </c>
      <c r="E286" s="13" t="inlineStr">
        <is>
          <t>Module: Module Load|Network Traffic: Network Connection Creation|Process: Process Creation</t>
        </is>
      </c>
      <c r="F286" s="74" t="n">
        <v>3</v>
      </c>
      <c r="G286" s="72">
        <f t="array" ref="G286">SUM(IF(ISERROR(FIND(sources[data source],techniques[[#This Row],[data sources]])),0,1)*IF(sources[available]="yes",1,0))</f>
        <v/>
      </c>
      <c r="H286" s="73">
        <f t="array" ref="H286">IF(techniques[[#This Row],[technique]]=techniques[[#This Row],[id]],SUM(IF(techniques[[#This Row],[id]]=techniques[technique],1,0))-1,"")</f>
        <v/>
      </c>
      <c r="I286" s="74">
        <f t="array" ref="I286">IF(SUM(IF($C286=detections[],IF(detections[is active]="yes",1,0),0))&gt;0,SUM(IF($C286=detections[],IF(detections[is active]="yes",1,0),0)),"")</f>
        <v/>
      </c>
      <c r="J286" s="74">
        <f t="array" ref="J28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86" s="74">
        <f>IF(AND(ISNUMBER(techniques[[#This Row],[number of sub techniques]]),techniques[[#This Row],[number of sub techniques]]&gt;1),techniques[number of sub techniques],1)</f>
        <v/>
      </c>
      <c r="L286" s="72" t="n"/>
      <c r="M286" s="74">
        <f t="array" ref="M28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8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86" s="26">
        <f>IF(techniques[[#This Row],[detection rules]]&gt;=techniques[[#This Row],[expected detection rules]],1,techniques[[#This Row],[detection rules]]/techniques[[#This Row],[expected detection rules]])</f>
        <v/>
      </c>
      <c r="P28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86" s="29">
        <f>IF(ISERROR(SEARCH(techniques[[#This Row],[id]],techniques[[#This Row],[name]])),"ERROR","")</f>
        <v/>
      </c>
      <c r="S28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87" ht="12.75" customHeight="1">
      <c r="A287" s="74" t="inlineStr">
        <is>
          <t>T1218</t>
        </is>
      </c>
      <c r="B287" s="74" t="inlineStr">
        <is>
          <t>T1218.009</t>
        </is>
      </c>
      <c r="C287" s="13" t="inlineStr">
        <is>
          <t>Regsvcs/Regasm (T1218.009)</t>
        </is>
      </c>
      <c r="D287" s="13" t="inlineStr">
        <is>
          <t>stealth</t>
        </is>
      </c>
      <c r="E287" s="13" t="inlineStr">
        <is>
          <t>Command: Command Execution|File: File Creation|Module: Module Load|Network Traffic: Network Connection Creation|Process: Process Creation|Windows Registry: Windows Registry Key Creation|Windows Registry: Windows Registry Key Modification</t>
        </is>
      </c>
      <c r="F287" s="74" t="n">
        <v>7</v>
      </c>
      <c r="G287" s="72">
        <f t="array" ref="G287">SUM(IF(ISERROR(FIND(sources[data source],techniques[[#This Row],[data sources]])),0,1)*IF(sources[available]="yes",1,0))</f>
        <v/>
      </c>
      <c r="H287" s="73">
        <f t="array" ref="H287">IF(techniques[[#This Row],[technique]]=techniques[[#This Row],[id]],SUM(IF(techniques[[#This Row],[id]]=techniques[technique],1,0))-1,"")</f>
        <v/>
      </c>
      <c r="I287" s="74">
        <f t="array" ref="I287">IF(SUM(IF($C287=detections[],IF(detections[is active]="yes",1,0),0))&gt;0,SUM(IF($C287=detections[],IF(detections[is active]="yes",1,0),0)),"")</f>
        <v/>
      </c>
      <c r="J287" s="74">
        <f t="array" ref="J28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87" s="74">
        <f>IF(AND(ISNUMBER(techniques[[#This Row],[number of sub techniques]]),techniques[[#This Row],[number of sub techniques]]&gt;1),techniques[number of sub techniques],1)</f>
        <v/>
      </c>
      <c r="L287" s="72" t="n"/>
      <c r="M287" s="74">
        <f t="array" ref="M28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8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87" s="26">
        <f>IF(techniques[[#This Row],[detection rules]]&gt;=techniques[[#This Row],[expected detection rules]],1,techniques[[#This Row],[detection rules]]/techniques[[#This Row],[expected detection rules]])</f>
        <v/>
      </c>
      <c r="P28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87" s="29">
        <f>IF(ISERROR(SEARCH(techniques[[#This Row],[id]],techniques[[#This Row],[name]])),"ERROR","")</f>
        <v/>
      </c>
      <c r="S28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88" ht="12.75" customHeight="1">
      <c r="A288" s="74" t="inlineStr">
        <is>
          <t>T1218</t>
        </is>
      </c>
      <c r="B288" s="74" t="inlineStr">
        <is>
          <t>T1218.010</t>
        </is>
      </c>
      <c r="C288" s="13" t="inlineStr">
        <is>
          <t>Regsvr32 (T1218.010)</t>
        </is>
      </c>
      <c r="D288" s="13" t="inlineStr">
        <is>
          <t>stealth</t>
        </is>
      </c>
      <c r="E288" s="13" t="inlineStr">
        <is>
          <t>Module: Module Load|Network Traffic: Network Connection Creation|Process: Process Creation</t>
        </is>
      </c>
      <c r="F288" s="74" t="n">
        <v>3</v>
      </c>
      <c r="G288" s="72">
        <f t="array" ref="G288">SUM(IF(ISERROR(FIND(sources[data source],techniques[[#This Row],[data sources]])),0,1)*IF(sources[available]="yes",1,0))</f>
        <v/>
      </c>
      <c r="H288" s="73">
        <f t="array" ref="H288">IF(techniques[[#This Row],[technique]]=techniques[[#This Row],[id]],SUM(IF(techniques[[#This Row],[id]]=techniques[technique],1,0))-1,"")</f>
        <v/>
      </c>
      <c r="I288" s="74">
        <f t="array" ref="I288">IF(SUM(IF($C288=detections[],IF(detections[is active]="yes",1,0),0))&gt;0,SUM(IF($C288=detections[],IF(detections[is active]="yes",1,0),0)),"")</f>
        <v/>
      </c>
      <c r="J288" s="74">
        <f t="array" ref="J28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88" s="74">
        <f>IF(AND(ISNUMBER(techniques[[#This Row],[number of sub techniques]]),techniques[[#This Row],[number of sub techniques]]&gt;1),techniques[number of sub techniques],1)</f>
        <v/>
      </c>
      <c r="L288" s="72" t="n"/>
      <c r="M288" s="74">
        <f t="array" ref="M28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8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88" s="26">
        <f>IF(techniques[[#This Row],[detection rules]]&gt;=techniques[[#This Row],[expected detection rules]],1,techniques[[#This Row],[detection rules]]/techniques[[#This Row],[expected detection rules]])</f>
        <v/>
      </c>
      <c r="P28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88" s="29">
        <f>IF(ISERROR(SEARCH(techniques[[#This Row],[id]],techniques[[#This Row],[name]])),"ERROR","")</f>
        <v/>
      </c>
      <c r="S28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89" ht="12.75" customHeight="1">
      <c r="A289" s="74" t="inlineStr">
        <is>
          <t>T1218</t>
        </is>
      </c>
      <c r="B289" s="74" t="inlineStr">
        <is>
          <t>T1218.011</t>
        </is>
      </c>
      <c r="C289" s="13" t="inlineStr">
        <is>
          <t>Rundll32 (T1218.011)</t>
        </is>
      </c>
      <c r="D289" s="13" t="inlineStr">
        <is>
          <t>stealth</t>
        </is>
      </c>
      <c r="E289" s="13" t="inlineStr">
        <is>
          <t>File: File Creation|Module: Module Load|Network Traffic: Network Connection Creation|Process: Process Creation</t>
        </is>
      </c>
      <c r="F289" s="74" t="n">
        <v>4</v>
      </c>
      <c r="G289" s="72">
        <f t="array" ref="G289">SUM(IF(ISERROR(FIND(sources[data source],techniques[[#This Row],[data sources]])),0,1)*IF(sources[available]="yes",1,0))</f>
        <v/>
      </c>
      <c r="H289" s="73">
        <f t="array" ref="H289">IF(techniques[[#This Row],[technique]]=techniques[[#This Row],[id]],SUM(IF(techniques[[#This Row],[id]]=techniques[technique],1,0))-1,"")</f>
        <v/>
      </c>
      <c r="I289" s="74">
        <f t="array" ref="I289">IF(SUM(IF($C289=detections[],IF(detections[is active]="yes",1,0),0))&gt;0,SUM(IF($C289=detections[],IF(detections[is active]="yes",1,0),0)),"")</f>
        <v/>
      </c>
      <c r="J289" s="74">
        <f t="array" ref="J28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89" s="74">
        <f>IF(AND(ISNUMBER(techniques[[#This Row],[number of sub techniques]]),techniques[[#This Row],[number of sub techniques]]&gt;1),techniques[number of sub techniques],1)</f>
        <v/>
      </c>
      <c r="L289" s="72" t="n"/>
      <c r="M289" s="74">
        <f t="array" ref="M28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8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89" s="26">
        <f>IF(techniques[[#This Row],[detection rules]]&gt;=techniques[[#This Row],[expected detection rules]],1,techniques[[#This Row],[detection rules]]/techniques[[#This Row],[expected detection rules]])</f>
        <v/>
      </c>
      <c r="P28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89" s="29">
        <f>IF(ISERROR(SEARCH(techniques[[#This Row],[id]],techniques[[#This Row],[name]])),"ERROR","")</f>
        <v/>
      </c>
      <c r="S28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90" ht="12.75" customHeight="1">
      <c r="A290" s="74" t="inlineStr">
        <is>
          <t>T1218</t>
        </is>
      </c>
      <c r="B290" s="74" t="inlineStr">
        <is>
          <t>T1218.012</t>
        </is>
      </c>
      <c r="C290" s="13" t="inlineStr">
        <is>
          <t>Verclsid (T1218.012)</t>
        </is>
      </c>
      <c r="D290" s="13" t="inlineStr">
        <is>
          <t>stealth</t>
        </is>
      </c>
      <c r="E290" s="13" t="inlineStr">
        <is>
          <t>Module: Module Load|Network Traffic: Network Connection Creation|Process: Process Creation|Windows Registry: Windows Registry Key Modification</t>
        </is>
      </c>
      <c r="F290" s="74" t="n">
        <v>4</v>
      </c>
      <c r="G290" s="72">
        <f t="array" ref="G290">SUM(IF(ISERROR(FIND(sources[data source],techniques[[#This Row],[data sources]])),0,1)*IF(sources[available]="yes",1,0))</f>
        <v/>
      </c>
      <c r="H290" s="73">
        <f t="array" ref="H290">IF(techniques[[#This Row],[technique]]=techniques[[#This Row],[id]],SUM(IF(techniques[[#This Row],[id]]=techniques[technique],1,0))-1,"")</f>
        <v/>
      </c>
      <c r="I290" s="74">
        <f t="array" ref="I290">IF(SUM(IF($C290=detections[],IF(detections[is active]="yes",1,0),0))&gt;0,SUM(IF($C290=detections[],IF(detections[is active]="yes",1,0),0)),"")</f>
        <v/>
      </c>
      <c r="J290" s="74">
        <f t="array" ref="J29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90" s="74">
        <f>IF(AND(ISNUMBER(techniques[[#This Row],[number of sub techniques]]),techniques[[#This Row],[number of sub techniques]]&gt;1),techniques[number of sub techniques],1)</f>
        <v/>
      </c>
      <c r="L290" s="72" t="n"/>
      <c r="M290" s="74">
        <f t="array" ref="M29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9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90" s="26">
        <f>IF(techniques[[#This Row],[detection rules]]&gt;=techniques[[#This Row],[expected detection rules]],1,techniques[[#This Row],[detection rules]]/techniques[[#This Row],[expected detection rules]])</f>
        <v/>
      </c>
      <c r="P29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90" s="29">
        <f>IF(ISERROR(SEARCH(techniques[[#This Row],[id]],techniques[[#This Row],[name]])),"ERROR","")</f>
        <v/>
      </c>
      <c r="S29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91" ht="12.75" customHeight="1">
      <c r="A291" s="74" t="inlineStr">
        <is>
          <t>T1218</t>
        </is>
      </c>
      <c r="B291" s="74" t="inlineStr">
        <is>
          <t>T1218.013</t>
        </is>
      </c>
      <c r="C291" s="13" t="inlineStr">
        <is>
          <t>Mavinject (T1218.013)</t>
        </is>
      </c>
      <c r="D291" s="13" t="inlineStr">
        <is>
          <t>stealth</t>
        </is>
      </c>
      <c r="E291" s="13" t="inlineStr">
        <is>
          <t>Command: Command Execution|File: File Creation|Module: Module Load|Network Traffic: Network Connection Creation|Process: Process Access|Process: Process Creation</t>
        </is>
      </c>
      <c r="F291" s="74" t="n">
        <v>6</v>
      </c>
      <c r="G291" s="72">
        <f t="array" ref="G291">SUM(IF(ISERROR(FIND(sources[data source],techniques[[#This Row],[data sources]])),0,1)*IF(sources[available]="yes",1,0))</f>
        <v/>
      </c>
      <c r="H291" s="73">
        <f t="array" ref="H291">IF(techniques[[#This Row],[technique]]=techniques[[#This Row],[id]],SUM(IF(techniques[[#This Row],[id]]=techniques[technique],1,0))-1,"")</f>
        <v/>
      </c>
      <c r="I291" s="74">
        <f t="array" ref="I291">IF(SUM(IF($C291=detections[],IF(detections[is active]="yes",1,0),0))&gt;0,SUM(IF($C291=detections[],IF(detections[is active]="yes",1,0),0)),"")</f>
        <v/>
      </c>
      <c r="J291" s="74">
        <f t="array" ref="J29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91" s="74">
        <f>IF(AND(ISNUMBER(techniques[[#This Row],[number of sub techniques]]),techniques[[#This Row],[number of sub techniques]]&gt;1),techniques[number of sub techniques],1)</f>
        <v/>
      </c>
      <c r="L291" s="72" t="n"/>
      <c r="M291" s="74">
        <f t="array" ref="M29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9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91" s="26">
        <f>IF(techniques[[#This Row],[detection rules]]&gt;=techniques[[#This Row],[expected detection rules]],1,techniques[[#This Row],[detection rules]]/techniques[[#This Row],[expected detection rules]])</f>
        <v/>
      </c>
      <c r="P29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91" s="29">
        <f>IF(ISERROR(SEARCH(techniques[[#This Row],[id]],techniques[[#This Row],[name]])),"ERROR","")</f>
        <v/>
      </c>
      <c r="S29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92" ht="12.75" customHeight="1">
      <c r="A292" s="74" t="inlineStr">
        <is>
          <t>T1218</t>
        </is>
      </c>
      <c r="B292" s="74" t="inlineStr">
        <is>
          <t>T1218.014</t>
        </is>
      </c>
      <c r="C292" s="13" t="inlineStr">
        <is>
          <t>MMC (T1218.014)</t>
        </is>
      </c>
      <c r="D292" s="13" t="inlineStr">
        <is>
          <t>stealth</t>
        </is>
      </c>
      <c r="E292" s="13" t="inlineStr">
        <is>
          <t>Command: Command Execution|File: File Creation|Module: Module Load|Network Traffic: Network Connection Creation|Process: OS API Execution|Process: Process Creation|Windows Registry: Windows Registry Key Creation|Windows Registry: Windows Registry Key Modification</t>
        </is>
      </c>
      <c r="F292" s="74" t="n">
        <v>8</v>
      </c>
      <c r="G292" s="72">
        <f t="array" ref="G292">SUM(IF(ISERROR(FIND(sources[data source],techniques[[#This Row],[data sources]])),0,1)*IF(sources[available]="yes",1,0))</f>
        <v/>
      </c>
      <c r="H292" s="73">
        <f t="array" ref="H292">IF(techniques[[#This Row],[technique]]=techniques[[#This Row],[id]],SUM(IF(techniques[[#This Row],[id]]=techniques[technique],1,0))-1,"")</f>
        <v/>
      </c>
      <c r="I292" s="74">
        <f t="array" ref="I292">IF(SUM(IF($C292=detections[],IF(detections[is active]="yes",1,0),0))&gt;0,SUM(IF($C292=detections[],IF(detections[is active]="yes",1,0),0)),"")</f>
        <v/>
      </c>
      <c r="J292" s="74">
        <f t="array" ref="J29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92" s="74">
        <f>IF(AND(ISNUMBER(techniques[[#This Row],[number of sub techniques]]),techniques[[#This Row],[number of sub techniques]]&gt;1),techniques[number of sub techniques],1)</f>
        <v/>
      </c>
      <c r="L292" s="72" t="n"/>
      <c r="M292" s="74">
        <f t="array" ref="M29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9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92" s="26">
        <f>IF(techniques[[#This Row],[detection rules]]&gt;=techniques[[#This Row],[expected detection rules]],1,techniques[[#This Row],[detection rules]]/techniques[[#This Row],[expected detection rules]])</f>
        <v/>
      </c>
      <c r="P29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92" s="29">
        <f>IF(ISERROR(SEARCH(techniques[[#This Row],[id]],techniques[[#This Row],[name]])),"ERROR","")</f>
        <v/>
      </c>
      <c r="S29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93" ht="12.75" customHeight="1">
      <c r="A293" s="74" t="inlineStr">
        <is>
          <t>T1218</t>
        </is>
      </c>
      <c r="B293" s="74" t="inlineStr">
        <is>
          <t>T1218.015</t>
        </is>
      </c>
      <c r="C293" s="13" t="inlineStr">
        <is>
          <t>Electron Applications (T1218.015)</t>
        </is>
      </c>
      <c r="D293" s="13" t="inlineStr">
        <is>
          <t>stealth</t>
        </is>
      </c>
      <c r="E293" s="13" t="inlineStr">
        <is>
          <t>File: File Creation|Module: Module Load|Network Traffic: Network Connection Creation|Process: Process Creation</t>
        </is>
      </c>
      <c r="F293" s="74" t="n">
        <v>4</v>
      </c>
      <c r="G293" s="72">
        <f t="array" ref="G293">SUM(IF(ISERROR(FIND(sources[data source],techniques[[#This Row],[data sources]])),0,1)*IF(sources[available]="yes",1,0))</f>
        <v/>
      </c>
      <c r="H293" s="73">
        <f t="array" ref="H293">IF(techniques[[#This Row],[technique]]=techniques[[#This Row],[id]],SUM(IF(techniques[[#This Row],[id]]=techniques[technique],1,0))-1,"")</f>
        <v/>
      </c>
      <c r="I293" s="74">
        <f t="array" ref="I293">IF(SUM(IF($C293=detections[],IF(detections[is active]="yes",1,0),0))&gt;0,SUM(IF($C293=detections[],IF(detections[is active]="yes",1,0),0)),"")</f>
        <v/>
      </c>
      <c r="J293" s="74">
        <f t="array" ref="J29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93" s="74">
        <f>IF(AND(ISNUMBER(techniques[[#This Row],[number of sub techniques]]),techniques[[#This Row],[number of sub techniques]]&gt;1),techniques[number of sub techniques],1)</f>
        <v/>
      </c>
      <c r="L293" s="72" t="n"/>
      <c r="M293" s="74">
        <f t="array" ref="M29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9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93" s="26">
        <f>IF(techniques[[#This Row],[detection rules]]&gt;=techniques[[#This Row],[expected detection rules]],1,techniques[[#This Row],[detection rules]]/techniques[[#This Row],[expected detection rules]])</f>
        <v/>
      </c>
      <c r="P29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93" s="29">
        <f>IF(ISERROR(SEARCH(techniques[[#This Row],[id]],techniques[[#This Row],[name]])),"ERROR","")</f>
        <v/>
      </c>
      <c r="S29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94" ht="12.75" customHeight="1">
      <c r="A294" s="74" t="inlineStr">
        <is>
          <t>T1219</t>
        </is>
      </c>
      <c r="B294" s="74" t="inlineStr">
        <is>
          <t>T1219</t>
        </is>
      </c>
      <c r="C294" s="13" t="inlineStr">
        <is>
          <t>Remote Access Tools (T1219)</t>
        </is>
      </c>
      <c r="D294" s="13" t="inlineStr">
        <is>
          <t>command-and-control</t>
        </is>
      </c>
      <c r="E294" s="13" t="inlineStr">
        <is>
          <t>File: File Creation|Network Traffic: Network Connection Creation|Process: Process Creation|Service: Service Creation|Windows Registry: Windows Registry Key Creation|Windows Registry: Windows Registry Key Modification</t>
        </is>
      </c>
      <c r="F294" s="74" t="n">
        <v>6</v>
      </c>
      <c r="G294" s="72">
        <f t="array" ref="G294">SUM(IF(ISERROR(FIND(sources[data source],techniques[[#This Row],[data sources]])),0,1)*IF(sources[available]="yes",1,0))</f>
        <v/>
      </c>
      <c r="H294" s="73">
        <f t="array" ref="H294">IF(techniques[[#This Row],[technique]]=techniques[[#This Row],[id]],SUM(IF(techniques[[#This Row],[id]]=techniques[technique],1,0))-1,"")</f>
        <v/>
      </c>
      <c r="I294" s="74">
        <f t="array" ref="I294">IF(SUM(IF($C294=detections[],IF(detections[is active]="yes",1,0),0))&gt;0,SUM(IF($C294=detections[],IF(detections[is active]="yes",1,0),0)),"")</f>
        <v/>
      </c>
      <c r="J294" s="74">
        <f t="array" ref="J29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94" s="74">
        <f>IF(AND(ISNUMBER(techniques[[#This Row],[number of sub techniques]]),techniques[[#This Row],[number of sub techniques]]&gt;1),techniques[number of sub techniques],1)</f>
        <v/>
      </c>
      <c r="L294" s="72" t="n"/>
      <c r="M294" s="74">
        <f t="array" ref="M29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9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94" s="26">
        <f>IF(techniques[[#This Row],[detection rules]]&gt;=techniques[[#This Row],[expected detection rules]],1,techniques[[#This Row],[detection rules]]/techniques[[#This Row],[expected detection rules]])</f>
        <v/>
      </c>
      <c r="P29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94" s="29">
        <f>IF(ISERROR(SEARCH(techniques[[#This Row],[id]],techniques[[#This Row],[name]])),"ERROR","")</f>
        <v/>
      </c>
      <c r="S29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95" ht="12.75" customHeight="1">
      <c r="A295" s="74" t="inlineStr">
        <is>
          <t>T1219</t>
        </is>
      </c>
      <c r="B295" s="74" t="inlineStr">
        <is>
          <t>T1219.001</t>
        </is>
      </c>
      <c r="C295" s="13" t="inlineStr">
        <is>
          <t>IDE Tunneling (T1219.001)</t>
        </is>
      </c>
      <c r="D295" s="13" t="inlineStr">
        <is>
          <t>command-and-control</t>
        </is>
      </c>
      <c r="E295" s="13" t="inlineStr">
        <is>
          <t>File: File Creation|Network Traffic: Network Connection Creation|Process: Process Creation</t>
        </is>
      </c>
      <c r="F295" s="74" t="n">
        <v>3</v>
      </c>
      <c r="G295" s="72">
        <f t="array" ref="G295">SUM(IF(ISERROR(FIND(sources[data source],techniques[[#This Row],[data sources]])),0,1)*IF(sources[available]="yes",1,0))</f>
        <v/>
      </c>
      <c r="H295" s="73">
        <f t="array" ref="H295">IF(techniques[[#This Row],[technique]]=techniques[[#This Row],[id]],SUM(IF(techniques[[#This Row],[id]]=techniques[technique],1,0))-1,"")</f>
        <v/>
      </c>
      <c r="I295" s="74">
        <f t="array" ref="I295">IF(SUM(IF($C295=detections[],IF(detections[is active]="yes",1,0),0))&gt;0,SUM(IF($C295=detections[],IF(detections[is active]="yes",1,0),0)),"")</f>
        <v/>
      </c>
      <c r="J295" s="74">
        <f t="array" ref="J29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95" s="74">
        <f>IF(AND(ISNUMBER(techniques[[#This Row],[number of sub techniques]]),techniques[[#This Row],[number of sub techniques]]&gt;1),techniques[number of sub techniques],1)</f>
        <v/>
      </c>
      <c r="L295" s="72" t="n"/>
      <c r="M295" s="74">
        <f t="array" ref="M29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9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95" s="26">
        <f>IF(techniques[[#This Row],[detection rules]]&gt;=techniques[[#This Row],[expected detection rules]],1,techniques[[#This Row],[detection rules]]/techniques[[#This Row],[expected detection rules]])</f>
        <v/>
      </c>
      <c r="P29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95" s="29">
        <f>IF(ISERROR(SEARCH(techniques[[#This Row],[id]],techniques[[#This Row],[name]])),"ERROR","")</f>
        <v/>
      </c>
      <c r="S29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96" ht="12.75" customHeight="1">
      <c r="A296" s="74" t="inlineStr">
        <is>
          <t>T1219</t>
        </is>
      </c>
      <c r="B296" s="74" t="inlineStr">
        <is>
          <t>T1219.002</t>
        </is>
      </c>
      <c r="C296" s="13" t="inlineStr">
        <is>
          <t>Remote Desktop Software (T1219.002)</t>
        </is>
      </c>
      <c r="D296" s="13" t="inlineStr">
        <is>
          <t>command-and-control</t>
        </is>
      </c>
      <c r="E296" s="13" t="inlineStr">
        <is>
          <t>File: File Creation|Firewall: Firewall Rule Modification|Network Traffic: Network Connection Creation|Process: Process Creation</t>
        </is>
      </c>
      <c r="F296" s="74" t="n">
        <v>4</v>
      </c>
      <c r="G296" s="72">
        <f t="array" ref="G296">SUM(IF(ISERROR(FIND(sources[data source],techniques[[#This Row],[data sources]])),0,1)*IF(sources[available]="yes",1,0))</f>
        <v/>
      </c>
      <c r="H296" s="73">
        <f t="array" ref="H296">IF(techniques[[#This Row],[technique]]=techniques[[#This Row],[id]],SUM(IF(techniques[[#This Row],[id]]=techniques[technique],1,0))-1,"")</f>
        <v/>
      </c>
      <c r="I296" s="74">
        <f t="array" ref="I296">IF(SUM(IF($C296=detections[],IF(detections[is active]="yes",1,0),0))&gt;0,SUM(IF($C296=detections[],IF(detections[is active]="yes",1,0),0)),"")</f>
        <v/>
      </c>
      <c r="J296" s="74">
        <f t="array" ref="J29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96" s="74">
        <f>IF(AND(ISNUMBER(techniques[[#This Row],[number of sub techniques]]),techniques[[#This Row],[number of sub techniques]]&gt;1),techniques[number of sub techniques],1)</f>
        <v/>
      </c>
      <c r="L296" s="72" t="n"/>
      <c r="M296" s="74">
        <f t="array" ref="M29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9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96" s="26">
        <f>IF(techniques[[#This Row],[detection rules]]&gt;=techniques[[#This Row],[expected detection rules]],1,techniques[[#This Row],[detection rules]]/techniques[[#This Row],[expected detection rules]])</f>
        <v/>
      </c>
      <c r="P29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96" s="29">
        <f>IF(ISERROR(SEARCH(techniques[[#This Row],[id]],techniques[[#This Row],[name]])),"ERROR","")</f>
        <v/>
      </c>
      <c r="S29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97" ht="12.75" customHeight="1">
      <c r="A297" s="74" t="inlineStr">
        <is>
          <t>T1219</t>
        </is>
      </c>
      <c r="B297" s="74" t="inlineStr">
        <is>
          <t>T1219.003</t>
        </is>
      </c>
      <c r="C297" s="13" t="inlineStr">
        <is>
          <t>Remote Access Hardware (T1219.003)</t>
        </is>
      </c>
      <c r="D297" s="13" t="inlineStr">
        <is>
          <t>command-and-control</t>
        </is>
      </c>
      <c r="E297" s="13" t="inlineStr">
        <is>
          <t>Drive: Drive Creation</t>
        </is>
      </c>
      <c r="F297" s="74" t="n">
        <v>1</v>
      </c>
      <c r="G297" s="72">
        <f t="array" ref="G297">SUM(IF(ISERROR(FIND(sources[data source],techniques[[#This Row],[data sources]])),0,1)*IF(sources[available]="yes",1,0))</f>
        <v/>
      </c>
      <c r="H297" s="73">
        <f t="array" ref="H297">IF(techniques[[#This Row],[technique]]=techniques[[#This Row],[id]],SUM(IF(techniques[[#This Row],[id]]=techniques[technique],1,0))-1,"")</f>
        <v/>
      </c>
      <c r="I297" s="74">
        <f t="array" ref="I297">IF(SUM(IF($C297=detections[],IF(detections[is active]="yes",1,0),0))&gt;0,SUM(IF($C297=detections[],IF(detections[is active]="yes",1,0),0)),"")</f>
        <v/>
      </c>
      <c r="J297" s="74">
        <f t="array" ref="J29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97" s="74">
        <f>IF(AND(ISNUMBER(techniques[[#This Row],[number of sub techniques]]),techniques[[#This Row],[number of sub techniques]]&gt;1),techniques[number of sub techniques],1)</f>
        <v/>
      </c>
      <c r="L297" s="72" t="n"/>
      <c r="M297" s="74">
        <f t="array" ref="M29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9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97" s="26">
        <f>IF(techniques[[#This Row],[detection rules]]&gt;=techniques[[#This Row],[expected detection rules]],1,techniques[[#This Row],[detection rules]]/techniques[[#This Row],[expected detection rules]])</f>
        <v/>
      </c>
      <c r="P29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97" s="29">
        <f>IF(ISERROR(SEARCH(techniques[[#This Row],[id]],techniques[[#This Row],[name]])),"ERROR","")</f>
        <v/>
      </c>
      <c r="S29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98" ht="12.75" customHeight="1">
      <c r="A298" s="74" t="inlineStr">
        <is>
          <t>T1220</t>
        </is>
      </c>
      <c r="B298" s="74" t="inlineStr">
        <is>
          <t>T1220</t>
        </is>
      </c>
      <c r="C298" s="13" t="inlineStr">
        <is>
          <t>XSL Script Processing (T1220)</t>
        </is>
      </c>
      <c r="D298" s="13" t="inlineStr">
        <is>
          <t>stealth</t>
        </is>
      </c>
      <c r="E298" s="13" t="inlineStr">
        <is>
          <t>Module: Module Load|Process: Process Creation</t>
        </is>
      </c>
      <c r="F298" s="74" t="n">
        <v>2</v>
      </c>
      <c r="G298" s="72">
        <f t="array" ref="G298">SUM(IF(ISERROR(FIND(sources[data source],techniques[[#This Row],[data sources]])),0,1)*IF(sources[available]="yes",1,0))</f>
        <v/>
      </c>
      <c r="H298" s="73">
        <f t="array" ref="H298">IF(techniques[[#This Row],[technique]]=techniques[[#This Row],[id]],SUM(IF(techniques[[#This Row],[id]]=techniques[technique],1,0))-1,"")</f>
        <v/>
      </c>
      <c r="I298" s="74">
        <f t="array" ref="I298">IF(SUM(IF($C298=detections[],IF(detections[is active]="yes",1,0),0))&gt;0,SUM(IF($C298=detections[],IF(detections[is active]="yes",1,0),0)),"")</f>
        <v/>
      </c>
      <c r="J298" s="74">
        <f t="array" ref="J29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98" s="74">
        <f>IF(AND(ISNUMBER(techniques[[#This Row],[number of sub techniques]]),techniques[[#This Row],[number of sub techniques]]&gt;1),techniques[number of sub techniques],1)</f>
        <v/>
      </c>
      <c r="L298" s="72" t="n"/>
      <c r="M298" s="74">
        <f t="array" ref="M29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9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98" s="26">
        <f>IF(techniques[[#This Row],[detection rules]]&gt;=techniques[[#This Row],[expected detection rules]],1,techniques[[#This Row],[detection rules]]/techniques[[#This Row],[expected detection rules]])</f>
        <v/>
      </c>
      <c r="P29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98" s="29">
        <f>IF(ISERROR(SEARCH(techniques[[#This Row],[id]],techniques[[#This Row],[name]])),"ERROR","")</f>
        <v/>
      </c>
      <c r="S29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299" ht="12.75" customHeight="1">
      <c r="A299" s="74" t="inlineStr">
        <is>
          <t>T1221</t>
        </is>
      </c>
      <c r="B299" s="74" t="inlineStr">
        <is>
          <t>T1221</t>
        </is>
      </c>
      <c r="C299" s="13" t="inlineStr">
        <is>
          <t>Template Injection (T1221)</t>
        </is>
      </c>
      <c r="D299" s="13" t="inlineStr">
        <is>
          <t>stealth</t>
        </is>
      </c>
      <c r="E299" s="13" t="inlineStr">
        <is>
          <t>Network Traffic: Network Connection Creation|Process: Process Creation</t>
        </is>
      </c>
      <c r="F299" s="74" t="n">
        <v>2</v>
      </c>
      <c r="G299" s="72">
        <f t="array" ref="G299">SUM(IF(ISERROR(FIND(sources[data source],techniques[[#This Row],[data sources]])),0,1)*IF(sources[available]="yes",1,0))</f>
        <v/>
      </c>
      <c r="H299" s="73">
        <f t="array" ref="H299">IF(techniques[[#This Row],[technique]]=techniques[[#This Row],[id]],SUM(IF(techniques[[#This Row],[id]]=techniques[technique],1,0))-1,"")</f>
        <v/>
      </c>
      <c r="I299" s="74">
        <f t="array" ref="I299">IF(SUM(IF($C299=detections[],IF(detections[is active]="yes",1,0),0))&gt;0,SUM(IF($C299=detections[],IF(detections[is active]="yes",1,0),0)),"")</f>
        <v/>
      </c>
      <c r="J299" s="74">
        <f t="array" ref="J29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299" s="74">
        <f>IF(AND(ISNUMBER(techniques[[#This Row],[number of sub techniques]]),techniques[[#This Row],[number of sub techniques]]&gt;1),techniques[number of sub techniques],1)</f>
        <v/>
      </c>
      <c r="L299" s="72" t="n"/>
      <c r="M299" s="74">
        <f t="array" ref="M29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29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299" s="26">
        <f>IF(techniques[[#This Row],[detection rules]]&gt;=techniques[[#This Row],[expected detection rules]],1,techniques[[#This Row],[detection rules]]/techniques[[#This Row],[expected detection rules]])</f>
        <v/>
      </c>
      <c r="P29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299" s="29">
        <f>IF(ISERROR(SEARCH(techniques[[#This Row],[id]],techniques[[#This Row],[name]])),"ERROR","")</f>
        <v/>
      </c>
      <c r="S29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00" ht="12.75" customHeight="1">
      <c r="A300" s="74" t="inlineStr">
        <is>
          <t>T1222</t>
        </is>
      </c>
      <c r="B300" s="74" t="inlineStr">
        <is>
          <t>T1222</t>
        </is>
      </c>
      <c r="C300" s="13" t="inlineStr">
        <is>
          <t>File and Directory Permissions Modification (T1222)</t>
        </is>
      </c>
      <c r="D300" s="13" t="inlineStr">
        <is>
          <t>defense-impairment</t>
        </is>
      </c>
      <c r="E300" s="13" t="inlineStr">
        <is>
          <t>Active Directory: Active Directory Object Modification|Command: Command Execution|File: File Creation|File: File Metadata|Process: Process Creation</t>
        </is>
      </c>
      <c r="F300" s="74" t="n">
        <v>5</v>
      </c>
      <c r="G300" s="72">
        <f t="array" ref="G300">SUM(IF(ISERROR(FIND(sources[data source],techniques[[#This Row],[data sources]])),0,1)*IF(sources[available]="yes",1,0))</f>
        <v/>
      </c>
      <c r="H300" s="73">
        <f t="array" ref="H300">IF(techniques[[#This Row],[technique]]=techniques[[#This Row],[id]],SUM(IF(techniques[[#This Row],[id]]=techniques[technique],1,0))-1,"")</f>
        <v/>
      </c>
      <c r="I300" s="74">
        <f t="array" ref="I300">IF(SUM(IF($C300=detections[],IF(detections[is active]="yes",1,0),0))&gt;0,SUM(IF($C300=detections[],IF(detections[is active]="yes",1,0),0)),"")</f>
        <v/>
      </c>
      <c r="J300" s="74">
        <f t="array" ref="J30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00" s="74">
        <f>IF(AND(ISNUMBER(techniques[[#This Row],[number of sub techniques]]),techniques[[#This Row],[number of sub techniques]]&gt;1),techniques[number of sub techniques],1)</f>
        <v/>
      </c>
      <c r="L300" s="72" t="n"/>
      <c r="M300" s="74">
        <f t="array" ref="M30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0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00" s="26">
        <f>IF(techniques[[#This Row],[detection rules]]&gt;=techniques[[#This Row],[expected detection rules]],1,techniques[[#This Row],[detection rules]]/techniques[[#This Row],[expected detection rules]])</f>
        <v/>
      </c>
      <c r="P30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00" s="29">
        <f>IF(ISERROR(SEARCH(techniques[[#This Row],[id]],techniques[[#This Row],[name]])),"ERROR","")</f>
        <v/>
      </c>
      <c r="S30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01" ht="12.75" customHeight="1">
      <c r="A301" s="74" t="inlineStr">
        <is>
          <t>T1222</t>
        </is>
      </c>
      <c r="B301" s="74" t="inlineStr">
        <is>
          <t>T1222.001</t>
        </is>
      </c>
      <c r="C301" s="13" t="inlineStr">
        <is>
          <t>Windows Permissions (T1222.001)</t>
        </is>
      </c>
      <c r="D301" s="13" t="inlineStr">
        <is>
          <t>defense-impairment</t>
        </is>
      </c>
      <c r="E301" s="13" t="inlineStr">
        <is>
          <t>Active Directory: Active Directory Object Modification|Command: Command Execution|File: File Creation|File: File Metadata|Process: Process Creation|WMI: WMI Creation</t>
        </is>
      </c>
      <c r="F301" s="74" t="n">
        <v>6</v>
      </c>
      <c r="G301" s="72">
        <f t="array" ref="G301">SUM(IF(ISERROR(FIND(sources[data source],techniques[[#This Row],[data sources]])),0,1)*IF(sources[available]="yes",1,0))</f>
        <v/>
      </c>
      <c r="H301" s="73">
        <f t="array" ref="H301">IF(techniques[[#This Row],[technique]]=techniques[[#This Row],[id]],SUM(IF(techniques[[#This Row],[id]]=techniques[technique],1,0))-1,"")</f>
        <v/>
      </c>
      <c r="I301" s="74">
        <f t="array" ref="I301">IF(SUM(IF($C301=detections[],IF(detections[is active]="yes",1,0),0))&gt;0,SUM(IF($C301=detections[],IF(detections[is active]="yes",1,0),0)),"")</f>
        <v/>
      </c>
      <c r="J301" s="74">
        <f t="array" ref="J30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01" s="74">
        <f>IF(AND(ISNUMBER(techniques[[#This Row],[number of sub techniques]]),techniques[[#This Row],[number of sub techniques]]&gt;1),techniques[number of sub techniques],1)</f>
        <v/>
      </c>
      <c r="L301" s="72" t="n"/>
      <c r="M301" s="74">
        <f t="array" ref="M30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0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01" s="26">
        <f>IF(techniques[[#This Row],[detection rules]]&gt;=techniques[[#This Row],[expected detection rules]],1,techniques[[#This Row],[detection rules]]/techniques[[#This Row],[expected detection rules]])</f>
        <v/>
      </c>
      <c r="P30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01" s="29">
        <f>IF(ISERROR(SEARCH(techniques[[#This Row],[id]],techniques[[#This Row],[name]])),"ERROR","")</f>
        <v/>
      </c>
      <c r="S30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02" ht="12.75" customHeight="1">
      <c r="A302" s="74" t="inlineStr">
        <is>
          <t>T1222</t>
        </is>
      </c>
      <c r="B302" s="74" t="inlineStr">
        <is>
          <t>T1222.002</t>
        </is>
      </c>
      <c r="C302" s="13" t="inlineStr">
        <is>
          <t>Linux and Mac Permissions (T1222.002)</t>
        </is>
      </c>
      <c r="D302" s="13" t="inlineStr">
        <is>
          <t>defense-impairment</t>
        </is>
      </c>
      <c r="E302" s="13" t="inlineStr">
        <is>
          <t>Command: Command Execution|File: File Metadata|File: File Modification|Process: Process Creation</t>
        </is>
      </c>
      <c r="F302" s="74" t="n">
        <v>4</v>
      </c>
      <c r="G302" s="72">
        <f t="array" ref="G302">SUM(IF(ISERROR(FIND(sources[data source],techniques[[#This Row],[data sources]])),0,1)*IF(sources[available]="yes",1,0))</f>
        <v/>
      </c>
      <c r="H302" s="73">
        <f t="array" ref="H302">IF(techniques[[#This Row],[technique]]=techniques[[#This Row],[id]],SUM(IF(techniques[[#This Row],[id]]=techniques[technique],1,0))-1,"")</f>
        <v/>
      </c>
      <c r="I302" s="74">
        <f t="array" ref="I302">IF(SUM(IF($C302=detections[],IF(detections[is active]="yes",1,0),0))&gt;0,SUM(IF($C302=detections[],IF(detections[is active]="yes",1,0),0)),"")</f>
        <v/>
      </c>
      <c r="J302" s="74">
        <f t="array" ref="J30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02" s="74">
        <f>IF(AND(ISNUMBER(techniques[[#This Row],[number of sub techniques]]),techniques[[#This Row],[number of sub techniques]]&gt;1),techniques[number of sub techniques],1)</f>
        <v/>
      </c>
      <c r="L302" s="72" t="n"/>
      <c r="M302" s="74">
        <f t="array" ref="M30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0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02" s="26">
        <f>IF(techniques[[#This Row],[detection rules]]&gt;=techniques[[#This Row],[expected detection rules]],1,techniques[[#This Row],[detection rules]]/techniques[[#This Row],[expected detection rules]])</f>
        <v/>
      </c>
      <c r="P30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02" s="29">
        <f>IF(ISERROR(SEARCH(techniques[[#This Row],[id]],techniques[[#This Row],[name]])),"ERROR","")</f>
        <v/>
      </c>
      <c r="S30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03" ht="12.75" customHeight="1">
      <c r="A303" s="74" t="inlineStr">
        <is>
          <t>T1480</t>
        </is>
      </c>
      <c r="B303" s="74" t="inlineStr">
        <is>
          <t>T1480</t>
        </is>
      </c>
      <c r="C303" s="13" t="inlineStr">
        <is>
          <t>Execution Guardrails (T1480)</t>
        </is>
      </c>
      <c r="D303" s="13" t="inlineStr">
        <is>
          <t>stealth</t>
        </is>
      </c>
      <c r="E303" s="13" t="inlineStr">
        <is>
          <t>Command: Command Execution|File: File Access|File: File Creation|Logon Session: Logon Session Creation|Module: Module Load|Network Traffic: Network Connection Creation|Process: Process Creation|Process: Process Modification|User Account: User Account Authentication|WMI: WMI Creation|Windows Registry: Windows Registry Key Modification</t>
        </is>
      </c>
      <c r="F303" s="74" t="n">
        <v>11</v>
      </c>
      <c r="G303" s="72">
        <f t="array" ref="G303">SUM(IF(ISERROR(FIND(sources[data source],techniques[[#This Row],[data sources]])),0,1)*IF(sources[available]="yes",1,0))</f>
        <v/>
      </c>
      <c r="H303" s="73">
        <f t="array" ref="H303">IF(techniques[[#This Row],[technique]]=techniques[[#This Row],[id]],SUM(IF(techniques[[#This Row],[id]]=techniques[technique],1,0))-1,"")</f>
        <v/>
      </c>
      <c r="I303" s="74">
        <f t="array" ref="I303">IF(SUM(IF($C303=detections[],IF(detections[is active]="yes",1,0),0))&gt;0,SUM(IF($C303=detections[],IF(detections[is active]="yes",1,0),0)),"")</f>
        <v/>
      </c>
      <c r="J303" s="74">
        <f t="array" ref="J30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03" s="74">
        <f>IF(AND(ISNUMBER(techniques[[#This Row],[number of sub techniques]]),techniques[[#This Row],[number of sub techniques]]&gt;1),techniques[number of sub techniques],1)</f>
        <v/>
      </c>
      <c r="L303" s="72" t="n"/>
      <c r="M303" s="74">
        <f t="array" ref="M30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0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03" s="26">
        <f>IF(techniques[[#This Row],[detection rules]]&gt;=techniques[[#This Row],[expected detection rules]],1,techniques[[#This Row],[detection rules]]/techniques[[#This Row],[expected detection rules]])</f>
        <v/>
      </c>
      <c r="P30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03" s="29">
        <f>IF(ISERROR(SEARCH(techniques[[#This Row],[id]],techniques[[#This Row],[name]])),"ERROR","")</f>
        <v/>
      </c>
      <c r="S30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04" ht="12.75" customHeight="1">
      <c r="A304" s="74" t="inlineStr">
        <is>
          <t>T1480</t>
        </is>
      </c>
      <c r="B304" s="74" t="inlineStr">
        <is>
          <t>T1480.001</t>
        </is>
      </c>
      <c r="C304" s="13" t="inlineStr">
        <is>
          <t>Environmental Keying (T1480.001)</t>
        </is>
      </c>
      <c r="D304" s="13" t="inlineStr">
        <is>
          <t>stealth</t>
        </is>
      </c>
      <c r="E304" s="13" t="inlineStr">
        <is>
          <t>Command: Command Execution|File: File Access|Logon Session: Logon Session Creation|Module: Module Load|Network Traffic: Network Connection Creation|Process: Process Access|Process: Process Creation|WMI: WMI Creation</t>
        </is>
      </c>
      <c r="F304" s="74" t="n">
        <v>8</v>
      </c>
      <c r="G304" s="72">
        <f t="array" ref="G304">SUM(IF(ISERROR(FIND(sources[data source],techniques[[#This Row],[data sources]])),0,1)*IF(sources[available]="yes",1,0))</f>
        <v/>
      </c>
      <c r="H304" s="73">
        <f t="array" ref="H304">IF(techniques[[#This Row],[technique]]=techniques[[#This Row],[id]],SUM(IF(techniques[[#This Row],[id]]=techniques[technique],1,0))-1,"")</f>
        <v/>
      </c>
      <c r="I304" s="74">
        <f t="array" ref="I304">IF(SUM(IF($C304=detections[],IF(detections[is active]="yes",1,0),0))&gt;0,SUM(IF($C304=detections[],IF(detections[is active]="yes",1,0),0)),"")</f>
        <v/>
      </c>
      <c r="J304" s="74">
        <f t="array" ref="J30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04" s="74">
        <f>IF(AND(ISNUMBER(techniques[[#This Row],[number of sub techniques]]),techniques[[#This Row],[number of sub techniques]]&gt;1),techniques[number of sub techniques],1)</f>
        <v/>
      </c>
      <c r="L304" s="72" t="n"/>
      <c r="M304" s="74">
        <f t="array" ref="M30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0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04" s="26">
        <f>IF(techniques[[#This Row],[detection rules]]&gt;=techniques[[#This Row],[expected detection rules]],1,techniques[[#This Row],[detection rules]]/techniques[[#This Row],[expected detection rules]])</f>
        <v/>
      </c>
      <c r="P30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04" s="29">
        <f>IF(ISERROR(SEARCH(techniques[[#This Row],[id]],techniques[[#This Row],[name]])),"ERROR","")</f>
        <v/>
      </c>
      <c r="S30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05" ht="12.75" customHeight="1">
      <c r="A305" s="74" t="inlineStr">
        <is>
          <t>T1480</t>
        </is>
      </c>
      <c r="B305" s="74" t="inlineStr">
        <is>
          <t>T1480.002</t>
        </is>
      </c>
      <c r="C305" s="13" t="inlineStr">
        <is>
          <t>Mutual Exclusion (T1480.002)</t>
        </is>
      </c>
      <c r="D305" s="13" t="inlineStr">
        <is>
          <t>stealth</t>
        </is>
      </c>
      <c r="E305" s="13" t="inlineStr">
        <is>
          <t>File: File Access|File: File Creation|Process: OS API Execution|Process: Process Creation|Process: Process Termination</t>
        </is>
      </c>
      <c r="F305" s="74" t="n">
        <v>5</v>
      </c>
      <c r="G305" s="72">
        <f t="array" ref="G305">SUM(IF(ISERROR(FIND(sources[data source],techniques[[#This Row],[data sources]])),0,1)*IF(sources[available]="yes",1,0))</f>
        <v/>
      </c>
      <c r="H305" s="73">
        <f t="array" ref="H305">IF(techniques[[#This Row],[technique]]=techniques[[#This Row],[id]],SUM(IF(techniques[[#This Row],[id]]=techniques[technique],1,0))-1,"")</f>
        <v/>
      </c>
      <c r="I305" s="74">
        <f t="array" ref="I305">IF(SUM(IF($C305=detections[],IF(detections[is active]="yes",1,0),0))&gt;0,SUM(IF($C305=detections[],IF(detections[is active]="yes",1,0),0)),"")</f>
        <v/>
      </c>
      <c r="J305" s="74">
        <f t="array" ref="J30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05" s="74">
        <f>IF(AND(ISNUMBER(techniques[[#This Row],[number of sub techniques]]),techniques[[#This Row],[number of sub techniques]]&gt;1),techniques[number of sub techniques],1)</f>
        <v/>
      </c>
      <c r="L305" s="72" t="n"/>
      <c r="M305" s="74">
        <f t="array" ref="M30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0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05" s="26">
        <f>IF(techniques[[#This Row],[detection rules]]&gt;=techniques[[#This Row],[expected detection rules]],1,techniques[[#This Row],[detection rules]]/techniques[[#This Row],[expected detection rules]])</f>
        <v/>
      </c>
      <c r="P30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05" s="29">
        <f>IF(ISERROR(SEARCH(techniques[[#This Row],[id]],techniques[[#This Row],[name]])),"ERROR","")</f>
        <v/>
      </c>
      <c r="S30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06" ht="12.75" customHeight="1">
      <c r="A306" s="74" t="inlineStr">
        <is>
          <t>T1482</t>
        </is>
      </c>
      <c r="B306" s="74" t="inlineStr">
        <is>
          <t>T1482</t>
        </is>
      </c>
      <c r="C306" s="13" t="inlineStr">
        <is>
          <t>Domain Trust Discovery (T1482)</t>
        </is>
      </c>
      <c r="D306" s="13" t="inlineStr">
        <is>
          <t>discovery</t>
        </is>
      </c>
      <c r="E306" s="13" t="inlineStr">
        <is>
          <t>Active Directory: Active Directory Object Access|Command: Command Execution|Module: Module Load|Process: Process Access|Process: Process Creation</t>
        </is>
      </c>
      <c r="F306" s="74" t="n">
        <v>5</v>
      </c>
      <c r="G306" s="72">
        <f t="array" ref="G306">SUM(IF(ISERROR(FIND(sources[data source],techniques[[#This Row],[data sources]])),0,1)*IF(sources[available]="yes",1,0))</f>
        <v/>
      </c>
      <c r="H306" s="73">
        <f t="array" ref="H306">IF(techniques[[#This Row],[technique]]=techniques[[#This Row],[id]],SUM(IF(techniques[[#This Row],[id]]=techniques[technique],1,0))-1,"")</f>
        <v/>
      </c>
      <c r="I306" s="74">
        <f t="array" ref="I306">IF(SUM(IF($C306=detections[],IF(detections[is active]="yes",1,0),0))&gt;0,SUM(IF($C306=detections[],IF(detections[is active]="yes",1,0),0)),"")</f>
        <v/>
      </c>
      <c r="J306" s="74">
        <f t="array" ref="J30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06" s="74">
        <f>IF(AND(ISNUMBER(techniques[[#This Row],[number of sub techniques]]),techniques[[#This Row],[number of sub techniques]]&gt;1),techniques[number of sub techniques],1)</f>
        <v/>
      </c>
      <c r="L306" s="72" t="n"/>
      <c r="M306" s="74">
        <f t="array" ref="M30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0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06" s="26">
        <f>IF(techniques[[#This Row],[detection rules]]&gt;=techniques[[#This Row],[expected detection rules]],1,techniques[[#This Row],[detection rules]]/techniques[[#This Row],[expected detection rules]])</f>
        <v/>
      </c>
      <c r="P30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06" s="29">
        <f>IF(ISERROR(SEARCH(techniques[[#This Row],[id]],techniques[[#This Row],[name]])),"ERROR","")</f>
        <v/>
      </c>
      <c r="S30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07" ht="12.75" customHeight="1">
      <c r="A307" s="74" t="inlineStr">
        <is>
          <t>T1484</t>
        </is>
      </c>
      <c r="B307" s="74" t="inlineStr">
        <is>
          <t>T1484</t>
        </is>
      </c>
      <c r="C307" s="13" t="inlineStr">
        <is>
          <t>Domain or Tenant Policy Modification (T1484)</t>
        </is>
      </c>
      <c r="D307" s="13" t="inlineStr">
        <is>
          <t>defense-impairment|privilege-escalation</t>
        </is>
      </c>
      <c r="E307" s="13" t="inlineStr">
        <is>
          <t>Active Directory: Active Directory Object Modification|Application Log: Application Log Content|File: File Modification|Process: Process Creation|User Account: User Account Authentication</t>
        </is>
      </c>
      <c r="F307" s="74" t="n">
        <v>5</v>
      </c>
      <c r="G307" s="72">
        <f t="array" ref="G307">SUM(IF(ISERROR(FIND(sources[data source],techniques[[#This Row],[data sources]])),0,1)*IF(sources[available]="yes",1,0))</f>
        <v/>
      </c>
      <c r="H307" s="73">
        <f t="array" ref="H307">IF(techniques[[#This Row],[technique]]=techniques[[#This Row],[id]],SUM(IF(techniques[[#This Row],[id]]=techniques[technique],1,0))-1,"")</f>
        <v/>
      </c>
      <c r="I307" s="74">
        <f t="array" ref="I307">IF(SUM(IF($C307=detections[],IF(detections[is active]="yes",1,0),0))&gt;0,SUM(IF($C307=detections[],IF(detections[is active]="yes",1,0),0)),"")</f>
        <v/>
      </c>
      <c r="J307" s="74">
        <f t="array" ref="J30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07" s="74">
        <f>IF(AND(ISNUMBER(techniques[[#This Row],[number of sub techniques]]),techniques[[#This Row],[number of sub techniques]]&gt;1),techniques[number of sub techniques],1)</f>
        <v/>
      </c>
      <c r="L307" s="72" t="n"/>
      <c r="M307" s="74">
        <f t="array" ref="M30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0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07" s="26">
        <f>IF(techniques[[#This Row],[detection rules]]&gt;=techniques[[#This Row],[expected detection rules]],1,techniques[[#This Row],[detection rules]]/techniques[[#This Row],[expected detection rules]])</f>
        <v/>
      </c>
      <c r="P30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07" s="29">
        <f>IF(ISERROR(SEARCH(techniques[[#This Row],[id]],techniques[[#This Row],[name]])),"ERROR","")</f>
        <v/>
      </c>
      <c r="S30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08" ht="12.75" customHeight="1">
      <c r="A308" s="74" t="inlineStr">
        <is>
          <t>T1484</t>
        </is>
      </c>
      <c r="B308" s="74" t="inlineStr">
        <is>
          <t>T1484.001</t>
        </is>
      </c>
      <c r="C308" s="13" t="inlineStr">
        <is>
          <t>Group Policy Modification (T1484.001)</t>
        </is>
      </c>
      <c r="D308" s="13" t="inlineStr">
        <is>
          <t>defense-impairment|privilege-escalation</t>
        </is>
      </c>
      <c r="E308" s="13" t="inlineStr">
        <is>
          <t>Active Directory: Active Directory Object Modification|File: File Creation|File: File Modification|Process: Process Creation|User Account: User Account Modification</t>
        </is>
      </c>
      <c r="F308" s="74" t="n">
        <v>5</v>
      </c>
      <c r="G308" s="72">
        <f t="array" ref="G308">SUM(IF(ISERROR(FIND(sources[data source],techniques[[#This Row],[data sources]])),0,1)*IF(sources[available]="yes",1,0))</f>
        <v/>
      </c>
      <c r="H308" s="73">
        <f t="array" ref="H308">IF(techniques[[#This Row],[technique]]=techniques[[#This Row],[id]],SUM(IF(techniques[[#This Row],[id]]=techniques[technique],1,0))-1,"")</f>
        <v/>
      </c>
      <c r="I308" s="74">
        <f t="array" ref="I308">IF(SUM(IF($C308=detections[],IF(detections[is active]="yes",1,0),0))&gt;0,SUM(IF($C308=detections[],IF(detections[is active]="yes",1,0),0)),"")</f>
        <v/>
      </c>
      <c r="J308" s="74">
        <f t="array" ref="J30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08" s="74">
        <f>IF(AND(ISNUMBER(techniques[[#This Row],[number of sub techniques]]),techniques[[#This Row],[number of sub techniques]]&gt;1),techniques[number of sub techniques],1)</f>
        <v/>
      </c>
      <c r="L308" s="72" t="n"/>
      <c r="M308" s="74">
        <f t="array" ref="M30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0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08" s="26">
        <f>IF(techniques[[#This Row],[detection rules]]&gt;=techniques[[#This Row],[expected detection rules]],1,techniques[[#This Row],[detection rules]]/techniques[[#This Row],[expected detection rules]])</f>
        <v/>
      </c>
      <c r="P30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08" s="29">
        <f>IF(ISERROR(SEARCH(techniques[[#This Row],[id]],techniques[[#This Row],[name]])),"ERROR","")</f>
        <v/>
      </c>
      <c r="S30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09" ht="12.75" customHeight="1">
      <c r="A309" s="74" t="inlineStr">
        <is>
          <t>T1484</t>
        </is>
      </c>
      <c r="B309" s="74" t="inlineStr">
        <is>
          <t>T1484.002</t>
        </is>
      </c>
      <c r="C309" s="13" t="inlineStr">
        <is>
          <t>Trust Modification (T1484.002)</t>
        </is>
      </c>
      <c r="D309" s="13" t="inlineStr">
        <is>
          <t>defense-impairment|privilege-escalation</t>
        </is>
      </c>
      <c r="E309" s="13" t="inlineStr">
        <is>
          <t>Active Directory: Active Directory Object Modification|Application Log: Application Log Content|Command: Command Execution|Process: Process Creation|User Account: User Account Modification</t>
        </is>
      </c>
      <c r="F309" s="74" t="n">
        <v>5</v>
      </c>
      <c r="G309" s="72">
        <f t="array" ref="G309">SUM(IF(ISERROR(FIND(sources[data source],techniques[[#This Row],[data sources]])),0,1)*IF(sources[available]="yes",1,0))</f>
        <v/>
      </c>
      <c r="H309" s="73">
        <f t="array" ref="H309">IF(techniques[[#This Row],[technique]]=techniques[[#This Row],[id]],SUM(IF(techniques[[#This Row],[id]]=techniques[technique],1,0))-1,"")</f>
        <v/>
      </c>
      <c r="I309" s="74">
        <f t="array" ref="I309">IF(SUM(IF($C309=detections[],IF(detections[is active]="yes",1,0),0))&gt;0,SUM(IF($C309=detections[],IF(detections[is active]="yes",1,0),0)),"")</f>
        <v/>
      </c>
      <c r="J309" s="74">
        <f t="array" ref="J30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09" s="74">
        <f>IF(AND(ISNUMBER(techniques[[#This Row],[number of sub techniques]]),techniques[[#This Row],[number of sub techniques]]&gt;1),techniques[number of sub techniques],1)</f>
        <v/>
      </c>
      <c r="L309" s="72" t="n"/>
      <c r="M309" s="74">
        <f t="array" ref="M30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0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09" s="26">
        <f>IF(techniques[[#This Row],[detection rules]]&gt;=techniques[[#This Row],[expected detection rules]],1,techniques[[#This Row],[detection rules]]/techniques[[#This Row],[expected detection rules]])</f>
        <v/>
      </c>
      <c r="P30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09" s="29">
        <f>IF(ISERROR(SEARCH(techniques[[#This Row],[id]],techniques[[#This Row],[name]])),"ERROR","")</f>
        <v/>
      </c>
      <c r="S30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10" ht="12.75" customHeight="1">
      <c r="A310" s="74" t="inlineStr">
        <is>
          <t>T1485</t>
        </is>
      </c>
      <c r="B310" s="74" t="inlineStr">
        <is>
          <t>T1485</t>
        </is>
      </c>
      <c r="C310" s="13" t="inlineStr">
        <is>
          <t>Data Destruction (T1485)</t>
        </is>
      </c>
      <c r="D310" s="13" t="inlineStr">
        <is>
          <t>impact</t>
        </is>
      </c>
      <c r="E310" s="13" t="inlineStr">
        <is>
          <t>Cloud Storage: Cloud Storage Deletion|Command: Command Execution|File: File Creation|File: File Deletion|Process: Process Creation|Process: Process Termination|Volume: Volume Deletion</t>
        </is>
      </c>
      <c r="F310" s="74" t="n">
        <v>7</v>
      </c>
      <c r="G310" s="72">
        <f t="array" ref="G310">SUM(IF(ISERROR(FIND(sources[data source],techniques[[#This Row],[data sources]])),0,1)*IF(sources[available]="yes",1,0))</f>
        <v/>
      </c>
      <c r="H310" s="73">
        <f t="array" ref="H310">IF(techniques[[#This Row],[technique]]=techniques[[#This Row],[id]],SUM(IF(techniques[[#This Row],[id]]=techniques[technique],1,0))-1,"")</f>
        <v/>
      </c>
      <c r="I310" s="74">
        <f t="array" ref="I310">IF(SUM(IF($C310=detections[],IF(detections[is active]="yes",1,0),0))&gt;0,SUM(IF($C310=detections[],IF(detections[is active]="yes",1,0),0)),"")</f>
        <v/>
      </c>
      <c r="J310" s="74">
        <f t="array" ref="J31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10" s="74">
        <f>IF(AND(ISNUMBER(techniques[[#This Row],[number of sub techniques]]),techniques[[#This Row],[number of sub techniques]]&gt;1),techniques[number of sub techniques],1)</f>
        <v/>
      </c>
      <c r="L310" s="72" t="n"/>
      <c r="M310" s="74">
        <f t="array" ref="M31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1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10" s="26">
        <f>IF(techniques[[#This Row],[detection rules]]&gt;=techniques[[#This Row],[expected detection rules]],1,techniques[[#This Row],[detection rules]]/techniques[[#This Row],[expected detection rules]])</f>
        <v/>
      </c>
      <c r="P31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10" s="29">
        <f>IF(ISERROR(SEARCH(techniques[[#This Row],[id]],techniques[[#This Row],[name]])),"ERROR","")</f>
        <v/>
      </c>
      <c r="S31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11" ht="12.75" customHeight="1">
      <c r="A311" s="74" t="inlineStr">
        <is>
          <t>T1485</t>
        </is>
      </c>
      <c r="B311" s="74" t="inlineStr">
        <is>
          <t>T1485.001</t>
        </is>
      </c>
      <c r="C311" s="13" t="inlineStr">
        <is>
          <t>Lifecycle-Triggered Deletion (T1485.001)</t>
        </is>
      </c>
      <c r="D311" s="13" t="inlineStr">
        <is>
          <t>impact</t>
        </is>
      </c>
      <c r="E311" s="13" t="inlineStr">
        <is>
          <t>Cloud Storage: Cloud Storage Modification</t>
        </is>
      </c>
      <c r="F311" s="74" t="n">
        <v>1</v>
      </c>
      <c r="G311" s="72">
        <f t="array" ref="G311">SUM(IF(ISERROR(FIND(sources[data source],techniques[[#This Row],[data sources]])),0,1)*IF(sources[available]="yes",1,0))</f>
        <v/>
      </c>
      <c r="H311" s="73">
        <f t="array" ref="H311">IF(techniques[[#This Row],[technique]]=techniques[[#This Row],[id]],SUM(IF(techniques[[#This Row],[id]]=techniques[technique],1,0))-1,"")</f>
        <v/>
      </c>
      <c r="I311" s="74">
        <f t="array" ref="I311">IF(SUM(IF($C311=detections[],IF(detections[is active]="yes",1,0),0))&gt;0,SUM(IF($C311=detections[],IF(detections[is active]="yes",1,0),0)),"")</f>
        <v/>
      </c>
      <c r="J311" s="74">
        <f t="array" ref="J31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11" s="74">
        <f>IF(AND(ISNUMBER(techniques[[#This Row],[number of sub techniques]]),techniques[[#This Row],[number of sub techniques]]&gt;1),techniques[number of sub techniques],1)</f>
        <v/>
      </c>
      <c r="L311" s="72" t="n"/>
      <c r="M311" s="74">
        <f t="array" ref="M31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1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11" s="26">
        <f>IF(techniques[[#This Row],[detection rules]]&gt;=techniques[[#This Row],[expected detection rules]],1,techniques[[#This Row],[detection rules]]/techniques[[#This Row],[expected detection rules]])</f>
        <v/>
      </c>
      <c r="P31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11" s="29">
        <f>IF(ISERROR(SEARCH(techniques[[#This Row],[id]],techniques[[#This Row],[name]])),"ERROR","")</f>
        <v/>
      </c>
      <c r="S31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12" ht="12.75" customHeight="1">
      <c r="A312" s="74" t="inlineStr">
        <is>
          <t>T1486</t>
        </is>
      </c>
      <c r="B312" s="74" t="inlineStr">
        <is>
          <t>T1486</t>
        </is>
      </c>
      <c r="C312" s="13" t="inlineStr">
        <is>
          <t>Data Encrypted for Impact (T1486)</t>
        </is>
      </c>
      <c r="D312" s="13" t="inlineStr">
        <is>
          <t>impact</t>
        </is>
      </c>
      <c r="E312" s="13" t="inlineStr">
        <is>
          <t>Cloud Storage: Cloud Storage Modification|Command: Command Execution|File: File Creation|File: File Modification|Process: Process Creation</t>
        </is>
      </c>
      <c r="F312" s="74" t="n">
        <v>5</v>
      </c>
      <c r="G312" s="72">
        <f t="array" ref="G312">SUM(IF(ISERROR(FIND(sources[data source],techniques[[#This Row],[data sources]])),0,1)*IF(sources[available]="yes",1,0))</f>
        <v/>
      </c>
      <c r="H312" s="73">
        <f t="array" ref="H312">IF(techniques[[#This Row],[technique]]=techniques[[#This Row],[id]],SUM(IF(techniques[[#This Row],[id]]=techniques[technique],1,0))-1,"")</f>
        <v/>
      </c>
      <c r="I312" s="74">
        <f t="array" ref="I312">IF(SUM(IF($C312=detections[],IF(detections[is active]="yes",1,0),0))&gt;0,SUM(IF($C312=detections[],IF(detections[is active]="yes",1,0),0)),"")</f>
        <v/>
      </c>
      <c r="J312" s="74">
        <f t="array" ref="J31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12" s="74">
        <f>IF(AND(ISNUMBER(techniques[[#This Row],[number of sub techniques]]),techniques[[#This Row],[number of sub techniques]]&gt;1),techniques[number of sub techniques],1)</f>
        <v/>
      </c>
      <c r="L312" s="72" t="n"/>
      <c r="M312" s="74">
        <f t="array" ref="M31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1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12" s="26">
        <f>IF(techniques[[#This Row],[detection rules]]&gt;=techniques[[#This Row],[expected detection rules]],1,techniques[[#This Row],[detection rules]]/techniques[[#This Row],[expected detection rules]])</f>
        <v/>
      </c>
      <c r="P31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12" s="29">
        <f>IF(ISERROR(SEARCH(techniques[[#This Row],[id]],techniques[[#This Row],[name]])),"ERROR","")</f>
        <v/>
      </c>
      <c r="S31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13" ht="12.75" customHeight="1">
      <c r="A313" s="74" t="inlineStr">
        <is>
          <t>T1489</t>
        </is>
      </c>
      <c r="B313" s="74" t="inlineStr">
        <is>
          <t>T1489</t>
        </is>
      </c>
      <c r="C313" s="13" t="inlineStr">
        <is>
          <t>Service Stop (T1489)</t>
        </is>
      </c>
      <c r="D313" s="13" t="inlineStr">
        <is>
          <t>impact</t>
        </is>
      </c>
      <c r="E313" s="13" t="inlineStr">
        <is>
          <t>File: File Deletion|Logon Session: Logon Session Metadata|Process: Process Creation|Process: Process Termination|Service: Service Creation|Service: Service Metadata</t>
        </is>
      </c>
      <c r="F313" s="74" t="n">
        <v>6</v>
      </c>
      <c r="G313" s="72">
        <f t="array" ref="G313">SUM(IF(ISERROR(FIND(sources[data source],techniques[[#This Row],[data sources]])),0,1)*IF(sources[available]="yes",1,0))</f>
        <v/>
      </c>
      <c r="H313" s="73">
        <f t="array" ref="H313">IF(techniques[[#This Row],[technique]]=techniques[[#This Row],[id]],SUM(IF(techniques[[#This Row],[id]]=techniques[technique],1,0))-1,"")</f>
        <v/>
      </c>
      <c r="I313" s="74">
        <f t="array" ref="I313">IF(SUM(IF($C313=detections[],IF(detections[is active]="yes",1,0),0))&gt;0,SUM(IF($C313=detections[],IF(detections[is active]="yes",1,0),0)),"")</f>
        <v/>
      </c>
      <c r="J313" s="74">
        <f t="array" ref="J31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13" s="74">
        <f>IF(AND(ISNUMBER(techniques[[#This Row],[number of sub techniques]]),techniques[[#This Row],[number of sub techniques]]&gt;1),techniques[number of sub techniques],1)</f>
        <v/>
      </c>
      <c r="L313" s="72" t="n"/>
      <c r="M313" s="74">
        <f t="array" ref="M31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1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13" s="26">
        <f>IF(techniques[[#This Row],[detection rules]]&gt;=techniques[[#This Row],[expected detection rules]],1,techniques[[#This Row],[detection rules]]/techniques[[#This Row],[expected detection rules]])</f>
        <v/>
      </c>
      <c r="P31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13" s="29">
        <f>IF(ISERROR(SEARCH(techniques[[#This Row],[id]],techniques[[#This Row],[name]])),"ERROR","")</f>
        <v/>
      </c>
      <c r="S31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14" ht="12.75" customHeight="1">
      <c r="A314" s="74" t="inlineStr">
        <is>
          <t>T1490</t>
        </is>
      </c>
      <c r="B314" s="74" t="inlineStr">
        <is>
          <t>T1490</t>
        </is>
      </c>
      <c r="C314" s="13" t="inlineStr">
        <is>
          <t>Inhibit System Recovery (T1490)</t>
        </is>
      </c>
      <c r="D314" s="13" t="inlineStr">
        <is>
          <t>impact</t>
        </is>
      </c>
      <c r="E314" s="13" t="inlineStr">
        <is>
          <t>Cloud Storage: Cloud Storage Deletion|Command: Command Execution|File: File Deletion|Process: Process Creation|Service: Service Metadata|Snapshot: Snapshot Deletion|Windows Registry: Windows Registry Key Modification</t>
        </is>
      </c>
      <c r="F314" s="74" t="n">
        <v>7</v>
      </c>
      <c r="G314" s="72">
        <f t="array" ref="G314">SUM(IF(ISERROR(FIND(sources[data source],techniques[[#This Row],[data sources]])),0,1)*IF(sources[available]="yes",1,0))</f>
        <v/>
      </c>
      <c r="H314" s="73">
        <f t="array" ref="H314">IF(techniques[[#This Row],[technique]]=techniques[[#This Row],[id]],SUM(IF(techniques[[#This Row],[id]]=techniques[technique],1,0))-1,"")</f>
        <v/>
      </c>
      <c r="I314" s="74">
        <f t="array" ref="I314">IF(SUM(IF($C314=detections[],IF(detections[is active]="yes",1,0),0))&gt;0,SUM(IF($C314=detections[],IF(detections[is active]="yes",1,0),0)),"")</f>
        <v/>
      </c>
      <c r="J314" s="74">
        <f t="array" ref="J31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14" s="74">
        <f>IF(AND(ISNUMBER(techniques[[#This Row],[number of sub techniques]]),techniques[[#This Row],[number of sub techniques]]&gt;1),techniques[number of sub techniques],1)</f>
        <v/>
      </c>
      <c r="L314" s="72" t="n"/>
      <c r="M314" s="74">
        <f t="array" ref="M31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1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14" s="26">
        <f>IF(techniques[[#This Row],[detection rules]]&gt;=techniques[[#This Row],[expected detection rules]],1,techniques[[#This Row],[detection rules]]/techniques[[#This Row],[expected detection rules]])</f>
        <v/>
      </c>
      <c r="P31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14" s="29">
        <f>IF(ISERROR(SEARCH(techniques[[#This Row],[id]],techniques[[#This Row],[name]])),"ERROR","")</f>
        <v/>
      </c>
      <c r="S31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15" ht="12.75" customHeight="1">
      <c r="A315" s="74" t="inlineStr">
        <is>
          <t>T1491</t>
        </is>
      </c>
      <c r="B315" s="74" t="inlineStr">
        <is>
          <t>T1491</t>
        </is>
      </c>
      <c r="C315" s="13" t="inlineStr">
        <is>
          <t>Defacement (T1491)</t>
        </is>
      </c>
      <c r="D315" s="13" t="inlineStr">
        <is>
          <t>impact</t>
        </is>
      </c>
      <c r="E315" s="13" t="inlineStr">
        <is>
          <t>Application Log: Application Log Content|Cloud Storage: Cloud Storage Access|File: File Creation|File: File Modification|Network Traffic: Network Traffic Content|Process: Process Creation</t>
        </is>
      </c>
      <c r="F315" s="74" t="n">
        <v>6</v>
      </c>
      <c r="G315" s="72">
        <f t="array" ref="G315">SUM(IF(ISERROR(FIND(sources[data source],techniques[[#This Row],[data sources]])),0,1)*IF(sources[available]="yes",1,0))</f>
        <v/>
      </c>
      <c r="H315" s="73">
        <f t="array" ref="H315">IF(techniques[[#This Row],[technique]]=techniques[[#This Row],[id]],SUM(IF(techniques[[#This Row],[id]]=techniques[technique],1,0))-1,"")</f>
        <v/>
      </c>
      <c r="I315" s="74">
        <f t="array" ref="I315">IF(SUM(IF($C315=detections[],IF(detections[is active]="yes",1,0),0))&gt;0,SUM(IF($C315=detections[],IF(detections[is active]="yes",1,0),0)),"")</f>
        <v/>
      </c>
      <c r="J315" s="74">
        <f t="array" ref="J31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15" s="74">
        <f>IF(AND(ISNUMBER(techniques[[#This Row],[number of sub techniques]]),techniques[[#This Row],[number of sub techniques]]&gt;1),techniques[number of sub techniques],1)</f>
        <v/>
      </c>
      <c r="L315" s="72" t="n"/>
      <c r="M315" s="74">
        <f t="array" ref="M31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1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15" s="26">
        <f>IF(techniques[[#This Row],[detection rules]]&gt;=techniques[[#This Row],[expected detection rules]],1,techniques[[#This Row],[detection rules]]/techniques[[#This Row],[expected detection rules]])</f>
        <v/>
      </c>
      <c r="P31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15" s="29">
        <f>IF(ISERROR(SEARCH(techniques[[#This Row],[id]],techniques[[#This Row],[name]])),"ERROR","")</f>
        <v/>
      </c>
      <c r="S31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16" ht="12.75" customHeight="1">
      <c r="A316" s="74" t="inlineStr">
        <is>
          <t>T1491</t>
        </is>
      </c>
      <c r="B316" s="74" t="inlineStr">
        <is>
          <t>T1491.001</t>
        </is>
      </c>
      <c r="C316" s="13" t="inlineStr">
        <is>
          <t>Internal Defacement (T1491.001)</t>
        </is>
      </c>
      <c r="D316" s="13" t="inlineStr">
        <is>
          <t>impact</t>
        </is>
      </c>
      <c r="E316" s="13" t="inlineStr">
        <is>
          <t>Command: Command Execution|File: File Access|File: File Creation|File: File Modification|Process: Process Creation|Script: Script Execution|User Account: User Account Modification</t>
        </is>
      </c>
      <c r="F316" s="74" t="n">
        <v>7</v>
      </c>
      <c r="G316" s="72">
        <f t="array" ref="G316">SUM(IF(ISERROR(FIND(sources[data source],techniques[[#This Row],[data sources]])),0,1)*IF(sources[available]="yes",1,0))</f>
        <v/>
      </c>
      <c r="H316" s="73">
        <f t="array" ref="H316">IF(techniques[[#This Row],[technique]]=techniques[[#This Row],[id]],SUM(IF(techniques[[#This Row],[id]]=techniques[technique],1,0))-1,"")</f>
        <v/>
      </c>
      <c r="I316" s="74">
        <f t="array" ref="I316">IF(SUM(IF($C316=detections[],IF(detections[is active]="yes",1,0),0))&gt;0,SUM(IF($C316=detections[],IF(detections[is active]="yes",1,0),0)),"")</f>
        <v/>
      </c>
      <c r="J316" s="74">
        <f t="array" ref="J31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16" s="74">
        <f>IF(AND(ISNUMBER(techniques[[#This Row],[number of sub techniques]]),techniques[[#This Row],[number of sub techniques]]&gt;1),techniques[number of sub techniques],1)</f>
        <v/>
      </c>
      <c r="L316" s="72" t="n"/>
      <c r="M316" s="74">
        <f t="array" ref="M31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1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16" s="26">
        <f>IF(techniques[[#This Row],[detection rules]]&gt;=techniques[[#This Row],[expected detection rules]],1,techniques[[#This Row],[detection rules]]/techniques[[#This Row],[expected detection rules]])</f>
        <v/>
      </c>
      <c r="P31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16" s="29">
        <f>IF(ISERROR(SEARCH(techniques[[#This Row],[id]],techniques[[#This Row],[name]])),"ERROR","")</f>
        <v/>
      </c>
      <c r="S31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17" ht="12.75" customHeight="1">
      <c r="A317" s="74" t="inlineStr">
        <is>
          <t>T1491</t>
        </is>
      </c>
      <c r="B317" s="74" t="inlineStr">
        <is>
          <t>T1491.002</t>
        </is>
      </c>
      <c r="C317" s="13" t="inlineStr">
        <is>
          <t>External Defacement (T1491.002)</t>
        </is>
      </c>
      <c r="D317" s="13" t="inlineStr">
        <is>
          <t>impact</t>
        </is>
      </c>
      <c r="E317" s="13" t="inlineStr">
        <is>
          <t>Cloud Storage: Cloud Storage Access|Cloud Storage: Cloud Storage Enumeration|File: File Creation|File: File Modification|Logon Session: Logon Session Metadata|Network Traffic: Network Traffic Content|Process: Process Creation</t>
        </is>
      </c>
      <c r="F317" s="74" t="n">
        <v>7</v>
      </c>
      <c r="G317" s="72">
        <f t="array" ref="G317">SUM(IF(ISERROR(FIND(sources[data source],techniques[[#This Row],[data sources]])),0,1)*IF(sources[available]="yes",1,0))</f>
        <v/>
      </c>
      <c r="H317" s="73">
        <f t="array" ref="H317">IF(techniques[[#This Row],[technique]]=techniques[[#This Row],[id]],SUM(IF(techniques[[#This Row],[id]]=techniques[technique],1,0))-1,"")</f>
        <v/>
      </c>
      <c r="I317" s="74">
        <f t="array" ref="I317">IF(SUM(IF($C317=detections[],IF(detections[is active]="yes",1,0),0))&gt;0,SUM(IF($C317=detections[],IF(detections[is active]="yes",1,0),0)),"")</f>
        <v/>
      </c>
      <c r="J317" s="74">
        <f t="array" ref="J31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17" s="74">
        <f>IF(AND(ISNUMBER(techniques[[#This Row],[number of sub techniques]]),techniques[[#This Row],[number of sub techniques]]&gt;1),techniques[number of sub techniques],1)</f>
        <v/>
      </c>
      <c r="L317" s="72" t="n"/>
      <c r="M317" s="74">
        <f t="array" ref="M31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1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17" s="26">
        <f>IF(techniques[[#This Row],[detection rules]]&gt;=techniques[[#This Row],[expected detection rules]],1,techniques[[#This Row],[detection rules]]/techniques[[#This Row],[expected detection rules]])</f>
        <v/>
      </c>
      <c r="P31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17" s="29">
        <f>IF(ISERROR(SEARCH(techniques[[#This Row],[id]],techniques[[#This Row],[name]])),"ERROR","")</f>
        <v/>
      </c>
      <c r="S31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18" ht="12.75" customHeight="1">
      <c r="A318" s="74" t="inlineStr">
        <is>
          <t>T1495</t>
        </is>
      </c>
      <c r="B318" s="74" t="inlineStr">
        <is>
          <t>T1495</t>
        </is>
      </c>
      <c r="C318" s="13" t="inlineStr">
        <is>
          <t>Firmware Corruption (T1495)</t>
        </is>
      </c>
      <c r="D318" s="13" t="inlineStr">
        <is>
          <t>impact</t>
        </is>
      </c>
      <c r="E318" s="13" t="inlineStr">
        <is>
          <t>Driver: Driver Load|Firmware: Firmware Modification|Network Traffic: Network Traffic Content|Process: Process Creation</t>
        </is>
      </c>
      <c r="F318" s="74" t="n">
        <v>4</v>
      </c>
      <c r="G318" s="72">
        <f t="array" ref="G318">SUM(IF(ISERROR(FIND(sources[data source],techniques[[#This Row],[data sources]])),0,1)*IF(sources[available]="yes",1,0))</f>
        <v/>
      </c>
      <c r="H318" s="73">
        <f t="array" ref="H318">IF(techniques[[#This Row],[technique]]=techniques[[#This Row],[id]],SUM(IF(techniques[[#This Row],[id]]=techniques[technique],1,0))-1,"")</f>
        <v/>
      </c>
      <c r="I318" s="74">
        <f t="array" ref="I318">IF(SUM(IF($C318=detections[],IF(detections[is active]="yes",1,0),0))&gt;0,SUM(IF($C318=detections[],IF(detections[is active]="yes",1,0),0)),"")</f>
        <v/>
      </c>
      <c r="J318" s="74">
        <f t="array" ref="J31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18" s="74">
        <f>IF(AND(ISNUMBER(techniques[[#This Row],[number of sub techniques]]),techniques[[#This Row],[number of sub techniques]]&gt;1),techniques[number of sub techniques],1)</f>
        <v/>
      </c>
      <c r="L318" s="72" t="n"/>
      <c r="M318" s="74">
        <f t="array" ref="M31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1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18" s="26">
        <f>IF(techniques[[#This Row],[detection rules]]&gt;=techniques[[#This Row],[expected detection rules]],1,techniques[[#This Row],[detection rules]]/techniques[[#This Row],[expected detection rules]])</f>
        <v/>
      </c>
      <c r="P31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18" s="29">
        <f>IF(ISERROR(SEARCH(techniques[[#This Row],[id]],techniques[[#This Row],[name]])),"ERROR","")</f>
        <v/>
      </c>
      <c r="S31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19" ht="12.75" customHeight="1">
      <c r="A319" s="74" t="inlineStr">
        <is>
          <t>T1496</t>
        </is>
      </c>
      <c r="B319" s="74" t="inlineStr">
        <is>
          <t>T1496</t>
        </is>
      </c>
      <c r="C319" s="13" t="inlineStr">
        <is>
          <t>Resource Hijacking (T1496)</t>
        </is>
      </c>
      <c r="D319" s="13" t="inlineStr">
        <is>
          <t>impact</t>
        </is>
      </c>
      <c r="E319" s="13" t="inlineStr">
        <is>
          <t>Application Log: Application Log Content|Cloud Service: Cloud Service Modification|Instance: Instance Start|Network Traffic: Network Connection Creation|Network Traffic: Network Traffic Content|Network Traffic: Network Traffic Flow|Process: Process Creation|Sensor Health: Host Status</t>
        </is>
      </c>
      <c r="F319" s="74" t="n">
        <v>8</v>
      </c>
      <c r="G319" s="72">
        <f t="array" ref="G319">SUM(IF(ISERROR(FIND(sources[data source],techniques[[#This Row],[data sources]])),0,1)*IF(sources[available]="yes",1,0))</f>
        <v/>
      </c>
      <c r="H319" s="73">
        <f t="array" ref="H319">IF(techniques[[#This Row],[technique]]=techniques[[#This Row],[id]],SUM(IF(techniques[[#This Row],[id]]=techniques[technique],1,0))-1,"")</f>
        <v/>
      </c>
      <c r="I319" s="74">
        <f t="array" ref="I319">IF(SUM(IF($C319=detections[],IF(detections[is active]="yes",1,0),0))&gt;0,SUM(IF($C319=detections[],IF(detections[is active]="yes",1,0),0)),"")</f>
        <v/>
      </c>
      <c r="J319" s="74">
        <f t="array" ref="J31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19" s="74">
        <f>IF(AND(ISNUMBER(techniques[[#This Row],[number of sub techniques]]),techniques[[#This Row],[number of sub techniques]]&gt;1),techniques[number of sub techniques],1)</f>
        <v/>
      </c>
      <c r="L319" s="72" t="n"/>
      <c r="M319" s="74">
        <f t="array" ref="M31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1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19" s="26">
        <f>IF(techniques[[#This Row],[detection rules]]&gt;=techniques[[#This Row],[expected detection rules]],1,techniques[[#This Row],[detection rules]]/techniques[[#This Row],[expected detection rules]])</f>
        <v/>
      </c>
      <c r="P31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19" s="29">
        <f>IF(ISERROR(SEARCH(techniques[[#This Row],[id]],techniques[[#This Row],[name]])),"ERROR","")</f>
        <v/>
      </c>
      <c r="S31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20" ht="12.75" customHeight="1">
      <c r="A320" s="74" t="inlineStr">
        <is>
          <t>T1496</t>
        </is>
      </c>
      <c r="B320" s="74" t="inlineStr">
        <is>
          <t>T1496.001</t>
        </is>
      </c>
      <c r="C320" s="13" t="inlineStr">
        <is>
          <t>Compute Hijacking (T1496.001)</t>
        </is>
      </c>
      <c r="D320" s="13" t="inlineStr">
        <is>
          <t>impact</t>
        </is>
      </c>
      <c r="E320" s="13" t="inlineStr">
        <is>
          <t>Container: Container Creation|Instance: Instance Start|Network Traffic: Network Connection Creation|Network Traffic: Network Traffic Content|Network Traffic: Network Traffic Flow|Process: Process Creation|Scheduled Job: Scheduled Job Creation|Sensor Health: Host Status</t>
        </is>
      </c>
      <c r="F320" s="74" t="n">
        <v>8</v>
      </c>
      <c r="G320" s="72">
        <f t="array" ref="G320">SUM(IF(ISERROR(FIND(sources[data source],techniques[[#This Row],[data sources]])),0,1)*IF(sources[available]="yes",1,0))</f>
        <v/>
      </c>
      <c r="H320" s="73">
        <f t="array" ref="H320">IF(techniques[[#This Row],[technique]]=techniques[[#This Row],[id]],SUM(IF(techniques[[#This Row],[id]]=techniques[technique],1,0))-1,"")</f>
        <v/>
      </c>
      <c r="I320" s="74">
        <f t="array" ref="I320">IF(SUM(IF($C320=detections[],IF(detections[is active]="yes",1,0),0))&gt;0,SUM(IF($C320=detections[],IF(detections[is active]="yes",1,0),0)),"")</f>
        <v/>
      </c>
      <c r="J320" s="74">
        <f t="array" ref="J32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20" s="74">
        <f>IF(AND(ISNUMBER(techniques[[#This Row],[number of sub techniques]]),techniques[[#This Row],[number of sub techniques]]&gt;1),techniques[number of sub techniques],1)</f>
        <v/>
      </c>
      <c r="L320" s="72" t="n"/>
      <c r="M320" s="74">
        <f t="array" ref="M32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2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20" s="26">
        <f>IF(techniques[[#This Row],[detection rules]]&gt;=techniques[[#This Row],[expected detection rules]],1,techniques[[#This Row],[detection rules]]/techniques[[#This Row],[expected detection rules]])</f>
        <v/>
      </c>
      <c r="P32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20" s="29">
        <f>IF(ISERROR(SEARCH(techniques[[#This Row],[id]],techniques[[#This Row],[name]])),"ERROR","")</f>
        <v/>
      </c>
      <c r="S32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21" ht="12.75" customHeight="1">
      <c r="A321" s="74" t="inlineStr">
        <is>
          <t>T1496</t>
        </is>
      </c>
      <c r="B321" s="74" t="inlineStr">
        <is>
          <t>T1496.002</t>
        </is>
      </c>
      <c r="C321" s="13" t="inlineStr">
        <is>
          <t>Bandwidth Hijacking (T1496.002)</t>
        </is>
      </c>
      <c r="D321" s="13" t="inlineStr">
        <is>
          <t>impact</t>
        </is>
      </c>
      <c r="E321" s="13" t="inlineStr">
        <is>
          <t>Instance: Instance Start|Network Traffic: Network Connection Creation|Network Traffic: Network Traffic Content|Network Traffic: Network Traffic Flow|Process: Process Creation</t>
        </is>
      </c>
      <c r="F321" s="74" t="n">
        <v>5</v>
      </c>
      <c r="G321" s="72">
        <f t="array" ref="G321">SUM(IF(ISERROR(FIND(sources[data source],techniques[[#This Row],[data sources]])),0,1)*IF(sources[available]="yes",1,0))</f>
        <v/>
      </c>
      <c r="H321" s="73">
        <f t="array" ref="H321">IF(techniques[[#This Row],[technique]]=techniques[[#This Row],[id]],SUM(IF(techniques[[#This Row],[id]]=techniques[technique],1,0))-1,"")</f>
        <v/>
      </c>
      <c r="I321" s="74">
        <f t="array" ref="I321">IF(SUM(IF($C321=detections[],IF(detections[is active]="yes",1,0),0))&gt;0,SUM(IF($C321=detections[],IF(detections[is active]="yes",1,0),0)),"")</f>
        <v/>
      </c>
      <c r="J321" s="74">
        <f t="array" ref="J32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21" s="74">
        <f>IF(AND(ISNUMBER(techniques[[#This Row],[number of sub techniques]]),techniques[[#This Row],[number of sub techniques]]&gt;1),techniques[number of sub techniques],1)</f>
        <v/>
      </c>
      <c r="L321" s="72" t="n"/>
      <c r="M321" s="74">
        <f t="array" ref="M32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2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21" s="26">
        <f>IF(techniques[[#This Row],[detection rules]]&gt;=techniques[[#This Row],[expected detection rules]],1,techniques[[#This Row],[detection rules]]/techniques[[#This Row],[expected detection rules]])</f>
        <v/>
      </c>
      <c r="P32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21" s="29">
        <f>IF(ISERROR(SEARCH(techniques[[#This Row],[id]],techniques[[#This Row],[name]])),"ERROR","")</f>
        <v/>
      </c>
      <c r="S32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22" ht="12.75" customHeight="1">
      <c r="A322" s="74" t="inlineStr">
        <is>
          <t>T1496</t>
        </is>
      </c>
      <c r="B322" s="74" t="inlineStr">
        <is>
          <t>T1496.003</t>
        </is>
      </c>
      <c r="C322" s="13" t="inlineStr">
        <is>
          <t>SMS Pumping (T1496.003)</t>
        </is>
      </c>
      <c r="D322" s="13" t="inlineStr">
        <is>
          <t>impact</t>
        </is>
      </c>
      <c r="E322" s="13" t="inlineStr">
        <is>
          <t>Application Log: Application Log Content|User Account: User Account Authentication</t>
        </is>
      </c>
      <c r="F322" s="74" t="n">
        <v>2</v>
      </c>
      <c r="G322" s="72">
        <f t="array" ref="G322">SUM(IF(ISERROR(FIND(sources[data source],techniques[[#This Row],[data sources]])),0,1)*IF(sources[available]="yes",1,0))</f>
        <v/>
      </c>
      <c r="H322" s="73">
        <f t="array" ref="H322">IF(techniques[[#This Row],[technique]]=techniques[[#This Row],[id]],SUM(IF(techniques[[#This Row],[id]]=techniques[technique],1,0))-1,"")</f>
        <v/>
      </c>
      <c r="I322" s="74">
        <f t="array" ref="I322">IF(SUM(IF($C322=detections[],IF(detections[is active]="yes",1,0),0))&gt;0,SUM(IF($C322=detections[],IF(detections[is active]="yes",1,0),0)),"")</f>
        <v/>
      </c>
      <c r="J322" s="74">
        <f t="array" ref="J32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22" s="74">
        <f>IF(AND(ISNUMBER(techniques[[#This Row],[number of sub techniques]]),techniques[[#This Row],[number of sub techniques]]&gt;1),techniques[number of sub techniques],1)</f>
        <v/>
      </c>
      <c r="L322" s="72" t="n"/>
      <c r="M322" s="74">
        <f t="array" ref="M32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2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22" s="26">
        <f>IF(techniques[[#This Row],[detection rules]]&gt;=techniques[[#This Row],[expected detection rules]],1,techniques[[#This Row],[detection rules]]/techniques[[#This Row],[expected detection rules]])</f>
        <v/>
      </c>
      <c r="P32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22" s="29">
        <f>IF(ISERROR(SEARCH(techniques[[#This Row],[id]],techniques[[#This Row],[name]])),"ERROR","")</f>
        <v/>
      </c>
      <c r="S32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23" ht="12.75" customHeight="1">
      <c r="A323" s="74" t="inlineStr">
        <is>
          <t>T1496</t>
        </is>
      </c>
      <c r="B323" s="74" t="inlineStr">
        <is>
          <t>T1496.004</t>
        </is>
      </c>
      <c r="C323" s="13" t="inlineStr">
        <is>
          <t>Cloud Service Hijacking (T1496.004)</t>
        </is>
      </c>
      <c r="D323" s="13" t="inlineStr">
        <is>
          <t>impact</t>
        </is>
      </c>
      <c r="E323" s="13" t="inlineStr">
        <is>
          <t>Application Log: Application Log Content|Cloud Service: Cloud Service Modification|User Account: User Account Metadata</t>
        </is>
      </c>
      <c r="F323" s="74" t="n">
        <v>3</v>
      </c>
      <c r="G323" s="72">
        <f t="array" ref="G323">SUM(IF(ISERROR(FIND(sources[data source],techniques[[#This Row],[data sources]])),0,1)*IF(sources[available]="yes",1,0))</f>
        <v/>
      </c>
      <c r="H323" s="73">
        <f t="array" ref="H323">IF(techniques[[#This Row],[technique]]=techniques[[#This Row],[id]],SUM(IF(techniques[[#This Row],[id]]=techniques[technique],1,0))-1,"")</f>
        <v/>
      </c>
      <c r="I323" s="74">
        <f t="array" ref="I323">IF(SUM(IF($C323=detections[],IF(detections[is active]="yes",1,0),0))&gt;0,SUM(IF($C323=detections[],IF(detections[is active]="yes",1,0),0)),"")</f>
        <v/>
      </c>
      <c r="J323" s="74">
        <f t="array" ref="J32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23" s="74">
        <f>IF(AND(ISNUMBER(techniques[[#This Row],[number of sub techniques]]),techniques[[#This Row],[number of sub techniques]]&gt;1),techniques[number of sub techniques],1)</f>
        <v/>
      </c>
      <c r="L323" s="72" t="n"/>
      <c r="M323" s="74">
        <f t="array" ref="M32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2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23" s="26">
        <f>IF(techniques[[#This Row],[detection rules]]&gt;=techniques[[#This Row],[expected detection rules]],1,techniques[[#This Row],[detection rules]]/techniques[[#This Row],[expected detection rules]])</f>
        <v/>
      </c>
      <c r="P32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23" s="29">
        <f>IF(ISERROR(SEARCH(techniques[[#This Row],[id]],techniques[[#This Row],[name]])),"ERROR","")</f>
        <v/>
      </c>
      <c r="S32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24" ht="12.75" customHeight="1">
      <c r="A324" s="74" t="inlineStr">
        <is>
          <t>T1497</t>
        </is>
      </c>
      <c r="B324" s="74" t="inlineStr">
        <is>
          <t>T1497</t>
        </is>
      </c>
      <c r="C324" s="13" t="inlineStr">
        <is>
          <t>Virtualization/Sandbox Evasion (T1497)</t>
        </is>
      </c>
      <c r="D324" s="13" t="inlineStr">
        <is>
          <t>stealth|discovery</t>
        </is>
      </c>
      <c r="E324" s="13" t="inlineStr">
        <is>
          <t>Command: Command Execution|Module: Module Load|Process: Process Creation</t>
        </is>
      </c>
      <c r="F324" s="74" t="n">
        <v>3</v>
      </c>
      <c r="G324" s="72">
        <f t="array" ref="G324">SUM(IF(ISERROR(FIND(sources[data source],techniques[[#This Row],[data sources]])),0,1)*IF(sources[available]="yes",1,0))</f>
        <v/>
      </c>
      <c r="H324" s="73">
        <f t="array" ref="H324">IF(techniques[[#This Row],[technique]]=techniques[[#This Row],[id]],SUM(IF(techniques[[#This Row],[id]]=techniques[technique],1,0))-1,"")</f>
        <v/>
      </c>
      <c r="I324" s="74">
        <f t="array" ref="I324">IF(SUM(IF($C324=detections[],IF(detections[is active]="yes",1,0),0))&gt;0,SUM(IF($C324=detections[],IF(detections[is active]="yes",1,0),0)),"")</f>
        <v/>
      </c>
      <c r="J324" s="74">
        <f t="array" ref="J32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24" s="74">
        <f>IF(AND(ISNUMBER(techniques[[#This Row],[number of sub techniques]]),techniques[[#This Row],[number of sub techniques]]&gt;1),techniques[number of sub techniques],1)</f>
        <v/>
      </c>
      <c r="L324" s="72" t="n"/>
      <c r="M324" s="74">
        <f t="array" ref="M32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2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24" s="26">
        <f>IF(techniques[[#This Row],[detection rules]]&gt;=techniques[[#This Row],[expected detection rules]],1,techniques[[#This Row],[detection rules]]/techniques[[#This Row],[expected detection rules]])</f>
        <v/>
      </c>
      <c r="P32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24" s="29">
        <f>IF(ISERROR(SEARCH(techniques[[#This Row],[id]],techniques[[#This Row],[name]])),"ERROR","")</f>
        <v/>
      </c>
      <c r="S32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25" ht="12.75" customHeight="1">
      <c r="A325" s="74" t="inlineStr">
        <is>
          <t>T1497</t>
        </is>
      </c>
      <c r="B325" s="74" t="inlineStr">
        <is>
          <t>T1497.001</t>
        </is>
      </c>
      <c r="C325" s="13" t="inlineStr">
        <is>
          <t>System Checks (T1497.001)</t>
        </is>
      </c>
      <c r="D325" s="13" t="inlineStr">
        <is>
          <t>stealth|discovery</t>
        </is>
      </c>
      <c r="E325" s="13" t="inlineStr">
        <is>
          <t>Module: Module Load|Process: Process Access|Process: Process Creation</t>
        </is>
      </c>
      <c r="F325" s="74" t="n">
        <v>3</v>
      </c>
      <c r="G325" s="72">
        <f t="array" ref="G325">SUM(IF(ISERROR(FIND(sources[data source],techniques[[#This Row],[data sources]])),0,1)*IF(sources[available]="yes",1,0))</f>
        <v/>
      </c>
      <c r="H325" s="73">
        <f t="array" ref="H325">IF(techniques[[#This Row],[technique]]=techniques[[#This Row],[id]],SUM(IF(techniques[[#This Row],[id]]=techniques[technique],1,0))-1,"")</f>
        <v/>
      </c>
      <c r="I325" s="74">
        <f t="array" ref="I325">IF(SUM(IF($C325=detections[],IF(detections[is active]="yes",1,0),0))&gt;0,SUM(IF($C325=detections[],IF(detections[is active]="yes",1,0),0)),"")</f>
        <v/>
      </c>
      <c r="J325" s="74">
        <f t="array" ref="J32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25" s="74">
        <f>IF(AND(ISNUMBER(techniques[[#This Row],[number of sub techniques]]),techniques[[#This Row],[number of sub techniques]]&gt;1),techniques[number of sub techniques],1)</f>
        <v/>
      </c>
      <c r="L325" s="72" t="n"/>
      <c r="M325" s="74">
        <f t="array" ref="M32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2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25" s="26">
        <f>IF(techniques[[#This Row],[detection rules]]&gt;=techniques[[#This Row],[expected detection rules]],1,techniques[[#This Row],[detection rules]]/techniques[[#This Row],[expected detection rules]])</f>
        <v/>
      </c>
      <c r="P32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25" s="29">
        <f>IF(ISERROR(SEARCH(techniques[[#This Row],[id]],techniques[[#This Row],[name]])),"ERROR","")</f>
        <v/>
      </c>
      <c r="S32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26" ht="12.75" customHeight="1">
      <c r="A326" s="74" t="inlineStr">
        <is>
          <t>T1497</t>
        </is>
      </c>
      <c r="B326" s="74" t="inlineStr">
        <is>
          <t>T1497.002</t>
        </is>
      </c>
      <c r="C326" s="13" t="inlineStr">
        <is>
          <t>User Activity Based Checks (T1497.002)</t>
        </is>
      </c>
      <c r="D326" s="13" t="inlineStr">
        <is>
          <t>stealth|discovery</t>
        </is>
      </c>
      <c r="E326" s="13" t="inlineStr">
        <is>
          <t>Command: Command Execution|File: File Access|Logon Session: Logon Session Metadata|Process: OS API Execution|Process: Process Access|Process: Process Creation</t>
        </is>
      </c>
      <c r="F326" s="74" t="n">
        <v>6</v>
      </c>
      <c r="G326" s="72">
        <f t="array" ref="G326">SUM(IF(ISERROR(FIND(sources[data source],techniques[[#This Row],[data sources]])),0,1)*IF(sources[available]="yes",1,0))</f>
        <v/>
      </c>
      <c r="H326" s="73">
        <f t="array" ref="H326">IF(techniques[[#This Row],[technique]]=techniques[[#This Row],[id]],SUM(IF(techniques[[#This Row],[id]]=techniques[technique],1,0))-1,"")</f>
        <v/>
      </c>
      <c r="I326" s="74">
        <f t="array" ref="I326">IF(SUM(IF($C326=detections[],IF(detections[is active]="yes",1,0),0))&gt;0,SUM(IF($C326=detections[],IF(detections[is active]="yes",1,0),0)),"")</f>
        <v/>
      </c>
      <c r="J326" s="74">
        <f t="array" ref="J32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26" s="74">
        <f>IF(AND(ISNUMBER(techniques[[#This Row],[number of sub techniques]]),techniques[[#This Row],[number of sub techniques]]&gt;1),techniques[number of sub techniques],1)</f>
        <v/>
      </c>
      <c r="L326" s="72" t="n"/>
      <c r="M326" s="74">
        <f t="array" ref="M32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2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26" s="26">
        <f>IF(techniques[[#This Row],[detection rules]]&gt;=techniques[[#This Row],[expected detection rules]],1,techniques[[#This Row],[detection rules]]/techniques[[#This Row],[expected detection rules]])</f>
        <v/>
      </c>
      <c r="P32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26" s="29">
        <f>IF(ISERROR(SEARCH(techniques[[#This Row],[id]],techniques[[#This Row],[name]])),"ERROR","")</f>
        <v/>
      </c>
      <c r="S32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27" ht="12.75" customHeight="1">
      <c r="A327" s="74" t="inlineStr">
        <is>
          <t>T1497</t>
        </is>
      </c>
      <c r="B327" s="74" t="inlineStr">
        <is>
          <t>T1497.003</t>
        </is>
      </c>
      <c r="C327" s="13" t="inlineStr">
        <is>
          <t>Time Based Checks (T1497.003)</t>
        </is>
      </c>
      <c r="D327" s="13" t="inlineStr">
        <is>
          <t>stealth|discovery</t>
        </is>
      </c>
      <c r="E327" s="13" t="inlineStr">
        <is>
          <t>File: File Metadata|Module: Module Load|Process: OS API Execution|Process: Process Creation</t>
        </is>
      </c>
      <c r="F327" s="74" t="n">
        <v>4</v>
      </c>
      <c r="G327" s="72">
        <f t="array" ref="G327">SUM(IF(ISERROR(FIND(sources[data source],techniques[[#This Row],[data sources]])),0,1)*IF(sources[available]="yes",1,0))</f>
        <v/>
      </c>
      <c r="H327" s="73">
        <f t="array" ref="H327">IF(techniques[[#This Row],[technique]]=techniques[[#This Row],[id]],SUM(IF(techniques[[#This Row],[id]]=techniques[technique],1,0))-1,"")</f>
        <v/>
      </c>
      <c r="I327" s="74">
        <f t="array" ref="I327">IF(SUM(IF($C327=detections[],IF(detections[is active]="yes",1,0),0))&gt;0,SUM(IF($C327=detections[],IF(detections[is active]="yes",1,0),0)),"")</f>
        <v/>
      </c>
      <c r="J327" s="74">
        <f t="array" ref="J32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27" s="74">
        <f>IF(AND(ISNUMBER(techniques[[#This Row],[number of sub techniques]]),techniques[[#This Row],[number of sub techniques]]&gt;1),techniques[number of sub techniques],1)</f>
        <v/>
      </c>
      <c r="L327" s="72" t="n"/>
      <c r="M327" s="74">
        <f t="array" ref="M32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2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27" s="26">
        <f>IF(techniques[[#This Row],[detection rules]]&gt;=techniques[[#This Row],[expected detection rules]],1,techniques[[#This Row],[detection rules]]/techniques[[#This Row],[expected detection rules]])</f>
        <v/>
      </c>
      <c r="P32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27" s="29">
        <f>IF(ISERROR(SEARCH(techniques[[#This Row],[id]],techniques[[#This Row],[name]])),"ERROR","")</f>
        <v/>
      </c>
      <c r="S32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28" ht="12.75" customHeight="1">
      <c r="A328" s="74" t="inlineStr">
        <is>
          <t>T1498</t>
        </is>
      </c>
      <c r="B328" s="74" t="inlineStr">
        <is>
          <t>T1498</t>
        </is>
      </c>
      <c r="C328" s="13" t="inlineStr">
        <is>
          <t>Network Denial of Service (T1498)</t>
        </is>
      </c>
      <c r="D328" s="13" t="inlineStr">
        <is>
          <t>impact</t>
        </is>
      </c>
      <c r="E328" s="13" t="inlineStr">
        <is>
          <t>Network Traffic: Network Connection Creation|Network Traffic: Network Traffic Flow|Process: Process Creation</t>
        </is>
      </c>
      <c r="F328" s="74" t="n">
        <v>3</v>
      </c>
      <c r="G328" s="72">
        <f t="array" ref="G328">SUM(IF(ISERROR(FIND(sources[data source],techniques[[#This Row],[data sources]])),0,1)*IF(sources[available]="yes",1,0))</f>
        <v/>
      </c>
      <c r="H328" s="73">
        <f t="array" ref="H328">IF(techniques[[#This Row],[technique]]=techniques[[#This Row],[id]],SUM(IF(techniques[[#This Row],[id]]=techniques[technique],1,0))-1,"")</f>
        <v/>
      </c>
      <c r="I328" s="74">
        <f t="array" ref="I328">IF(SUM(IF($C328=detections[],IF(detections[is active]="yes",1,0),0))&gt;0,SUM(IF($C328=detections[],IF(detections[is active]="yes",1,0),0)),"")</f>
        <v/>
      </c>
      <c r="J328" s="74">
        <f t="array" ref="J32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28" s="74">
        <f>IF(AND(ISNUMBER(techniques[[#This Row],[number of sub techniques]]),techniques[[#This Row],[number of sub techniques]]&gt;1),techniques[number of sub techniques],1)</f>
        <v/>
      </c>
      <c r="L328" s="72" t="n"/>
      <c r="M328" s="74">
        <f t="array" ref="M32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2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28" s="26">
        <f>IF(techniques[[#This Row],[detection rules]]&gt;=techniques[[#This Row],[expected detection rules]],1,techniques[[#This Row],[detection rules]]/techniques[[#This Row],[expected detection rules]])</f>
        <v/>
      </c>
      <c r="P32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28" s="29">
        <f>IF(ISERROR(SEARCH(techniques[[#This Row],[id]],techniques[[#This Row],[name]])),"ERROR","")</f>
        <v/>
      </c>
      <c r="S32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29" ht="12.75" customHeight="1">
      <c r="A329" s="74" t="inlineStr">
        <is>
          <t>T1498</t>
        </is>
      </c>
      <c r="B329" s="74" t="inlineStr">
        <is>
          <t>T1498.001</t>
        </is>
      </c>
      <c r="C329" s="13" t="inlineStr">
        <is>
          <t>Direct Network Flood (T1498.001)</t>
        </is>
      </c>
      <c r="D329" s="13" t="inlineStr">
        <is>
          <t>impact</t>
        </is>
      </c>
      <c r="E329" s="13" t="inlineStr">
        <is>
          <t>Network Traffic: Network Connection Creation|Network Traffic: Network Traffic Flow|Process: Process Creation|Sensor Health: Host Status</t>
        </is>
      </c>
      <c r="F329" s="74" t="n">
        <v>4</v>
      </c>
      <c r="G329" s="72">
        <f t="array" ref="G329">SUM(IF(ISERROR(FIND(sources[data source],techniques[[#This Row],[data sources]])),0,1)*IF(sources[available]="yes",1,0))</f>
        <v/>
      </c>
      <c r="H329" s="73">
        <f t="array" ref="H329">IF(techniques[[#This Row],[technique]]=techniques[[#This Row],[id]],SUM(IF(techniques[[#This Row],[id]]=techniques[technique],1,0))-1,"")</f>
        <v/>
      </c>
      <c r="I329" s="74">
        <f t="array" ref="I329">IF(SUM(IF($C329=detections[],IF(detections[is active]="yes",1,0),0))&gt;0,SUM(IF($C329=detections[],IF(detections[is active]="yes",1,0),0)),"")</f>
        <v/>
      </c>
      <c r="J329" s="74">
        <f t="array" ref="J32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29" s="74">
        <f>IF(AND(ISNUMBER(techniques[[#This Row],[number of sub techniques]]),techniques[[#This Row],[number of sub techniques]]&gt;1),techniques[number of sub techniques],1)</f>
        <v/>
      </c>
      <c r="L329" s="72" t="n"/>
      <c r="M329" s="74">
        <f t="array" ref="M32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2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29" s="26">
        <f>IF(techniques[[#This Row],[detection rules]]&gt;=techniques[[#This Row],[expected detection rules]],1,techniques[[#This Row],[detection rules]]/techniques[[#This Row],[expected detection rules]])</f>
        <v/>
      </c>
      <c r="P32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29" s="29">
        <f>IF(ISERROR(SEARCH(techniques[[#This Row],[id]],techniques[[#This Row],[name]])),"ERROR","")</f>
        <v/>
      </c>
      <c r="S32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30" ht="12.75" customHeight="1">
      <c r="A330" s="74" t="inlineStr">
        <is>
          <t>T1498</t>
        </is>
      </c>
      <c r="B330" s="74" t="inlineStr">
        <is>
          <t>T1498.002</t>
        </is>
      </c>
      <c r="C330" s="13" t="inlineStr">
        <is>
          <t>Reflection Amplification (T1498.002)</t>
        </is>
      </c>
      <c r="D330" s="13" t="inlineStr">
        <is>
          <t>impact</t>
        </is>
      </c>
      <c r="E330" s="13" t="inlineStr">
        <is>
          <t>Command: Command Execution|Firewall: Firewall Rule Modification|Network Traffic: Network Connection Creation|Network Traffic: Network Traffic Flow|Process: Process Creation|Sensor Health: Host Status</t>
        </is>
      </c>
      <c r="F330" s="74" t="n">
        <v>6</v>
      </c>
      <c r="G330" s="72">
        <f t="array" ref="G330">SUM(IF(ISERROR(FIND(sources[data source],techniques[[#This Row],[data sources]])),0,1)*IF(sources[available]="yes",1,0))</f>
        <v/>
      </c>
      <c r="H330" s="73">
        <f t="array" ref="H330">IF(techniques[[#This Row],[technique]]=techniques[[#This Row],[id]],SUM(IF(techniques[[#This Row],[id]]=techniques[technique],1,0))-1,"")</f>
        <v/>
      </c>
      <c r="I330" s="74">
        <f t="array" ref="I330">IF(SUM(IF($C330=detections[],IF(detections[is active]="yes",1,0),0))&gt;0,SUM(IF($C330=detections[],IF(detections[is active]="yes",1,0),0)),"")</f>
        <v/>
      </c>
      <c r="J330" s="74">
        <f t="array" ref="J33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30" s="74">
        <f>IF(AND(ISNUMBER(techniques[[#This Row],[number of sub techniques]]),techniques[[#This Row],[number of sub techniques]]&gt;1),techniques[number of sub techniques],1)</f>
        <v/>
      </c>
      <c r="L330" s="72" t="n"/>
      <c r="M330" s="74">
        <f t="array" ref="M33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3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30" s="26">
        <f>IF(techniques[[#This Row],[detection rules]]&gt;=techniques[[#This Row],[expected detection rules]],1,techniques[[#This Row],[detection rules]]/techniques[[#This Row],[expected detection rules]])</f>
        <v/>
      </c>
      <c r="P33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30" s="29">
        <f>IF(ISERROR(SEARCH(techniques[[#This Row],[id]],techniques[[#This Row],[name]])),"ERROR","")</f>
        <v/>
      </c>
      <c r="S33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31" ht="12.75" customHeight="1">
      <c r="A331" s="74" t="inlineStr">
        <is>
          <t>T1499</t>
        </is>
      </c>
      <c r="B331" s="74" t="inlineStr">
        <is>
          <t>T1499</t>
        </is>
      </c>
      <c r="C331" s="13" t="inlineStr">
        <is>
          <t>Endpoint Denial of Service (T1499)</t>
        </is>
      </c>
      <c r="D331" s="13" t="inlineStr">
        <is>
          <t>impact</t>
        </is>
      </c>
      <c r="E331" s="13" t="inlineStr">
        <is>
          <t>Application Log: Application Log Content|Instance: Instance Start|Network Traffic: Network Traffic Flow|Process: Process Creation|Sensor Health: Host Status</t>
        </is>
      </c>
      <c r="F331" s="74" t="n">
        <v>5</v>
      </c>
      <c r="G331" s="72">
        <f t="array" ref="G331">SUM(IF(ISERROR(FIND(sources[data source],techniques[[#This Row],[data sources]])),0,1)*IF(sources[available]="yes",1,0))</f>
        <v/>
      </c>
      <c r="H331" s="73">
        <f t="array" ref="H331">IF(techniques[[#This Row],[technique]]=techniques[[#This Row],[id]],SUM(IF(techniques[[#This Row],[id]]=techniques[technique],1,0))-1,"")</f>
        <v/>
      </c>
      <c r="I331" s="74">
        <f t="array" ref="I331">IF(SUM(IF($C331=detections[],IF(detections[is active]="yes",1,0),0))&gt;0,SUM(IF($C331=detections[],IF(detections[is active]="yes",1,0),0)),"")</f>
        <v/>
      </c>
      <c r="J331" s="74">
        <f t="array" ref="J33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31" s="74">
        <f>IF(AND(ISNUMBER(techniques[[#This Row],[number of sub techniques]]),techniques[[#This Row],[number of sub techniques]]&gt;1),techniques[number of sub techniques],1)</f>
        <v/>
      </c>
      <c r="L331" s="72" t="n"/>
      <c r="M331" s="74">
        <f t="array" ref="M33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3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31" s="26">
        <f>IF(techniques[[#This Row],[detection rules]]&gt;=techniques[[#This Row],[expected detection rules]],1,techniques[[#This Row],[detection rules]]/techniques[[#This Row],[expected detection rules]])</f>
        <v/>
      </c>
      <c r="P33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31" s="29">
        <f>IF(ISERROR(SEARCH(techniques[[#This Row],[id]],techniques[[#This Row],[name]])),"ERROR","")</f>
        <v/>
      </c>
      <c r="S33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32" ht="12.75" customHeight="1">
      <c r="A332" s="74" t="inlineStr">
        <is>
          <t>T1499</t>
        </is>
      </c>
      <c r="B332" s="74" t="inlineStr">
        <is>
          <t>T1499.001</t>
        </is>
      </c>
      <c r="C332" s="13" t="inlineStr">
        <is>
          <t>OS Exhaustion Flood (T1499.001)</t>
        </is>
      </c>
      <c r="D332" s="13" t="inlineStr">
        <is>
          <t>impact</t>
        </is>
      </c>
      <c r="E332" s="13" t="inlineStr">
        <is>
          <t>Network Traffic: Network Traffic Content|Network Traffic: Network Traffic Flow|Process: Process Creation|Sensor Health: Host Status</t>
        </is>
      </c>
      <c r="F332" s="74" t="n">
        <v>4</v>
      </c>
      <c r="G332" s="72">
        <f t="array" ref="G332">SUM(IF(ISERROR(FIND(sources[data source],techniques[[#This Row],[data sources]])),0,1)*IF(sources[available]="yes",1,0))</f>
        <v/>
      </c>
      <c r="H332" s="73">
        <f t="array" ref="H332">IF(techniques[[#This Row],[technique]]=techniques[[#This Row],[id]],SUM(IF(techniques[[#This Row],[id]]=techniques[technique],1,0))-1,"")</f>
        <v/>
      </c>
      <c r="I332" s="74">
        <f t="array" ref="I332">IF(SUM(IF($C332=detections[],IF(detections[is active]="yes",1,0),0))&gt;0,SUM(IF($C332=detections[],IF(detections[is active]="yes",1,0),0)),"")</f>
        <v/>
      </c>
      <c r="J332" s="74">
        <f t="array" ref="J33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32" s="74">
        <f>IF(AND(ISNUMBER(techniques[[#This Row],[number of sub techniques]]),techniques[[#This Row],[number of sub techniques]]&gt;1),techniques[number of sub techniques],1)</f>
        <v/>
      </c>
      <c r="L332" s="72" t="n"/>
      <c r="M332" s="74">
        <f t="array" ref="M33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3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32" s="26">
        <f>IF(techniques[[#This Row],[detection rules]]&gt;=techniques[[#This Row],[expected detection rules]],1,techniques[[#This Row],[detection rules]]/techniques[[#This Row],[expected detection rules]])</f>
        <v/>
      </c>
      <c r="P33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32" s="29">
        <f>IF(ISERROR(SEARCH(techniques[[#This Row],[id]],techniques[[#This Row],[name]])),"ERROR","")</f>
        <v/>
      </c>
      <c r="S33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33" ht="12.75" customHeight="1">
      <c r="A333" s="74" t="inlineStr">
        <is>
          <t>T1499</t>
        </is>
      </c>
      <c r="B333" s="74" t="inlineStr">
        <is>
          <t>T1499.002</t>
        </is>
      </c>
      <c r="C333" s="13" t="inlineStr">
        <is>
          <t>Service Exhaustion Flood (T1499.002)</t>
        </is>
      </c>
      <c r="D333" s="13" t="inlineStr">
        <is>
          <t>impact</t>
        </is>
      </c>
      <c r="E333" s="13" t="inlineStr">
        <is>
          <t>Application Log: Application Log Content|Firewall: Firewall Rule Modification|Network Traffic: Network Connection Creation|Network Traffic: Network Traffic Content|Network Traffic: Network Traffic Flow|Process: Process Access|Sensor Health: Host Status</t>
        </is>
      </c>
      <c r="F333" s="74" t="n">
        <v>7</v>
      </c>
      <c r="G333" s="72">
        <f t="array" ref="G333">SUM(IF(ISERROR(FIND(sources[data source],techniques[[#This Row],[data sources]])),0,1)*IF(sources[available]="yes",1,0))</f>
        <v/>
      </c>
      <c r="H333" s="73">
        <f t="array" ref="H333">IF(techniques[[#This Row],[technique]]=techniques[[#This Row],[id]],SUM(IF(techniques[[#This Row],[id]]=techniques[technique],1,0))-1,"")</f>
        <v/>
      </c>
      <c r="I333" s="74">
        <f t="array" ref="I333">IF(SUM(IF($C333=detections[],IF(detections[is active]="yes",1,0),0))&gt;0,SUM(IF($C333=detections[],IF(detections[is active]="yes",1,0),0)),"")</f>
        <v/>
      </c>
      <c r="J333" s="74">
        <f t="array" ref="J33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33" s="74">
        <f>IF(AND(ISNUMBER(techniques[[#This Row],[number of sub techniques]]),techniques[[#This Row],[number of sub techniques]]&gt;1),techniques[number of sub techniques],1)</f>
        <v/>
      </c>
      <c r="L333" s="72" t="n"/>
      <c r="M333" s="74">
        <f t="array" ref="M33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3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33" s="26">
        <f>IF(techniques[[#This Row],[detection rules]]&gt;=techniques[[#This Row],[expected detection rules]],1,techniques[[#This Row],[detection rules]]/techniques[[#This Row],[expected detection rules]])</f>
        <v/>
      </c>
      <c r="P33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33" s="29">
        <f>IF(ISERROR(SEARCH(techniques[[#This Row],[id]],techniques[[#This Row],[name]])),"ERROR","")</f>
        <v/>
      </c>
      <c r="S33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34" ht="12.75" customHeight="1">
      <c r="A334" s="74" t="inlineStr">
        <is>
          <t>T1499</t>
        </is>
      </c>
      <c r="B334" s="74" t="inlineStr">
        <is>
          <t>T1499.003</t>
        </is>
      </c>
      <c r="C334" s="13" t="inlineStr">
        <is>
          <t>Application Exhaustion Flood (T1499.003)</t>
        </is>
      </c>
      <c r="D334" s="13" t="inlineStr">
        <is>
          <t>impact</t>
        </is>
      </c>
      <c r="E334" s="13" t="inlineStr">
        <is>
          <t>Application Log: Application Log Content|Cloud Service: Cloud Service Metadata|Network Traffic: Network Traffic Content|Process: Process Creation|Sensor Health: Host Status</t>
        </is>
      </c>
      <c r="F334" s="74" t="n">
        <v>5</v>
      </c>
      <c r="G334" s="72">
        <f t="array" ref="G334">SUM(IF(ISERROR(FIND(sources[data source],techniques[[#This Row],[data sources]])),0,1)*IF(sources[available]="yes",1,0))</f>
        <v/>
      </c>
      <c r="H334" s="73">
        <f t="array" ref="H334">IF(techniques[[#This Row],[technique]]=techniques[[#This Row],[id]],SUM(IF(techniques[[#This Row],[id]]=techniques[technique],1,0))-1,"")</f>
        <v/>
      </c>
      <c r="I334" s="74">
        <f t="array" ref="I334">IF(SUM(IF($C334=detections[],IF(detections[is active]="yes",1,0),0))&gt;0,SUM(IF($C334=detections[],IF(detections[is active]="yes",1,0),0)),"")</f>
        <v/>
      </c>
      <c r="J334" s="74">
        <f t="array" ref="J33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34" s="74">
        <f>IF(AND(ISNUMBER(techniques[[#This Row],[number of sub techniques]]),techniques[[#This Row],[number of sub techniques]]&gt;1),techniques[number of sub techniques],1)</f>
        <v/>
      </c>
      <c r="L334" s="72" t="n"/>
      <c r="M334" s="74">
        <f t="array" ref="M33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3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34" s="26">
        <f>IF(techniques[[#This Row],[detection rules]]&gt;=techniques[[#This Row],[expected detection rules]],1,techniques[[#This Row],[detection rules]]/techniques[[#This Row],[expected detection rules]])</f>
        <v/>
      </c>
      <c r="P33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34" s="29">
        <f>IF(ISERROR(SEARCH(techniques[[#This Row],[id]],techniques[[#This Row],[name]])),"ERROR","")</f>
        <v/>
      </c>
      <c r="S33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35" ht="12.75" customHeight="1">
      <c r="A335" s="74" t="inlineStr">
        <is>
          <t>T1499</t>
        </is>
      </c>
      <c r="B335" s="74" t="inlineStr">
        <is>
          <t>T1499.004</t>
        </is>
      </c>
      <c r="C335" s="13" t="inlineStr">
        <is>
          <t>Application or System Exploitation (T1499.004)</t>
        </is>
      </c>
      <c r="D335" s="13" t="inlineStr">
        <is>
          <t>impact</t>
        </is>
      </c>
      <c r="E335" s="13" t="inlineStr">
        <is>
          <t>Application Log: Application Log Content|Instance: Instance Stop|Network Traffic: Network Traffic Content|Process: Process Creation|Process: Process Termination|Service: Service Creation</t>
        </is>
      </c>
      <c r="F335" s="74" t="n">
        <v>6</v>
      </c>
      <c r="G335" s="72">
        <f t="array" ref="G335">SUM(IF(ISERROR(FIND(sources[data source],techniques[[#This Row],[data sources]])),0,1)*IF(sources[available]="yes",1,0))</f>
        <v/>
      </c>
      <c r="H335" s="73">
        <f t="array" ref="H335">IF(techniques[[#This Row],[technique]]=techniques[[#This Row],[id]],SUM(IF(techniques[[#This Row],[id]]=techniques[technique],1,0))-1,"")</f>
        <v/>
      </c>
      <c r="I335" s="74">
        <f t="array" ref="I335">IF(SUM(IF($C335=detections[],IF(detections[is active]="yes",1,0),0))&gt;0,SUM(IF($C335=detections[],IF(detections[is active]="yes",1,0),0)),"")</f>
        <v/>
      </c>
      <c r="J335" s="74">
        <f t="array" ref="J33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35" s="74">
        <f>IF(AND(ISNUMBER(techniques[[#This Row],[number of sub techniques]]),techniques[[#This Row],[number of sub techniques]]&gt;1),techniques[number of sub techniques],1)</f>
        <v/>
      </c>
      <c r="L335" s="72" t="n"/>
      <c r="M335" s="74">
        <f t="array" ref="M33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3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35" s="26">
        <f>IF(techniques[[#This Row],[detection rules]]&gt;=techniques[[#This Row],[expected detection rules]],1,techniques[[#This Row],[detection rules]]/techniques[[#This Row],[expected detection rules]])</f>
        <v/>
      </c>
      <c r="P33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35" s="29">
        <f>IF(ISERROR(SEARCH(techniques[[#This Row],[id]],techniques[[#This Row],[name]])),"ERROR","")</f>
        <v/>
      </c>
      <c r="S33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36" ht="12.75" customHeight="1">
      <c r="A336" s="74" t="inlineStr">
        <is>
          <t>T1505</t>
        </is>
      </c>
      <c r="B336" s="74" t="inlineStr">
        <is>
          <t>T1505</t>
        </is>
      </c>
      <c r="C336" s="13" t="inlineStr">
        <is>
          <t>Server Software Component (T1505)</t>
        </is>
      </c>
      <c r="D336" s="13" t="inlineStr">
        <is>
          <t>persistence</t>
        </is>
      </c>
      <c r="E336" s="13" t="inlineStr">
        <is>
          <t>Application Log: Application Log Content|Command: Command Execution|Network Traffic: Network Traffic Content|Network Traffic: Network Traffic Flow|Process: Process Creation|Scheduled Job: Scheduled Job Creation</t>
        </is>
      </c>
      <c r="F336" s="74" t="n">
        <v>6</v>
      </c>
      <c r="G336" s="72">
        <f t="array" ref="G336">SUM(IF(ISERROR(FIND(sources[data source],techniques[[#This Row],[data sources]])),0,1)*IF(sources[available]="yes",1,0))</f>
        <v/>
      </c>
      <c r="H336" s="73">
        <f t="array" ref="H336">IF(techniques[[#This Row],[technique]]=techniques[[#This Row],[id]],SUM(IF(techniques[[#This Row],[id]]=techniques[technique],1,0))-1,"")</f>
        <v/>
      </c>
      <c r="I336" s="74">
        <f t="array" ref="I336">IF(SUM(IF($C336=detections[],IF(detections[is active]="yes",1,0),0))&gt;0,SUM(IF($C336=detections[],IF(detections[is active]="yes",1,0),0)),"")</f>
        <v/>
      </c>
      <c r="J336" s="74">
        <f t="array" ref="J33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36" s="74">
        <f>IF(AND(ISNUMBER(techniques[[#This Row],[number of sub techniques]]),techniques[[#This Row],[number of sub techniques]]&gt;1),techniques[number of sub techniques],1)</f>
        <v/>
      </c>
      <c r="L336" s="72" t="n"/>
      <c r="M336" s="74">
        <f t="array" ref="M33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3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36" s="26">
        <f>IF(techniques[[#This Row],[detection rules]]&gt;=techniques[[#This Row],[expected detection rules]],1,techniques[[#This Row],[detection rules]]/techniques[[#This Row],[expected detection rules]])</f>
        <v/>
      </c>
      <c r="P33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36" s="29">
        <f>IF(ISERROR(SEARCH(techniques[[#This Row],[id]],techniques[[#This Row],[name]])),"ERROR","")</f>
        <v/>
      </c>
      <c r="S33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37" ht="12.75" customHeight="1">
      <c r="A337" s="74" t="inlineStr">
        <is>
          <t>T1505</t>
        </is>
      </c>
      <c r="B337" s="74" t="inlineStr">
        <is>
          <t>T1505.001</t>
        </is>
      </c>
      <c r="C337" s="13" t="inlineStr">
        <is>
          <t>SQL Stored Procedures (T1505.001)</t>
        </is>
      </c>
      <c r="D337" s="13" t="inlineStr">
        <is>
          <t>persistence</t>
        </is>
      </c>
      <c r="E337" s="13" t="inlineStr">
        <is>
          <t>Module: Module Load|Process: Process Creation|Script: Script Execution</t>
        </is>
      </c>
      <c r="F337" s="74" t="n">
        <v>3</v>
      </c>
      <c r="G337" s="72">
        <f t="array" ref="G337">SUM(IF(ISERROR(FIND(sources[data source],techniques[[#This Row],[data sources]])),0,1)*IF(sources[available]="yes",1,0))</f>
        <v/>
      </c>
      <c r="H337" s="73">
        <f t="array" ref="H337">IF(techniques[[#This Row],[technique]]=techniques[[#This Row],[id]],SUM(IF(techniques[[#This Row],[id]]=techniques[technique],1,0))-1,"")</f>
        <v/>
      </c>
      <c r="I337" s="74">
        <f t="array" ref="I337">IF(SUM(IF($C337=detections[],IF(detections[is active]="yes",1,0),0))&gt;0,SUM(IF($C337=detections[],IF(detections[is active]="yes",1,0),0)),"")</f>
        <v/>
      </c>
      <c r="J337" s="74">
        <f t="array" ref="J33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37" s="74">
        <f>IF(AND(ISNUMBER(techniques[[#This Row],[number of sub techniques]]),techniques[[#This Row],[number of sub techniques]]&gt;1),techniques[number of sub techniques],1)</f>
        <v/>
      </c>
      <c r="L337" s="72" t="n"/>
      <c r="M337" s="74">
        <f t="array" ref="M33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3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37" s="26">
        <f>IF(techniques[[#This Row],[detection rules]]&gt;=techniques[[#This Row],[expected detection rules]],1,techniques[[#This Row],[detection rules]]/techniques[[#This Row],[expected detection rules]])</f>
        <v/>
      </c>
      <c r="P33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37" s="29">
        <f>IF(ISERROR(SEARCH(techniques[[#This Row],[id]],techniques[[#This Row],[name]])),"ERROR","")</f>
        <v/>
      </c>
      <c r="S33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38" ht="12.75" customHeight="1">
      <c r="A338" s="74" t="inlineStr">
        <is>
          <t>T1505</t>
        </is>
      </c>
      <c r="B338" s="74" t="inlineStr">
        <is>
          <t>T1505.002</t>
        </is>
      </c>
      <c r="C338" s="13" t="inlineStr">
        <is>
          <t>Transport Agent (T1505.002)</t>
        </is>
      </c>
      <c r="D338" s="13" t="inlineStr">
        <is>
          <t>persistence</t>
        </is>
      </c>
      <c r="E338" s="13" t="inlineStr">
        <is>
          <t>Application Log: Application Log Content|Command: Command Execution|File: File Creation|File: File Modification|Module: Module Load|Process: Process Creation</t>
        </is>
      </c>
      <c r="F338" s="74" t="n">
        <v>6</v>
      </c>
      <c r="G338" s="72">
        <f t="array" ref="G338">SUM(IF(ISERROR(FIND(sources[data source],techniques[[#This Row],[data sources]])),0,1)*IF(sources[available]="yes",1,0))</f>
        <v/>
      </c>
      <c r="H338" s="73">
        <f t="array" ref="H338">IF(techniques[[#This Row],[technique]]=techniques[[#This Row],[id]],SUM(IF(techniques[[#This Row],[id]]=techniques[technique],1,0))-1,"")</f>
        <v/>
      </c>
      <c r="I338" s="74">
        <f t="array" ref="I338">IF(SUM(IF($C338=detections[],IF(detections[is active]="yes",1,0),0))&gt;0,SUM(IF($C338=detections[],IF(detections[is active]="yes",1,0),0)),"")</f>
        <v/>
      </c>
      <c r="J338" s="74">
        <f t="array" ref="J33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38" s="74">
        <f>IF(AND(ISNUMBER(techniques[[#This Row],[number of sub techniques]]),techniques[[#This Row],[number of sub techniques]]&gt;1),techniques[number of sub techniques],1)</f>
        <v/>
      </c>
      <c r="L338" s="72" t="n"/>
      <c r="M338" s="74">
        <f t="array" ref="M33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3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38" s="26">
        <f>IF(techniques[[#This Row],[detection rules]]&gt;=techniques[[#This Row],[expected detection rules]],1,techniques[[#This Row],[detection rules]]/techniques[[#This Row],[expected detection rules]])</f>
        <v/>
      </c>
      <c r="P33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38" s="29">
        <f>IF(ISERROR(SEARCH(techniques[[#This Row],[id]],techniques[[#This Row],[name]])),"ERROR","")</f>
        <v/>
      </c>
      <c r="S33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39" ht="12.75" customHeight="1">
      <c r="A339" s="74" t="inlineStr">
        <is>
          <t>T1505</t>
        </is>
      </c>
      <c r="B339" s="74" t="inlineStr">
        <is>
          <t>T1505.003</t>
        </is>
      </c>
      <c r="C339" s="13" t="inlineStr">
        <is>
          <t>Web Shell (T1505.003)</t>
        </is>
      </c>
      <c r="D339" s="13" t="inlineStr">
        <is>
          <t>persistence</t>
        </is>
      </c>
      <c r="E339" s="13" t="inlineStr">
        <is>
          <t>File: File Creation|File: File Modification|Logon Session: Logon Session Creation|Network Traffic: Network Traffic Content|Process: Process Creation</t>
        </is>
      </c>
      <c r="F339" s="74" t="n">
        <v>5</v>
      </c>
      <c r="G339" s="72">
        <f t="array" ref="G339">SUM(IF(ISERROR(FIND(sources[data source],techniques[[#This Row],[data sources]])),0,1)*IF(sources[available]="yes",1,0))</f>
        <v/>
      </c>
      <c r="H339" s="73">
        <f t="array" ref="H339">IF(techniques[[#This Row],[technique]]=techniques[[#This Row],[id]],SUM(IF(techniques[[#This Row],[id]]=techniques[technique],1,0))-1,"")</f>
        <v/>
      </c>
      <c r="I339" s="74">
        <f t="array" ref="I339">IF(SUM(IF($C339=detections[],IF(detections[is active]="yes",1,0),0))&gt;0,SUM(IF($C339=detections[],IF(detections[is active]="yes",1,0),0)),"")</f>
        <v/>
      </c>
      <c r="J339" s="74">
        <f t="array" ref="J33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39" s="74">
        <f>IF(AND(ISNUMBER(techniques[[#This Row],[number of sub techniques]]),techniques[[#This Row],[number of sub techniques]]&gt;1),techniques[number of sub techniques],1)</f>
        <v/>
      </c>
      <c r="L339" s="72" t="n"/>
      <c r="M339" s="74">
        <f t="array" ref="M33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3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39" s="26">
        <f>IF(techniques[[#This Row],[detection rules]]&gt;=techniques[[#This Row],[expected detection rules]],1,techniques[[#This Row],[detection rules]]/techniques[[#This Row],[expected detection rules]])</f>
        <v/>
      </c>
      <c r="P33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39" s="29">
        <f>IF(ISERROR(SEARCH(techniques[[#This Row],[id]],techniques[[#This Row],[name]])),"ERROR","")</f>
        <v/>
      </c>
      <c r="S33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40" ht="12.75" customHeight="1">
      <c r="A340" s="74" t="inlineStr">
        <is>
          <t>T1505</t>
        </is>
      </c>
      <c r="B340" s="74" t="inlineStr">
        <is>
          <t>T1505.004</t>
        </is>
      </c>
      <c r="C340" s="13" t="inlineStr">
        <is>
          <t>IIS Components (T1505.004)</t>
        </is>
      </c>
      <c r="D340" s="13" t="inlineStr">
        <is>
          <t>persistence</t>
        </is>
      </c>
      <c r="E340" s="13" t="inlineStr">
        <is>
          <t>Application Log: Application Log Content|File: File Creation|File: File Modification|Module: Module Load|Process: Process Creation|Service: Service Modification</t>
        </is>
      </c>
      <c r="F340" s="74" t="n">
        <v>6</v>
      </c>
      <c r="G340" s="72">
        <f t="array" ref="G340">SUM(IF(ISERROR(FIND(sources[data source],techniques[[#This Row],[data sources]])),0,1)*IF(sources[available]="yes",1,0))</f>
        <v/>
      </c>
      <c r="H340" s="73">
        <f t="array" ref="H340">IF(techniques[[#This Row],[technique]]=techniques[[#This Row],[id]],SUM(IF(techniques[[#This Row],[id]]=techniques[technique],1,0))-1,"")</f>
        <v/>
      </c>
      <c r="I340" s="74">
        <f t="array" ref="I340">IF(SUM(IF($C340=detections[],IF(detections[is active]="yes",1,0),0))&gt;0,SUM(IF($C340=detections[],IF(detections[is active]="yes",1,0),0)),"")</f>
        <v/>
      </c>
      <c r="J340" s="74">
        <f t="array" ref="J34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40" s="74">
        <f>IF(AND(ISNUMBER(techniques[[#This Row],[number of sub techniques]]),techniques[[#This Row],[number of sub techniques]]&gt;1),techniques[number of sub techniques],1)</f>
        <v/>
      </c>
      <c r="L340" s="72" t="n"/>
      <c r="M340" s="74">
        <f t="array" ref="M34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4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40" s="26">
        <f>IF(techniques[[#This Row],[detection rules]]&gt;=techniques[[#This Row],[expected detection rules]],1,techniques[[#This Row],[detection rules]]/techniques[[#This Row],[expected detection rules]])</f>
        <v/>
      </c>
      <c r="P34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40" s="29">
        <f>IF(ISERROR(SEARCH(techniques[[#This Row],[id]],techniques[[#This Row],[name]])),"ERROR","")</f>
        <v/>
      </c>
      <c r="S34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41" ht="12.75" customHeight="1">
      <c r="A341" s="74" t="inlineStr">
        <is>
          <t>T1505</t>
        </is>
      </c>
      <c r="B341" s="74" t="inlineStr">
        <is>
          <t>T1505.005</t>
        </is>
      </c>
      <c r="C341" s="13" t="inlineStr">
        <is>
          <t>Terminal Services DLL (T1505.005)</t>
        </is>
      </c>
      <c r="D341" s="13" t="inlineStr">
        <is>
          <t>persistence</t>
        </is>
      </c>
      <c r="E341" s="13" t="inlineStr">
        <is>
          <t>File: File Creation|Module: Module Load|Process: Process Creation|Windows Registry: Windows Registry Key Modification</t>
        </is>
      </c>
      <c r="F341" s="74" t="n">
        <v>4</v>
      </c>
      <c r="G341" s="72">
        <f t="array" ref="G341">SUM(IF(ISERROR(FIND(sources[data source],techniques[[#This Row],[data sources]])),0,1)*IF(sources[available]="yes",1,0))</f>
        <v/>
      </c>
      <c r="H341" s="73">
        <f t="array" ref="H341">IF(techniques[[#This Row],[technique]]=techniques[[#This Row],[id]],SUM(IF(techniques[[#This Row],[id]]=techniques[technique],1,0))-1,"")</f>
        <v/>
      </c>
      <c r="I341" s="74">
        <f t="array" ref="I341">IF(SUM(IF($C341=detections[],IF(detections[is active]="yes",1,0),0))&gt;0,SUM(IF($C341=detections[],IF(detections[is active]="yes",1,0),0)),"")</f>
        <v/>
      </c>
      <c r="J341" s="74">
        <f t="array" ref="J34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41" s="74">
        <f>IF(AND(ISNUMBER(techniques[[#This Row],[number of sub techniques]]),techniques[[#This Row],[number of sub techniques]]&gt;1),techniques[number of sub techniques],1)</f>
        <v/>
      </c>
      <c r="L341" s="72" t="n"/>
      <c r="M341" s="74">
        <f t="array" ref="M34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4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41" s="26">
        <f>IF(techniques[[#This Row],[detection rules]]&gt;=techniques[[#This Row],[expected detection rules]],1,techniques[[#This Row],[detection rules]]/techniques[[#This Row],[expected detection rules]])</f>
        <v/>
      </c>
      <c r="P34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41" s="29">
        <f>IF(ISERROR(SEARCH(techniques[[#This Row],[id]],techniques[[#This Row],[name]])),"ERROR","")</f>
        <v/>
      </c>
      <c r="S34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42" ht="12.75" customHeight="1">
      <c r="A342" s="74" t="inlineStr">
        <is>
          <t>T1505</t>
        </is>
      </c>
      <c r="B342" s="74" t="inlineStr">
        <is>
          <t>T1505.006</t>
        </is>
      </c>
      <c r="C342" s="13" t="inlineStr">
        <is>
          <t>vSphere Installation Bundles (T1505.006)</t>
        </is>
      </c>
      <c r="D342" s="13" t="inlineStr">
        <is>
          <t>persistence</t>
        </is>
      </c>
      <c r="E342" s="13" t="inlineStr">
        <is>
          <t>Application Log: Application Log Content|Command: Command Execution|File: File Modification</t>
        </is>
      </c>
      <c r="F342" s="74" t="n">
        <v>3</v>
      </c>
      <c r="G342" s="72">
        <f t="array" ref="G342">SUM(IF(ISERROR(FIND(sources[data source],techniques[[#This Row],[data sources]])),0,1)*IF(sources[available]="yes",1,0))</f>
        <v/>
      </c>
      <c r="H342" s="73">
        <f t="array" ref="H342">IF(techniques[[#This Row],[technique]]=techniques[[#This Row],[id]],SUM(IF(techniques[[#This Row],[id]]=techniques[technique],1,0))-1,"")</f>
        <v/>
      </c>
      <c r="I342" s="74">
        <f t="array" ref="I342">IF(SUM(IF($C342=detections[],IF(detections[is active]="yes",1,0),0))&gt;0,SUM(IF($C342=detections[],IF(detections[is active]="yes",1,0),0)),"")</f>
        <v/>
      </c>
      <c r="J342" s="74">
        <f t="array" ref="J34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42" s="74">
        <f>IF(AND(ISNUMBER(techniques[[#This Row],[number of sub techniques]]),techniques[[#This Row],[number of sub techniques]]&gt;1),techniques[number of sub techniques],1)</f>
        <v/>
      </c>
      <c r="L342" s="72" t="n"/>
      <c r="M342" s="74">
        <f t="array" ref="M34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4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42" s="26">
        <f>IF(techniques[[#This Row],[detection rules]]&gt;=techniques[[#This Row],[expected detection rules]],1,techniques[[#This Row],[detection rules]]/techniques[[#This Row],[expected detection rules]])</f>
        <v/>
      </c>
      <c r="P34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42" s="29">
        <f>IF(ISERROR(SEARCH(techniques[[#This Row],[id]],techniques[[#This Row],[name]])),"ERROR","")</f>
        <v/>
      </c>
      <c r="S34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43" ht="12.75" customHeight="1">
      <c r="A343" s="74" t="inlineStr">
        <is>
          <t>T1518</t>
        </is>
      </c>
      <c r="B343" s="74" t="inlineStr">
        <is>
          <t>T1518</t>
        </is>
      </c>
      <c r="C343" s="13" t="inlineStr">
        <is>
          <t>Software Discovery (T1518)</t>
        </is>
      </c>
      <c r="D343" s="13" t="inlineStr">
        <is>
          <t>discovery</t>
        </is>
      </c>
      <c r="E343" s="13" t="inlineStr">
        <is>
          <t>Application Log: Application Log Content|Cloud Service: Cloud Service Enumeration|Command: Command Execution|Process: Process Creation</t>
        </is>
      </c>
      <c r="F343" s="74" t="n">
        <v>4</v>
      </c>
      <c r="G343" s="72">
        <f t="array" ref="G343">SUM(IF(ISERROR(FIND(sources[data source],techniques[[#This Row],[data sources]])),0,1)*IF(sources[available]="yes",1,0))</f>
        <v/>
      </c>
      <c r="H343" s="73">
        <f t="array" ref="H343">IF(techniques[[#This Row],[technique]]=techniques[[#This Row],[id]],SUM(IF(techniques[[#This Row],[id]]=techniques[technique],1,0))-1,"")</f>
        <v/>
      </c>
      <c r="I343" s="74">
        <f t="array" ref="I343">IF(SUM(IF($C343=detections[],IF(detections[is active]="yes",1,0),0))&gt;0,SUM(IF($C343=detections[],IF(detections[is active]="yes",1,0),0)),"")</f>
        <v/>
      </c>
      <c r="J343" s="74">
        <f t="array" ref="J34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43" s="74">
        <f>IF(AND(ISNUMBER(techniques[[#This Row],[number of sub techniques]]),techniques[[#This Row],[number of sub techniques]]&gt;1),techniques[number of sub techniques],1)</f>
        <v/>
      </c>
      <c r="L343" s="72" t="n"/>
      <c r="M343" s="74">
        <f t="array" ref="M34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4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43" s="26">
        <f>IF(techniques[[#This Row],[detection rules]]&gt;=techniques[[#This Row],[expected detection rules]],1,techniques[[#This Row],[detection rules]]/techniques[[#This Row],[expected detection rules]])</f>
        <v/>
      </c>
      <c r="P34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43" s="29">
        <f>IF(ISERROR(SEARCH(techniques[[#This Row],[id]],techniques[[#This Row],[name]])),"ERROR","")</f>
        <v/>
      </c>
      <c r="S34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44" ht="12.75" customHeight="1">
      <c r="A344" s="74" t="inlineStr">
        <is>
          <t>T1518</t>
        </is>
      </c>
      <c r="B344" s="74" t="inlineStr">
        <is>
          <t>T1518.001</t>
        </is>
      </c>
      <c r="C344" s="13" t="inlineStr">
        <is>
          <t>Security Software Discovery (T1518.001)</t>
        </is>
      </c>
      <c r="D344" s="13" t="inlineStr">
        <is>
          <t>discovery</t>
        </is>
      </c>
      <c r="E344" s="13" t="inlineStr">
        <is>
          <t>Command: Command Execution|Module: Module Load|Process: Process Creation</t>
        </is>
      </c>
      <c r="F344" s="74" t="n">
        <v>3</v>
      </c>
      <c r="G344" s="72">
        <f t="array" ref="G344">SUM(IF(ISERROR(FIND(sources[data source],techniques[[#This Row],[data sources]])),0,1)*IF(sources[available]="yes",1,0))</f>
        <v/>
      </c>
      <c r="H344" s="73">
        <f t="array" ref="H344">IF(techniques[[#This Row],[technique]]=techniques[[#This Row],[id]],SUM(IF(techniques[[#This Row],[id]]=techniques[technique],1,0))-1,"")</f>
        <v/>
      </c>
      <c r="I344" s="74">
        <f t="array" ref="I344">IF(SUM(IF($C344=detections[],IF(detections[is active]="yes",1,0),0))&gt;0,SUM(IF($C344=detections[],IF(detections[is active]="yes",1,0),0)),"")</f>
        <v/>
      </c>
      <c r="J344" s="74">
        <f t="array" ref="J34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44" s="74">
        <f>IF(AND(ISNUMBER(techniques[[#This Row],[number of sub techniques]]),techniques[[#This Row],[number of sub techniques]]&gt;1),techniques[number of sub techniques],1)</f>
        <v/>
      </c>
      <c r="L344" s="72" t="n"/>
      <c r="M344" s="74">
        <f t="array" ref="M34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4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44" s="26">
        <f>IF(techniques[[#This Row],[detection rules]]&gt;=techniques[[#This Row],[expected detection rules]],1,techniques[[#This Row],[detection rules]]/techniques[[#This Row],[expected detection rules]])</f>
        <v/>
      </c>
      <c r="P34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44" s="29">
        <f>IF(ISERROR(SEARCH(techniques[[#This Row],[id]],techniques[[#This Row],[name]])),"ERROR","")</f>
        <v/>
      </c>
      <c r="S34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45" ht="12.75" customHeight="1">
      <c r="A345" s="74" t="inlineStr">
        <is>
          <t>T1518</t>
        </is>
      </c>
      <c r="B345" s="74" t="inlineStr">
        <is>
          <t>T1518.002</t>
        </is>
      </c>
      <c r="C345" s="13" t="inlineStr">
        <is>
          <t>Backup Software Discovery (T1518.002)</t>
        </is>
      </c>
      <c r="D345" s="13" t="inlineStr">
        <is>
          <t>discovery</t>
        </is>
      </c>
      <c r="E345" s="13" t="inlineStr">
        <is>
          <t>File: File Access|File: File Creation|Process: Process Creation|Windows Registry: Windows Registry Key Modification</t>
        </is>
      </c>
      <c r="F345" s="74" t="n">
        <v>4</v>
      </c>
      <c r="G345" s="72">
        <f t="array" ref="G345">SUM(IF(ISERROR(FIND(sources[data source],techniques[[#This Row],[data sources]])),0,1)*IF(sources[available]="yes",1,0))</f>
        <v/>
      </c>
      <c r="H345" s="73">
        <f t="array" ref="H345">IF(techniques[[#This Row],[technique]]=techniques[[#This Row],[id]],SUM(IF(techniques[[#This Row],[id]]=techniques[technique],1,0))-1,"")</f>
        <v/>
      </c>
      <c r="I345" s="74">
        <f t="array" ref="I345">IF(SUM(IF($C345=detections[],IF(detections[is active]="yes",1,0),0))&gt;0,SUM(IF($C345=detections[],IF(detections[is active]="yes",1,0),0)),"")</f>
        <v/>
      </c>
      <c r="J345" s="74">
        <f t="array" ref="J34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45" s="74">
        <f>IF(AND(ISNUMBER(techniques[[#This Row],[number of sub techniques]]),techniques[[#This Row],[number of sub techniques]]&gt;1),techniques[number of sub techniques],1)</f>
        <v/>
      </c>
      <c r="L345" s="72" t="n"/>
      <c r="M345" s="74">
        <f t="array" ref="M34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4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45" s="26">
        <f>IF(techniques[[#This Row],[detection rules]]&gt;=techniques[[#This Row],[expected detection rules]],1,techniques[[#This Row],[detection rules]]/techniques[[#This Row],[expected detection rules]])</f>
        <v/>
      </c>
      <c r="P34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45" s="29">
        <f>IF(ISERROR(SEARCH(techniques[[#This Row],[id]],techniques[[#This Row],[name]])),"ERROR","")</f>
        <v/>
      </c>
      <c r="S34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46" ht="12.75" customHeight="1">
      <c r="A346" s="74" t="inlineStr">
        <is>
          <t>T1525</t>
        </is>
      </c>
      <c r="B346" s="74" t="inlineStr">
        <is>
          <t>T1525</t>
        </is>
      </c>
      <c r="C346" s="13" t="inlineStr">
        <is>
          <t>Implant Internal Image (T1525)</t>
        </is>
      </c>
      <c r="D346" s="13" t="inlineStr">
        <is>
          <t>persistence</t>
        </is>
      </c>
      <c r="E346" s="13" t="inlineStr">
        <is>
          <t>Image: Image Creation|Image: Image Modification|Instance: Instance Start</t>
        </is>
      </c>
      <c r="F346" s="74" t="n">
        <v>3</v>
      </c>
      <c r="G346" s="72">
        <f t="array" ref="G346">SUM(IF(ISERROR(FIND(sources[data source],techniques[[#This Row],[data sources]])),0,1)*IF(sources[available]="yes",1,0))</f>
        <v/>
      </c>
      <c r="H346" s="73">
        <f t="array" ref="H346">IF(techniques[[#This Row],[technique]]=techniques[[#This Row],[id]],SUM(IF(techniques[[#This Row],[id]]=techniques[technique],1,0))-1,"")</f>
        <v/>
      </c>
      <c r="I346" s="74">
        <f t="array" ref="I346">IF(SUM(IF($C346=detections[],IF(detections[is active]="yes",1,0),0))&gt;0,SUM(IF($C346=detections[],IF(detections[is active]="yes",1,0),0)),"")</f>
        <v/>
      </c>
      <c r="J346" s="74">
        <f t="array" ref="J34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46" s="74">
        <f>IF(AND(ISNUMBER(techniques[[#This Row],[number of sub techniques]]),techniques[[#This Row],[number of sub techniques]]&gt;1),techniques[number of sub techniques],1)</f>
        <v/>
      </c>
      <c r="L346" s="72" t="n"/>
      <c r="M346" s="74">
        <f t="array" ref="M34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4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46" s="26">
        <f>IF(techniques[[#This Row],[detection rules]]&gt;=techniques[[#This Row],[expected detection rules]],1,techniques[[#This Row],[detection rules]]/techniques[[#This Row],[expected detection rules]])</f>
        <v/>
      </c>
      <c r="P34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46" s="29">
        <f>IF(ISERROR(SEARCH(techniques[[#This Row],[id]],techniques[[#This Row],[name]])),"ERROR","")</f>
        <v/>
      </c>
      <c r="S34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47" ht="12.75" customHeight="1">
      <c r="A347" s="74" t="inlineStr">
        <is>
          <t>T1526</t>
        </is>
      </c>
      <c r="B347" s="74" t="inlineStr">
        <is>
          <t>T1526</t>
        </is>
      </c>
      <c r="C347" s="13" t="inlineStr">
        <is>
          <t>Cloud Service Discovery (T1526)</t>
        </is>
      </c>
      <c r="D347" s="13" t="inlineStr">
        <is>
          <t>discovery</t>
        </is>
      </c>
      <c r="E347" s="13" t="inlineStr">
        <is>
          <t>Cloud Service: Cloud Service Enumeration|Logon Session: Logon Session Creation|User Account: User Account Metadata</t>
        </is>
      </c>
      <c r="F347" s="74" t="n">
        <v>3</v>
      </c>
      <c r="G347" s="72">
        <f t="array" ref="G347">SUM(IF(ISERROR(FIND(sources[data source],techniques[[#This Row],[data sources]])),0,1)*IF(sources[available]="yes",1,0))</f>
        <v/>
      </c>
      <c r="H347" s="73">
        <f t="array" ref="H347">IF(techniques[[#This Row],[technique]]=techniques[[#This Row],[id]],SUM(IF(techniques[[#This Row],[id]]=techniques[technique],1,0))-1,"")</f>
        <v/>
      </c>
      <c r="I347" s="74">
        <f t="array" ref="I347">IF(SUM(IF($C347=detections[],IF(detections[is active]="yes",1,0),0))&gt;0,SUM(IF($C347=detections[],IF(detections[is active]="yes",1,0),0)),"")</f>
        <v/>
      </c>
      <c r="J347" s="74">
        <f t="array" ref="J34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47" s="74">
        <f>IF(AND(ISNUMBER(techniques[[#This Row],[number of sub techniques]]),techniques[[#This Row],[number of sub techniques]]&gt;1),techniques[number of sub techniques],1)</f>
        <v/>
      </c>
      <c r="L347" s="72" t="n"/>
      <c r="M347" s="74">
        <f t="array" ref="M34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4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47" s="26">
        <f>IF(techniques[[#This Row],[detection rules]]&gt;=techniques[[#This Row],[expected detection rules]],1,techniques[[#This Row],[detection rules]]/techniques[[#This Row],[expected detection rules]])</f>
        <v/>
      </c>
      <c r="P34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47" s="29">
        <f>IF(ISERROR(SEARCH(techniques[[#This Row],[id]],techniques[[#This Row],[name]])),"ERROR","")</f>
        <v/>
      </c>
      <c r="S34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48" ht="12.75" customHeight="1">
      <c r="A348" s="74" t="inlineStr">
        <is>
          <t>T1528</t>
        </is>
      </c>
      <c r="B348" s="74" t="inlineStr">
        <is>
          <t>T1528</t>
        </is>
      </c>
      <c r="C348" s="13" t="inlineStr">
        <is>
          <t>Steal Application Access Token (T1528)</t>
        </is>
      </c>
      <c r="D348" s="13" t="inlineStr">
        <is>
          <t>credential-access</t>
        </is>
      </c>
      <c r="E348" s="13" t="inlineStr">
        <is>
          <t>Application Log: Application Log Content|Cloud Service: Cloud Service Enumeration|Cloud Service: Cloud Service Modification|Cloud Storage: Cloud Storage Access|File: File Access|User Account: User Account Authentication</t>
        </is>
      </c>
      <c r="F348" s="74" t="n">
        <v>6</v>
      </c>
      <c r="G348" s="72">
        <f t="array" ref="G348">SUM(IF(ISERROR(FIND(sources[data source],techniques[[#This Row],[data sources]])),0,1)*IF(sources[available]="yes",1,0))</f>
        <v/>
      </c>
      <c r="H348" s="73">
        <f t="array" ref="H348">IF(techniques[[#This Row],[technique]]=techniques[[#This Row],[id]],SUM(IF(techniques[[#This Row],[id]]=techniques[technique],1,0))-1,"")</f>
        <v/>
      </c>
      <c r="I348" s="74">
        <f t="array" ref="I348">IF(SUM(IF($C348=detections[],IF(detections[is active]="yes",1,0),0))&gt;0,SUM(IF($C348=detections[],IF(detections[is active]="yes",1,0),0)),"")</f>
        <v/>
      </c>
      <c r="J348" s="74">
        <f t="array" ref="J34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48" s="74">
        <f>IF(AND(ISNUMBER(techniques[[#This Row],[number of sub techniques]]),techniques[[#This Row],[number of sub techniques]]&gt;1),techniques[number of sub techniques],1)</f>
        <v/>
      </c>
      <c r="L348" s="72" t="n"/>
      <c r="M348" s="74">
        <f t="array" ref="M34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4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48" s="26">
        <f>IF(techniques[[#This Row],[detection rules]]&gt;=techniques[[#This Row],[expected detection rules]],1,techniques[[#This Row],[detection rules]]/techniques[[#This Row],[expected detection rules]])</f>
        <v/>
      </c>
      <c r="P34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48" s="29">
        <f>IF(ISERROR(SEARCH(techniques[[#This Row],[id]],techniques[[#This Row],[name]])),"ERROR","")</f>
        <v/>
      </c>
      <c r="S34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49" ht="12.75" customHeight="1">
      <c r="A349" s="74" t="inlineStr">
        <is>
          <t>T1529</t>
        </is>
      </c>
      <c r="B349" s="74" t="inlineStr">
        <is>
          <t>T1529</t>
        </is>
      </c>
      <c r="C349" s="13" t="inlineStr">
        <is>
          <t>System Shutdown/Reboot (T1529)</t>
        </is>
      </c>
      <c r="D349" s="13" t="inlineStr">
        <is>
          <t>impact</t>
        </is>
      </c>
      <c r="E349" s="13" t="inlineStr">
        <is>
          <t>Command: Command Execution|Process: Process Creation|Sensor Health: Host Status</t>
        </is>
      </c>
      <c r="F349" s="74" t="n">
        <v>3</v>
      </c>
      <c r="G349" s="72">
        <f t="array" ref="G349">SUM(IF(ISERROR(FIND(sources[data source],techniques[[#This Row],[data sources]])),0,1)*IF(sources[available]="yes",1,0))</f>
        <v/>
      </c>
      <c r="H349" s="73">
        <f t="array" ref="H349">IF(techniques[[#This Row],[technique]]=techniques[[#This Row],[id]],SUM(IF(techniques[[#This Row],[id]]=techniques[technique],1,0))-1,"")</f>
        <v/>
      </c>
      <c r="I349" s="74">
        <f t="array" ref="I349">IF(SUM(IF($C349=detections[],IF(detections[is active]="yes",1,0),0))&gt;0,SUM(IF($C349=detections[],IF(detections[is active]="yes",1,0),0)),"")</f>
        <v/>
      </c>
      <c r="J349" s="74">
        <f t="array" ref="J34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49" s="74">
        <f>IF(AND(ISNUMBER(techniques[[#This Row],[number of sub techniques]]),techniques[[#This Row],[number of sub techniques]]&gt;1),techniques[number of sub techniques],1)</f>
        <v/>
      </c>
      <c r="L349" s="72" t="n"/>
      <c r="M349" s="74">
        <f t="array" ref="M34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4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49" s="26">
        <f>IF(techniques[[#This Row],[detection rules]]&gt;=techniques[[#This Row],[expected detection rules]],1,techniques[[#This Row],[detection rules]]/techniques[[#This Row],[expected detection rules]])</f>
        <v/>
      </c>
      <c r="P34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49" s="29">
        <f>IF(ISERROR(SEARCH(techniques[[#This Row],[id]],techniques[[#This Row],[name]])),"ERROR","")</f>
        <v/>
      </c>
      <c r="S34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50" ht="12.75" customHeight="1">
      <c r="A350" s="74" t="inlineStr">
        <is>
          <t>T1530</t>
        </is>
      </c>
      <c r="B350" s="74" t="inlineStr">
        <is>
          <t>T1530</t>
        </is>
      </c>
      <c r="C350" s="13" t="inlineStr">
        <is>
          <t>Data from Cloud Storage (T1530)</t>
        </is>
      </c>
      <c r="D350" s="13" t="inlineStr">
        <is>
          <t>collection</t>
        </is>
      </c>
      <c r="E350" s="13" t="inlineStr">
        <is>
          <t>Cloud Storage: Cloud Storage Access|Network Traffic: Network Traffic Content|User Account: User Account Authentication|User Account: User Account Metadata</t>
        </is>
      </c>
      <c r="F350" s="74" t="n">
        <v>4</v>
      </c>
      <c r="G350" s="72">
        <f t="array" ref="G350">SUM(IF(ISERROR(FIND(sources[data source],techniques[[#This Row],[data sources]])),0,1)*IF(sources[available]="yes",1,0))</f>
        <v/>
      </c>
      <c r="H350" s="73">
        <f t="array" ref="H350">IF(techniques[[#This Row],[technique]]=techniques[[#This Row],[id]],SUM(IF(techniques[[#This Row],[id]]=techniques[technique],1,0))-1,"")</f>
        <v/>
      </c>
      <c r="I350" s="74">
        <f t="array" ref="I350">IF(SUM(IF($C350=detections[],IF(detections[is active]="yes",1,0),0))&gt;0,SUM(IF($C350=detections[],IF(detections[is active]="yes",1,0),0)),"")</f>
        <v/>
      </c>
      <c r="J350" s="74">
        <f t="array" ref="J35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50" s="74">
        <f>IF(AND(ISNUMBER(techniques[[#This Row],[number of sub techniques]]),techniques[[#This Row],[number of sub techniques]]&gt;1),techniques[number of sub techniques],1)</f>
        <v/>
      </c>
      <c r="L350" s="72" t="n"/>
      <c r="M350" s="74">
        <f t="array" ref="M35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5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50" s="26">
        <f>IF(techniques[[#This Row],[detection rules]]&gt;=techniques[[#This Row],[expected detection rules]],1,techniques[[#This Row],[detection rules]]/techniques[[#This Row],[expected detection rules]])</f>
        <v/>
      </c>
      <c r="P35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50" s="29">
        <f>IF(ISERROR(SEARCH(techniques[[#This Row],[id]],techniques[[#This Row],[name]])),"ERROR","")</f>
        <v/>
      </c>
      <c r="S35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51" ht="12.75" customHeight="1">
      <c r="A351" s="74" t="inlineStr">
        <is>
          <t>T1531</t>
        </is>
      </c>
      <c r="B351" s="74" t="inlineStr">
        <is>
          <t>T1531</t>
        </is>
      </c>
      <c r="C351" s="13" t="inlineStr">
        <is>
          <t>Account Access Removal (T1531)</t>
        </is>
      </c>
      <c r="D351" s="13" t="inlineStr">
        <is>
          <t>impact</t>
        </is>
      </c>
      <c r="E351" s="13" t="inlineStr">
        <is>
          <t>Command: Command Execution|Process: Process Creation|User Account: User Account Authentication|User Account: User Account Deletion|User Account: User Account Modification</t>
        </is>
      </c>
      <c r="F351" s="74" t="n">
        <v>5</v>
      </c>
      <c r="G351" s="72">
        <f t="array" ref="G351">SUM(IF(ISERROR(FIND(sources[data source],techniques[[#This Row],[data sources]])),0,1)*IF(sources[available]="yes",1,0))</f>
        <v/>
      </c>
      <c r="H351" s="73">
        <f t="array" ref="H351">IF(techniques[[#This Row],[technique]]=techniques[[#This Row],[id]],SUM(IF(techniques[[#This Row],[id]]=techniques[technique],1,0))-1,"")</f>
        <v/>
      </c>
      <c r="I351" s="74">
        <f t="array" ref="I351">IF(SUM(IF($C351=detections[],IF(detections[is active]="yes",1,0),0))&gt;0,SUM(IF($C351=detections[],IF(detections[is active]="yes",1,0),0)),"")</f>
        <v/>
      </c>
      <c r="J351" s="74">
        <f t="array" ref="J35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51" s="74">
        <f>IF(AND(ISNUMBER(techniques[[#This Row],[number of sub techniques]]),techniques[[#This Row],[number of sub techniques]]&gt;1),techniques[number of sub techniques],1)</f>
        <v/>
      </c>
      <c r="L351" s="72" t="n"/>
      <c r="M351" s="74">
        <f t="array" ref="M35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5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51" s="26">
        <f>IF(techniques[[#This Row],[detection rules]]&gt;=techniques[[#This Row],[expected detection rules]],1,techniques[[#This Row],[detection rules]]/techniques[[#This Row],[expected detection rules]])</f>
        <v/>
      </c>
      <c r="P35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51" s="29">
        <f>IF(ISERROR(SEARCH(techniques[[#This Row],[id]],techniques[[#This Row],[name]])),"ERROR","")</f>
        <v/>
      </c>
      <c r="S35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52" ht="12.75" customHeight="1">
      <c r="A352" s="74" t="inlineStr">
        <is>
          <t>T1534</t>
        </is>
      </c>
      <c r="B352" s="74" t="inlineStr">
        <is>
          <t>T1534</t>
        </is>
      </c>
      <c r="C352" s="13" t="inlineStr">
        <is>
          <t>Internal Spearphishing (T1534)</t>
        </is>
      </c>
      <c r="D352" s="13" t="inlineStr">
        <is>
          <t>lateral-movement</t>
        </is>
      </c>
      <c r="E352" s="13" t="inlineStr">
        <is>
          <t>Application Log: Application Log Content|Command: Command Execution|Logon Session: Logon Session Creation|Logon Session: Logon Session Metadata|Network Traffic: Network Traffic Content|Process: Process Creation|User Account: User Account Authentication</t>
        </is>
      </c>
      <c r="F352" s="74" t="n">
        <v>7</v>
      </c>
      <c r="G352" s="72">
        <f t="array" ref="G352">SUM(IF(ISERROR(FIND(sources[data source],techniques[[#This Row],[data sources]])),0,1)*IF(sources[available]="yes",1,0))</f>
        <v/>
      </c>
      <c r="H352" s="73">
        <f t="array" ref="H352">IF(techniques[[#This Row],[technique]]=techniques[[#This Row],[id]],SUM(IF(techniques[[#This Row],[id]]=techniques[technique],1,0))-1,"")</f>
        <v/>
      </c>
      <c r="I352" s="74">
        <f t="array" ref="I352">IF(SUM(IF($C352=detections[],IF(detections[is active]="yes",1,0),0))&gt;0,SUM(IF($C352=detections[],IF(detections[is active]="yes",1,0),0)),"")</f>
        <v/>
      </c>
      <c r="J352" s="74">
        <f t="array" ref="J35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52" s="74">
        <f>IF(AND(ISNUMBER(techniques[[#This Row],[number of sub techniques]]),techniques[[#This Row],[number of sub techniques]]&gt;1),techniques[number of sub techniques],1)</f>
        <v/>
      </c>
      <c r="L352" s="72" t="n"/>
      <c r="M352" s="74">
        <f t="array" ref="M35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5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52" s="26">
        <f>IF(techniques[[#This Row],[detection rules]]&gt;=techniques[[#This Row],[expected detection rules]],1,techniques[[#This Row],[detection rules]]/techniques[[#This Row],[expected detection rules]])</f>
        <v/>
      </c>
      <c r="P35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52" s="29">
        <f>IF(ISERROR(SEARCH(techniques[[#This Row],[id]],techniques[[#This Row],[name]])),"ERROR","")</f>
        <v/>
      </c>
      <c r="S35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53" ht="12.75" customHeight="1">
      <c r="A353" s="74" t="inlineStr">
        <is>
          <t>T1535</t>
        </is>
      </c>
      <c r="B353" s="74" t="inlineStr">
        <is>
          <t>T1535</t>
        </is>
      </c>
      <c r="C353" s="13" t="inlineStr">
        <is>
          <t>Unused/Unsupported Cloud Regions (T1535)</t>
        </is>
      </c>
      <c r="D353" s="13" t="inlineStr">
        <is>
          <t>stealth</t>
        </is>
      </c>
      <c r="E353" s="13" t="inlineStr">
        <is>
          <t>Cloud Storage: Cloud Storage Creation|Instance: Instance Start|Network Traffic: Network Connection Creation|User Account: User Account Metadata</t>
        </is>
      </c>
      <c r="F353" s="74" t="n">
        <v>4</v>
      </c>
      <c r="G353" s="72">
        <f t="array" ref="G353">SUM(IF(ISERROR(FIND(sources[data source],techniques[[#This Row],[data sources]])),0,1)*IF(sources[available]="yes",1,0))</f>
        <v/>
      </c>
      <c r="H353" s="73">
        <f t="array" ref="H353">IF(techniques[[#This Row],[technique]]=techniques[[#This Row],[id]],SUM(IF(techniques[[#This Row],[id]]=techniques[technique],1,0))-1,"")</f>
        <v/>
      </c>
      <c r="I353" s="74">
        <f t="array" ref="I353">IF(SUM(IF($C353=detections[],IF(detections[is active]="yes",1,0),0))&gt;0,SUM(IF($C353=detections[],IF(detections[is active]="yes",1,0),0)),"")</f>
        <v/>
      </c>
      <c r="J353" s="74">
        <f t="array" ref="J35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53" s="74">
        <f>IF(AND(ISNUMBER(techniques[[#This Row],[number of sub techniques]]),techniques[[#This Row],[number of sub techniques]]&gt;1),techniques[number of sub techniques],1)</f>
        <v/>
      </c>
      <c r="L353" s="72" t="n"/>
      <c r="M353" s="74">
        <f t="array" ref="M35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5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53" s="26">
        <f>IF(techniques[[#This Row],[detection rules]]&gt;=techniques[[#This Row],[expected detection rules]],1,techniques[[#This Row],[detection rules]]/techniques[[#This Row],[expected detection rules]])</f>
        <v/>
      </c>
      <c r="P35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53" s="29">
        <f>IF(ISERROR(SEARCH(techniques[[#This Row],[id]],techniques[[#This Row],[name]])),"ERROR","")</f>
        <v/>
      </c>
      <c r="S35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54" ht="12.75" customHeight="1">
      <c r="A354" s="74" t="inlineStr">
        <is>
          <t>T1537</t>
        </is>
      </c>
      <c r="B354" s="74" t="inlineStr">
        <is>
          <t>T1537</t>
        </is>
      </c>
      <c r="C354" s="13" t="inlineStr">
        <is>
          <t>Transfer Data to Cloud Account (T1537)</t>
        </is>
      </c>
      <c r="D354" s="13" t="inlineStr">
        <is>
          <t>exfiltration</t>
        </is>
      </c>
      <c r="E354" s="13" t="inlineStr">
        <is>
          <t>Application Log: Application Log Content|Cloud Storage: Cloud Storage Metadata|Cloud Storage: Cloud Storage Modification|Network Traffic: Network Traffic Content|Snapshot: Snapshot Creation|Snapshot: Snapshot Metadata|Snapshot: Snapshot Modification</t>
        </is>
      </c>
      <c r="F354" s="74" t="n">
        <v>7</v>
      </c>
      <c r="G354" s="72">
        <f t="array" ref="G354">SUM(IF(ISERROR(FIND(sources[data source],techniques[[#This Row],[data sources]])),0,1)*IF(sources[available]="yes",1,0))</f>
        <v/>
      </c>
      <c r="H354" s="73">
        <f t="array" ref="H354">IF(techniques[[#This Row],[technique]]=techniques[[#This Row],[id]],SUM(IF(techniques[[#This Row],[id]]=techniques[technique],1,0))-1,"")</f>
        <v/>
      </c>
      <c r="I354" s="74">
        <f t="array" ref="I354">IF(SUM(IF($C354=detections[],IF(detections[is active]="yes",1,0),0))&gt;0,SUM(IF($C354=detections[],IF(detections[is active]="yes",1,0),0)),"")</f>
        <v/>
      </c>
      <c r="J354" s="74">
        <f t="array" ref="J35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54" s="74">
        <f>IF(AND(ISNUMBER(techniques[[#This Row],[number of sub techniques]]),techniques[[#This Row],[number of sub techniques]]&gt;1),techniques[number of sub techniques],1)</f>
        <v/>
      </c>
      <c r="L354" s="72" t="n"/>
      <c r="M354" s="74">
        <f t="array" ref="M35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5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54" s="26">
        <f>IF(techniques[[#This Row],[detection rules]]&gt;=techniques[[#This Row],[expected detection rules]],1,techniques[[#This Row],[detection rules]]/techniques[[#This Row],[expected detection rules]])</f>
        <v/>
      </c>
      <c r="P35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54" s="29">
        <f>IF(ISERROR(SEARCH(techniques[[#This Row],[id]],techniques[[#This Row],[name]])),"ERROR","")</f>
        <v/>
      </c>
      <c r="S35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55" ht="12.75" customHeight="1">
      <c r="A355" s="74" t="inlineStr">
        <is>
          <t>T1538</t>
        </is>
      </c>
      <c r="B355" s="74" t="inlineStr">
        <is>
          <t>T1538</t>
        </is>
      </c>
      <c r="C355" s="13" t="inlineStr">
        <is>
          <t>Cloud Service Dashboard (T1538)</t>
        </is>
      </c>
      <c r="D355" s="13" t="inlineStr">
        <is>
          <t>discovery</t>
        </is>
      </c>
      <c r="E355" s="13" t="inlineStr">
        <is>
          <t>Application Log: Application Log Content|Cloud Storage: Cloud Storage Metadata|Logon Session: Logon Session Creation|User Account: User Account Authentication</t>
        </is>
      </c>
      <c r="F355" s="74" t="n">
        <v>4</v>
      </c>
      <c r="G355" s="72">
        <f t="array" ref="G355">SUM(IF(ISERROR(FIND(sources[data source],techniques[[#This Row],[data sources]])),0,1)*IF(sources[available]="yes",1,0))</f>
        <v/>
      </c>
      <c r="H355" s="73">
        <f t="array" ref="H355">IF(techniques[[#This Row],[technique]]=techniques[[#This Row],[id]],SUM(IF(techniques[[#This Row],[id]]=techniques[technique],1,0))-1,"")</f>
        <v/>
      </c>
      <c r="I355" s="74">
        <f t="array" ref="I355">IF(SUM(IF($C355=detections[],IF(detections[is active]="yes",1,0),0))&gt;0,SUM(IF($C355=detections[],IF(detections[is active]="yes",1,0),0)),"")</f>
        <v/>
      </c>
      <c r="J355" s="74">
        <f t="array" ref="J35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55" s="74">
        <f>IF(AND(ISNUMBER(techniques[[#This Row],[number of sub techniques]]),techniques[[#This Row],[number of sub techniques]]&gt;1),techniques[number of sub techniques],1)</f>
        <v/>
      </c>
      <c r="L355" s="72" t="n"/>
      <c r="M355" s="74">
        <f t="array" ref="M35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5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55" s="26">
        <f>IF(techniques[[#This Row],[detection rules]]&gt;=techniques[[#This Row],[expected detection rules]],1,techniques[[#This Row],[detection rules]]/techniques[[#This Row],[expected detection rules]])</f>
        <v/>
      </c>
      <c r="P35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55" s="29">
        <f>IF(ISERROR(SEARCH(techniques[[#This Row],[id]],techniques[[#This Row],[name]])),"ERROR","")</f>
        <v/>
      </c>
      <c r="S35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56" ht="12.75" customHeight="1">
      <c r="A356" s="74" t="inlineStr">
        <is>
          <t>T1539</t>
        </is>
      </c>
      <c r="B356" s="74" t="inlineStr">
        <is>
          <t>T1539</t>
        </is>
      </c>
      <c r="C356" s="13" t="inlineStr">
        <is>
          <t>Steal Web Session Cookie (T1539)</t>
        </is>
      </c>
      <c r="D356" s="13" t="inlineStr">
        <is>
          <t>credential-access</t>
        </is>
      </c>
      <c r="E356" s="13" t="inlineStr">
        <is>
          <t>Application Log: Application Log Content|File: File Access|File: File Modification|Logon Session: Logon Session Creation|Process: Process Access|Process: Process Creation|User Account: User Account Authentication</t>
        </is>
      </c>
      <c r="F356" s="74" t="n">
        <v>7</v>
      </c>
      <c r="G356" s="72">
        <f t="array" ref="G356">SUM(IF(ISERROR(FIND(sources[data source],techniques[[#This Row],[data sources]])),0,1)*IF(sources[available]="yes",1,0))</f>
        <v/>
      </c>
      <c r="H356" s="73">
        <f t="array" ref="H356">IF(techniques[[#This Row],[technique]]=techniques[[#This Row],[id]],SUM(IF(techniques[[#This Row],[id]]=techniques[technique],1,0))-1,"")</f>
        <v/>
      </c>
      <c r="I356" s="74">
        <f t="array" ref="I356">IF(SUM(IF($C356=detections[],IF(detections[is active]="yes",1,0),0))&gt;0,SUM(IF($C356=detections[],IF(detections[is active]="yes",1,0),0)),"")</f>
        <v/>
      </c>
      <c r="J356" s="74">
        <f t="array" ref="J35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56" s="74">
        <f>IF(AND(ISNUMBER(techniques[[#This Row],[number of sub techniques]]),techniques[[#This Row],[number of sub techniques]]&gt;1),techniques[number of sub techniques],1)</f>
        <v/>
      </c>
      <c r="L356" s="72" t="n"/>
      <c r="M356" s="74">
        <f t="array" ref="M35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5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56" s="26">
        <f>IF(techniques[[#This Row],[detection rules]]&gt;=techniques[[#This Row],[expected detection rules]],1,techniques[[#This Row],[detection rules]]/techniques[[#This Row],[expected detection rules]])</f>
        <v/>
      </c>
      <c r="P35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56" s="29">
        <f>IF(ISERROR(SEARCH(techniques[[#This Row],[id]],techniques[[#This Row],[name]])),"ERROR","")</f>
        <v/>
      </c>
      <c r="S35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57" ht="12.75" customHeight="1">
      <c r="A357" s="74" t="inlineStr">
        <is>
          <t>T1542</t>
        </is>
      </c>
      <c r="B357" s="74" t="inlineStr">
        <is>
          <t>T1542</t>
        </is>
      </c>
      <c r="C357" s="13" t="inlineStr">
        <is>
          <t>Pre-OS Boot (T1542)</t>
        </is>
      </c>
      <c r="D357" s="13" t="inlineStr">
        <is>
          <t>stealth|persistence</t>
        </is>
      </c>
      <c r="E357" s="13" t="inlineStr">
        <is>
          <t>Command: Command Execution|Drive: Drive Access|Drive: Drive Modification|File: File Creation|File: File Modification|Firmware: Firmware Modification|Process: Process Creation</t>
        </is>
      </c>
      <c r="F357" s="74" t="n">
        <v>7</v>
      </c>
      <c r="G357" s="72">
        <f t="array" ref="G357">SUM(IF(ISERROR(FIND(sources[data source],techniques[[#This Row],[data sources]])),0,1)*IF(sources[available]="yes",1,0))</f>
        <v/>
      </c>
      <c r="H357" s="73">
        <f t="array" ref="H357">IF(techniques[[#This Row],[technique]]=techniques[[#This Row],[id]],SUM(IF(techniques[[#This Row],[id]]=techniques[technique],1,0))-1,"")</f>
        <v/>
      </c>
      <c r="I357" s="74">
        <f t="array" ref="I357">IF(SUM(IF($C357=detections[],IF(detections[is active]="yes",1,0),0))&gt;0,SUM(IF($C357=detections[],IF(detections[is active]="yes",1,0),0)),"")</f>
        <v/>
      </c>
      <c r="J357" s="74">
        <f t="array" ref="J35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57" s="74">
        <f>IF(AND(ISNUMBER(techniques[[#This Row],[number of sub techniques]]),techniques[[#This Row],[number of sub techniques]]&gt;1),techniques[number of sub techniques],1)</f>
        <v/>
      </c>
      <c r="L357" s="72" t="n"/>
      <c r="M357" s="74">
        <f t="array" ref="M35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5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57" s="26">
        <f>IF(techniques[[#This Row],[detection rules]]&gt;=techniques[[#This Row],[expected detection rules]],1,techniques[[#This Row],[detection rules]]/techniques[[#This Row],[expected detection rules]])</f>
        <v/>
      </c>
      <c r="P35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57" s="29">
        <f>IF(ISERROR(SEARCH(techniques[[#This Row],[id]],techniques[[#This Row],[name]])),"ERROR","")</f>
        <v/>
      </c>
      <c r="S35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58" ht="12.75" customHeight="1">
      <c r="A358" s="74" t="inlineStr">
        <is>
          <t>T1542</t>
        </is>
      </c>
      <c r="B358" s="74" t="inlineStr">
        <is>
          <t>T1542.001</t>
        </is>
      </c>
      <c r="C358" s="13" t="inlineStr">
        <is>
          <t>System Firmware (T1542.001)</t>
        </is>
      </c>
      <c r="D358" s="13" t="inlineStr">
        <is>
          <t>stealth|persistence</t>
        </is>
      </c>
      <c r="E358" s="13" t="inlineStr">
        <is>
          <t>Drive: Drive Access|Drive: Drive Modification|File: File Creation|Firmware: Firmware Modification|Process: Process Creation</t>
        </is>
      </c>
      <c r="F358" s="74" t="n">
        <v>5</v>
      </c>
      <c r="G358" s="72">
        <f t="array" ref="G358">SUM(IF(ISERROR(FIND(sources[data source],techniques[[#This Row],[data sources]])),0,1)*IF(sources[available]="yes",1,0))</f>
        <v/>
      </c>
      <c r="H358" s="73">
        <f t="array" ref="H358">IF(techniques[[#This Row],[technique]]=techniques[[#This Row],[id]],SUM(IF(techniques[[#This Row],[id]]=techniques[technique],1,0))-1,"")</f>
        <v/>
      </c>
      <c r="I358" s="74">
        <f t="array" ref="I358">IF(SUM(IF($C358=detections[],IF(detections[is active]="yes",1,0),0))&gt;0,SUM(IF($C358=detections[],IF(detections[is active]="yes",1,0),0)),"")</f>
        <v/>
      </c>
      <c r="J358" s="74">
        <f t="array" ref="J35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58" s="74">
        <f>IF(AND(ISNUMBER(techniques[[#This Row],[number of sub techniques]]),techniques[[#This Row],[number of sub techniques]]&gt;1),techniques[number of sub techniques],1)</f>
        <v/>
      </c>
      <c r="L358" s="72" t="n"/>
      <c r="M358" s="74">
        <f t="array" ref="M35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5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58" s="26">
        <f>IF(techniques[[#This Row],[detection rules]]&gt;=techniques[[#This Row],[expected detection rules]],1,techniques[[#This Row],[detection rules]]/techniques[[#This Row],[expected detection rules]])</f>
        <v/>
      </c>
      <c r="P35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58" s="29">
        <f>IF(ISERROR(SEARCH(techniques[[#This Row],[id]],techniques[[#This Row],[name]])),"ERROR","")</f>
        <v/>
      </c>
      <c r="S35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59" ht="12.75" customHeight="1">
      <c r="A359" s="74" t="inlineStr">
        <is>
          <t>T1542</t>
        </is>
      </c>
      <c r="B359" s="74" t="inlineStr">
        <is>
          <t>T1542.002</t>
        </is>
      </c>
      <c r="C359" s="13" t="inlineStr">
        <is>
          <t>Component Firmware (T1542.002)</t>
        </is>
      </c>
      <c r="D359" s="13" t="inlineStr">
        <is>
          <t>stealth|persistence</t>
        </is>
      </c>
      <c r="E359" s="13" t="inlineStr">
        <is>
          <t>Driver: Driver Load|Firmware: Firmware Modification</t>
        </is>
      </c>
      <c r="F359" s="74" t="n">
        <v>2</v>
      </c>
      <c r="G359" s="72">
        <f t="array" ref="G359">SUM(IF(ISERROR(FIND(sources[data source],techniques[[#This Row],[data sources]])),0,1)*IF(sources[available]="yes",1,0))</f>
        <v/>
      </c>
      <c r="H359" s="73">
        <f t="array" ref="H359">IF(techniques[[#This Row],[technique]]=techniques[[#This Row],[id]],SUM(IF(techniques[[#This Row],[id]]=techniques[technique],1,0))-1,"")</f>
        <v/>
      </c>
      <c r="I359" s="74">
        <f t="array" ref="I359">IF(SUM(IF($C359=detections[],IF(detections[is active]="yes",1,0),0))&gt;0,SUM(IF($C359=detections[],IF(detections[is active]="yes",1,0),0)),"")</f>
        <v/>
      </c>
      <c r="J359" s="74">
        <f t="array" ref="J35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59" s="74">
        <f>IF(AND(ISNUMBER(techniques[[#This Row],[number of sub techniques]]),techniques[[#This Row],[number of sub techniques]]&gt;1),techniques[number of sub techniques],1)</f>
        <v/>
      </c>
      <c r="L359" s="72" t="n"/>
      <c r="M359" s="74">
        <f t="array" ref="M35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5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59" s="26">
        <f>IF(techniques[[#This Row],[detection rules]]&gt;=techniques[[#This Row],[expected detection rules]],1,techniques[[#This Row],[detection rules]]/techniques[[#This Row],[expected detection rules]])</f>
        <v/>
      </c>
      <c r="P35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59" s="29">
        <f>IF(ISERROR(SEARCH(techniques[[#This Row],[id]],techniques[[#This Row],[name]])),"ERROR","")</f>
        <v/>
      </c>
      <c r="S35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60" ht="12.75" customHeight="1">
      <c r="A360" s="74" t="inlineStr">
        <is>
          <t>T1542</t>
        </is>
      </c>
      <c r="B360" s="74" t="inlineStr">
        <is>
          <t>T1542.003</t>
        </is>
      </c>
      <c r="C360" s="13" t="inlineStr">
        <is>
          <t>Bootkit (T1542.003)</t>
        </is>
      </c>
      <c r="D360" s="13" t="inlineStr">
        <is>
          <t>stealth|persistence</t>
        </is>
      </c>
      <c r="E360" s="13" t="inlineStr">
        <is>
          <t>Drive: Drive Access|Drive: Drive Modification|File: File Creation|File: File Modification</t>
        </is>
      </c>
      <c r="F360" s="74" t="n">
        <v>4</v>
      </c>
      <c r="G360" s="72">
        <f t="array" ref="G360">SUM(IF(ISERROR(FIND(sources[data source],techniques[[#This Row],[data sources]])),0,1)*IF(sources[available]="yes",1,0))</f>
        <v/>
      </c>
      <c r="H360" s="73">
        <f t="array" ref="H360">IF(techniques[[#This Row],[technique]]=techniques[[#This Row],[id]],SUM(IF(techniques[[#This Row],[id]]=techniques[technique],1,0))-1,"")</f>
        <v/>
      </c>
      <c r="I360" s="74">
        <f t="array" ref="I360">IF(SUM(IF($C360=detections[],IF(detections[is active]="yes",1,0),0))&gt;0,SUM(IF($C360=detections[],IF(detections[is active]="yes",1,0),0)),"")</f>
        <v/>
      </c>
      <c r="J360" s="74">
        <f t="array" ref="J36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60" s="74">
        <f>IF(AND(ISNUMBER(techniques[[#This Row],[number of sub techniques]]),techniques[[#This Row],[number of sub techniques]]&gt;1),techniques[number of sub techniques],1)</f>
        <v/>
      </c>
      <c r="L360" s="72" t="n"/>
      <c r="M360" s="74">
        <f t="array" ref="M36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6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60" s="26">
        <f>IF(techniques[[#This Row],[detection rules]]&gt;=techniques[[#This Row],[expected detection rules]],1,techniques[[#This Row],[detection rules]]/techniques[[#This Row],[expected detection rules]])</f>
        <v/>
      </c>
      <c r="P36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60" s="29">
        <f>IF(ISERROR(SEARCH(techniques[[#This Row],[id]],techniques[[#This Row],[name]])),"ERROR","")</f>
        <v/>
      </c>
      <c r="S36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61" ht="12.75" customHeight="1">
      <c r="A361" s="74" t="inlineStr">
        <is>
          <t>T1542</t>
        </is>
      </c>
      <c r="B361" s="74" t="inlineStr">
        <is>
          <t>T1542.004</t>
        </is>
      </c>
      <c r="C361" s="13" t="inlineStr">
        <is>
          <t>ROMMONkit (T1542.004)</t>
        </is>
      </c>
      <c r="D361" s="13" t="inlineStr">
        <is>
          <t>stealth|persistence</t>
        </is>
      </c>
      <c r="E361" s="13" t="inlineStr">
        <is>
          <t>Firmware: Firmware Modification|Network Traffic: Network Connection Creation|Process: OS API Execution</t>
        </is>
      </c>
      <c r="F361" s="74" t="n">
        <v>3</v>
      </c>
      <c r="G361" s="72">
        <f t="array" ref="G361">SUM(IF(ISERROR(FIND(sources[data source],techniques[[#This Row],[data sources]])),0,1)*IF(sources[available]="yes",1,0))</f>
        <v/>
      </c>
      <c r="H361" s="73">
        <f t="array" ref="H361">IF(techniques[[#This Row],[technique]]=techniques[[#This Row],[id]],SUM(IF(techniques[[#This Row],[id]]=techniques[technique],1,0))-1,"")</f>
        <v/>
      </c>
      <c r="I361" s="74">
        <f t="array" ref="I361">IF(SUM(IF($C361=detections[],IF(detections[is active]="yes",1,0),0))&gt;0,SUM(IF($C361=detections[],IF(detections[is active]="yes",1,0),0)),"")</f>
        <v/>
      </c>
      <c r="J361" s="74">
        <f t="array" ref="J36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61" s="74">
        <f>IF(AND(ISNUMBER(techniques[[#This Row],[number of sub techniques]]),techniques[[#This Row],[number of sub techniques]]&gt;1),techniques[number of sub techniques],1)</f>
        <v/>
      </c>
      <c r="L361" s="72" t="n"/>
      <c r="M361" s="74">
        <f t="array" ref="M36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6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61" s="26">
        <f>IF(techniques[[#This Row],[detection rules]]&gt;=techniques[[#This Row],[expected detection rules]],1,techniques[[#This Row],[detection rules]]/techniques[[#This Row],[expected detection rules]])</f>
        <v/>
      </c>
      <c r="P36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61" s="29">
        <f>IF(ISERROR(SEARCH(techniques[[#This Row],[id]],techniques[[#This Row],[name]])),"ERROR","")</f>
        <v/>
      </c>
      <c r="S36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62" ht="12.75" customHeight="1">
      <c r="A362" s="74" t="inlineStr">
        <is>
          <t>T1542</t>
        </is>
      </c>
      <c r="B362" s="74" t="inlineStr">
        <is>
          <t>T1542.005</t>
        </is>
      </c>
      <c r="C362" s="13" t="inlineStr">
        <is>
          <t>TFTP Boot (T1542.005)</t>
        </is>
      </c>
      <c r="D362" s="13" t="inlineStr">
        <is>
          <t>stealth|persistence</t>
        </is>
      </c>
      <c r="E362" s="13" t="inlineStr">
        <is>
          <t>Command: Command Execution|Firmware: Firmware Modification|Network Traffic: Network Connection Creation</t>
        </is>
      </c>
      <c r="F362" s="74" t="n">
        <v>3</v>
      </c>
      <c r="G362" s="72">
        <f t="array" ref="G362">SUM(IF(ISERROR(FIND(sources[data source],techniques[[#This Row],[data sources]])),0,1)*IF(sources[available]="yes",1,0))</f>
        <v/>
      </c>
      <c r="H362" s="73">
        <f t="array" ref="H362">IF(techniques[[#This Row],[technique]]=techniques[[#This Row],[id]],SUM(IF(techniques[[#This Row],[id]]=techniques[technique],1,0))-1,"")</f>
        <v/>
      </c>
      <c r="I362" s="74">
        <f t="array" ref="I362">IF(SUM(IF($C362=detections[],IF(detections[is active]="yes",1,0),0))&gt;0,SUM(IF($C362=detections[],IF(detections[is active]="yes",1,0),0)),"")</f>
        <v/>
      </c>
      <c r="J362" s="74">
        <f t="array" ref="J36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62" s="74">
        <f>IF(AND(ISNUMBER(techniques[[#This Row],[number of sub techniques]]),techniques[[#This Row],[number of sub techniques]]&gt;1),techniques[number of sub techniques],1)</f>
        <v/>
      </c>
      <c r="L362" s="72" t="n"/>
      <c r="M362" s="74">
        <f t="array" ref="M36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6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62" s="26">
        <f>IF(techniques[[#This Row],[detection rules]]&gt;=techniques[[#This Row],[expected detection rules]],1,techniques[[#This Row],[detection rules]]/techniques[[#This Row],[expected detection rules]])</f>
        <v/>
      </c>
      <c r="P36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62" s="29">
        <f>IF(ISERROR(SEARCH(techniques[[#This Row],[id]],techniques[[#This Row],[name]])),"ERROR","")</f>
        <v/>
      </c>
      <c r="S36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63" ht="12.75" customHeight="1">
      <c r="A363" s="74" t="inlineStr">
        <is>
          <t>T1543</t>
        </is>
      </c>
      <c r="B363" s="74" t="inlineStr">
        <is>
          <t>T1543</t>
        </is>
      </c>
      <c r="C363" s="13" t="inlineStr">
        <is>
          <t>Create or Modify System Process (T1543)</t>
        </is>
      </c>
      <c r="D363" s="13" t="inlineStr">
        <is>
          <t>persistence|privilege-escalation</t>
        </is>
      </c>
      <c r="E363" s="13" t="inlineStr">
        <is>
          <t>Command: Command Execution|Container: Container Creation|File: File Modification|Process: Process Creation|Service: Service Creation|Windows Registry: Windows Registry Key Modification</t>
        </is>
      </c>
      <c r="F363" s="74" t="n">
        <v>6</v>
      </c>
      <c r="G363" s="72">
        <f t="array" ref="G363">SUM(IF(ISERROR(FIND(sources[data source],techniques[[#This Row],[data sources]])),0,1)*IF(sources[available]="yes",1,0))</f>
        <v/>
      </c>
      <c r="H363" s="73">
        <f t="array" ref="H363">IF(techniques[[#This Row],[technique]]=techniques[[#This Row],[id]],SUM(IF(techniques[[#This Row],[id]]=techniques[technique],1,0))-1,"")</f>
        <v/>
      </c>
      <c r="I363" s="74">
        <f t="array" ref="I363">IF(SUM(IF($C363=detections[],IF(detections[is active]="yes",1,0),0))&gt;0,SUM(IF($C363=detections[],IF(detections[is active]="yes",1,0),0)),"")</f>
        <v/>
      </c>
      <c r="J363" s="74">
        <f t="array" ref="J36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63" s="74">
        <f>IF(AND(ISNUMBER(techniques[[#This Row],[number of sub techniques]]),techniques[[#This Row],[number of sub techniques]]&gt;1),techniques[number of sub techniques],1)</f>
        <v/>
      </c>
      <c r="L363" s="72" t="n"/>
      <c r="M363" s="74">
        <f t="array" ref="M36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6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63" s="26">
        <f>IF(techniques[[#This Row],[detection rules]]&gt;=techniques[[#This Row],[expected detection rules]],1,techniques[[#This Row],[detection rules]]/techniques[[#This Row],[expected detection rules]])</f>
        <v/>
      </c>
      <c r="P36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63" s="29">
        <f>IF(ISERROR(SEARCH(techniques[[#This Row],[id]],techniques[[#This Row],[name]])),"ERROR","")</f>
        <v/>
      </c>
      <c r="S36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64" ht="12.75" customHeight="1">
      <c r="A364" s="74" t="inlineStr">
        <is>
          <t>T1543</t>
        </is>
      </c>
      <c r="B364" s="74" t="inlineStr">
        <is>
          <t>T1543.001</t>
        </is>
      </c>
      <c r="C364" s="13" t="inlineStr">
        <is>
          <t>Launch Agent (T1543.001)</t>
        </is>
      </c>
      <c r="D364" s="13" t="inlineStr">
        <is>
          <t>persistence|privilege-escalation</t>
        </is>
      </c>
      <c r="E364" s="13" t="inlineStr">
        <is>
          <t>Command: Command Execution|File: File Creation|File: File Modification|Service: Service Creation</t>
        </is>
      </c>
      <c r="F364" s="74" t="n">
        <v>4</v>
      </c>
      <c r="G364" s="72">
        <f t="array" ref="G364">SUM(IF(ISERROR(FIND(sources[data source],techniques[[#This Row],[data sources]])),0,1)*IF(sources[available]="yes",1,0))</f>
        <v/>
      </c>
      <c r="H364" s="73">
        <f t="array" ref="H364">IF(techniques[[#This Row],[technique]]=techniques[[#This Row],[id]],SUM(IF(techniques[[#This Row],[id]]=techniques[technique],1,0))-1,"")</f>
        <v/>
      </c>
      <c r="I364" s="74">
        <f t="array" ref="I364">IF(SUM(IF($C364=detections[],IF(detections[is active]="yes",1,0),0))&gt;0,SUM(IF($C364=detections[],IF(detections[is active]="yes",1,0),0)),"")</f>
        <v/>
      </c>
      <c r="J364" s="74">
        <f t="array" ref="J36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64" s="74">
        <f>IF(AND(ISNUMBER(techniques[[#This Row],[number of sub techniques]]),techniques[[#This Row],[number of sub techniques]]&gt;1),techniques[number of sub techniques],1)</f>
        <v/>
      </c>
      <c r="L364" s="72" t="n"/>
      <c r="M364" s="74">
        <f t="array" ref="M36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6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64" s="26">
        <f>IF(techniques[[#This Row],[detection rules]]&gt;=techniques[[#This Row],[expected detection rules]],1,techniques[[#This Row],[detection rules]]/techniques[[#This Row],[expected detection rules]])</f>
        <v/>
      </c>
      <c r="P36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64" s="29">
        <f>IF(ISERROR(SEARCH(techniques[[#This Row],[id]],techniques[[#This Row],[name]])),"ERROR","")</f>
        <v/>
      </c>
      <c r="S36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65" ht="12.75" customHeight="1">
      <c r="A365" s="74" t="inlineStr">
        <is>
          <t>T1543</t>
        </is>
      </c>
      <c r="B365" s="74" t="inlineStr">
        <is>
          <t>T1543.002</t>
        </is>
      </c>
      <c r="C365" s="13" t="inlineStr">
        <is>
          <t>Systemd Service (T1543.002)</t>
        </is>
      </c>
      <c r="D365" s="13" t="inlineStr">
        <is>
          <t>persistence|privilege-escalation</t>
        </is>
      </c>
      <c r="E365" s="13" t="inlineStr">
        <is>
          <t>Command: Command Execution|File: File Creation|File: File Modification|Process: Process Creation|Service: Service Creation</t>
        </is>
      </c>
      <c r="F365" s="74" t="n">
        <v>5</v>
      </c>
      <c r="G365" s="72">
        <f t="array" ref="G365">SUM(IF(ISERROR(FIND(sources[data source],techniques[[#This Row],[data sources]])),0,1)*IF(sources[available]="yes",1,0))</f>
        <v/>
      </c>
      <c r="H365" s="73">
        <f t="array" ref="H365">IF(techniques[[#This Row],[technique]]=techniques[[#This Row],[id]],SUM(IF(techniques[[#This Row],[id]]=techniques[technique],1,0))-1,"")</f>
        <v/>
      </c>
      <c r="I365" s="74">
        <f t="array" ref="I365">IF(SUM(IF($C365=detections[],IF(detections[is active]="yes",1,0),0))&gt;0,SUM(IF($C365=detections[],IF(detections[is active]="yes",1,0),0)),"")</f>
        <v/>
      </c>
      <c r="J365" s="74">
        <f t="array" ref="J36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65" s="74">
        <f>IF(AND(ISNUMBER(techniques[[#This Row],[number of sub techniques]]),techniques[[#This Row],[number of sub techniques]]&gt;1),techniques[number of sub techniques],1)</f>
        <v/>
      </c>
      <c r="L365" s="72" t="n"/>
      <c r="M365" s="74">
        <f t="array" ref="M36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6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65" s="26">
        <f>IF(techniques[[#This Row],[detection rules]]&gt;=techniques[[#This Row],[expected detection rules]],1,techniques[[#This Row],[detection rules]]/techniques[[#This Row],[expected detection rules]])</f>
        <v/>
      </c>
      <c r="P36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65" s="29">
        <f>IF(ISERROR(SEARCH(techniques[[#This Row],[id]],techniques[[#This Row],[name]])),"ERROR","")</f>
        <v/>
      </c>
      <c r="S36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66" ht="12.75" customHeight="1">
      <c r="A366" s="74" t="inlineStr">
        <is>
          <t>T1543</t>
        </is>
      </c>
      <c r="B366" s="74" t="inlineStr">
        <is>
          <t>T1543.003</t>
        </is>
      </c>
      <c r="C366" s="13" t="inlineStr">
        <is>
          <t>Windows Service (T1543.003)</t>
        </is>
      </c>
      <c r="D366" s="13" t="inlineStr">
        <is>
          <t>persistence|privilege-escalation</t>
        </is>
      </c>
      <c r="E366" s="13" t="inlineStr">
        <is>
          <t>Driver: Driver Load|Process: Process Creation|Service: Service Creation|Windows Registry: Windows Registry Key Modification</t>
        </is>
      </c>
      <c r="F366" s="74" t="n">
        <v>4</v>
      </c>
      <c r="G366" s="72">
        <f t="array" ref="G366">SUM(IF(ISERROR(FIND(sources[data source],techniques[[#This Row],[data sources]])),0,1)*IF(sources[available]="yes",1,0))</f>
        <v/>
      </c>
      <c r="H366" s="73">
        <f t="array" ref="H366">IF(techniques[[#This Row],[technique]]=techniques[[#This Row],[id]],SUM(IF(techniques[[#This Row],[id]]=techniques[technique],1,0))-1,"")</f>
        <v/>
      </c>
      <c r="I366" s="74">
        <f t="array" ref="I366">IF(SUM(IF($C366=detections[],IF(detections[is active]="yes",1,0),0))&gt;0,SUM(IF($C366=detections[],IF(detections[is active]="yes",1,0),0)),"")</f>
        <v/>
      </c>
      <c r="J366" s="74">
        <f t="array" ref="J36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66" s="74">
        <f>IF(AND(ISNUMBER(techniques[[#This Row],[number of sub techniques]]),techniques[[#This Row],[number of sub techniques]]&gt;1),techniques[number of sub techniques],1)</f>
        <v/>
      </c>
      <c r="L366" s="72" t="n"/>
      <c r="M366" s="74">
        <f t="array" ref="M36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6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66" s="26">
        <f>IF(techniques[[#This Row],[detection rules]]&gt;=techniques[[#This Row],[expected detection rules]],1,techniques[[#This Row],[detection rules]]/techniques[[#This Row],[expected detection rules]])</f>
        <v/>
      </c>
      <c r="P36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66" s="29">
        <f>IF(ISERROR(SEARCH(techniques[[#This Row],[id]],techniques[[#This Row],[name]])),"ERROR","")</f>
        <v/>
      </c>
      <c r="S36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67" ht="12.75" customHeight="1">
      <c r="A367" s="74" t="inlineStr">
        <is>
          <t>T1543</t>
        </is>
      </c>
      <c r="B367" s="74" t="inlineStr">
        <is>
          <t>T1543.004</t>
        </is>
      </c>
      <c r="C367" s="13" t="inlineStr">
        <is>
          <t>Launch Daemon (T1543.004)</t>
        </is>
      </c>
      <c r="D367" s="13" t="inlineStr">
        <is>
          <t>persistence|privilege-escalation</t>
        </is>
      </c>
      <c r="E367" s="13" t="inlineStr">
        <is>
          <t>File: File Creation|File: File Modification|Process: Process Creation|Service: Service Creation</t>
        </is>
      </c>
      <c r="F367" s="74" t="n">
        <v>4</v>
      </c>
      <c r="G367" s="72">
        <f t="array" ref="G367">SUM(IF(ISERROR(FIND(sources[data source],techniques[[#This Row],[data sources]])),0,1)*IF(sources[available]="yes",1,0))</f>
        <v/>
      </c>
      <c r="H367" s="73">
        <f t="array" ref="H367">IF(techniques[[#This Row],[technique]]=techniques[[#This Row],[id]],SUM(IF(techniques[[#This Row],[id]]=techniques[technique],1,0))-1,"")</f>
        <v/>
      </c>
      <c r="I367" s="74">
        <f t="array" ref="I367">IF(SUM(IF($C367=detections[],IF(detections[is active]="yes",1,0),0))&gt;0,SUM(IF($C367=detections[],IF(detections[is active]="yes",1,0),0)),"")</f>
        <v/>
      </c>
      <c r="J367" s="74">
        <f t="array" ref="J36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67" s="74">
        <f>IF(AND(ISNUMBER(techniques[[#This Row],[number of sub techniques]]),techniques[[#This Row],[number of sub techniques]]&gt;1),techniques[number of sub techniques],1)</f>
        <v/>
      </c>
      <c r="L367" s="72" t="n"/>
      <c r="M367" s="74">
        <f t="array" ref="M36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6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67" s="26">
        <f>IF(techniques[[#This Row],[detection rules]]&gt;=techniques[[#This Row],[expected detection rules]],1,techniques[[#This Row],[detection rules]]/techniques[[#This Row],[expected detection rules]])</f>
        <v/>
      </c>
      <c r="P36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67" s="29">
        <f>IF(ISERROR(SEARCH(techniques[[#This Row],[id]],techniques[[#This Row],[name]])),"ERROR","")</f>
        <v/>
      </c>
      <c r="S36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68" ht="12.75" customHeight="1">
      <c r="A368" s="74" t="inlineStr">
        <is>
          <t>T1543</t>
        </is>
      </c>
      <c r="B368" s="74" t="inlineStr">
        <is>
          <t>T1543.005</t>
        </is>
      </c>
      <c r="C368" s="13" t="inlineStr">
        <is>
          <t>Container Service (T1543.005)</t>
        </is>
      </c>
      <c r="D368" s="13" t="inlineStr">
        <is>
          <t>persistence|privilege-escalation</t>
        </is>
      </c>
      <c r="E368" s="13" t="inlineStr">
        <is>
          <t>Container: Container Creation|Pod: Pod Creation|Process: Process Creation|Service: Service Creation</t>
        </is>
      </c>
      <c r="F368" s="74" t="n">
        <v>4</v>
      </c>
      <c r="G368" s="72">
        <f t="array" ref="G368">SUM(IF(ISERROR(FIND(sources[data source],techniques[[#This Row],[data sources]])),0,1)*IF(sources[available]="yes",1,0))</f>
        <v/>
      </c>
      <c r="H368" s="73">
        <f t="array" ref="H368">IF(techniques[[#This Row],[technique]]=techniques[[#This Row],[id]],SUM(IF(techniques[[#This Row],[id]]=techniques[technique],1,0))-1,"")</f>
        <v/>
      </c>
      <c r="I368" s="74">
        <f t="array" ref="I368">IF(SUM(IF($C368=detections[],IF(detections[is active]="yes",1,0),0))&gt;0,SUM(IF($C368=detections[],IF(detections[is active]="yes",1,0),0)),"")</f>
        <v/>
      </c>
      <c r="J368" s="74">
        <f t="array" ref="J36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68" s="74">
        <f>IF(AND(ISNUMBER(techniques[[#This Row],[number of sub techniques]]),techniques[[#This Row],[number of sub techniques]]&gt;1),techniques[number of sub techniques],1)</f>
        <v/>
      </c>
      <c r="L368" s="72" t="n"/>
      <c r="M368" s="74">
        <f t="array" ref="M36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6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68" s="26">
        <f>IF(techniques[[#This Row],[detection rules]]&gt;=techniques[[#This Row],[expected detection rules]],1,techniques[[#This Row],[detection rules]]/techniques[[#This Row],[expected detection rules]])</f>
        <v/>
      </c>
      <c r="P36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68" s="29">
        <f>IF(ISERROR(SEARCH(techniques[[#This Row],[id]],techniques[[#This Row],[name]])),"ERROR","")</f>
        <v/>
      </c>
      <c r="S36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69" ht="12.75" customHeight="1">
      <c r="A369" s="74" t="inlineStr">
        <is>
          <t>T1546</t>
        </is>
      </c>
      <c r="B369" s="74" t="inlineStr">
        <is>
          <t>T1546</t>
        </is>
      </c>
      <c r="C369" s="13" t="inlineStr">
        <is>
          <t>Event Triggered Execution (T1546)</t>
        </is>
      </c>
      <c r="D369" s="13" t="inlineStr">
        <is>
          <t>privilege-escalation|persistence</t>
        </is>
      </c>
      <c r="E369" s="13" t="inlineStr">
        <is>
          <t>Cloud Service: Cloud Service Modification|Command: Command Execution|File: File Metadata|File: File Modification|Network Traffic: Network Traffic Content|Process: Process Creation|Scheduled Job: Scheduled Job Creation|Script: Script Execution|WMI: WMI Creation|Windows Registry: Windows Registry Key Modification</t>
        </is>
      </c>
      <c r="F369" s="74" t="n">
        <v>10</v>
      </c>
      <c r="G369" s="72">
        <f t="array" ref="G369">SUM(IF(ISERROR(FIND(sources[data source],techniques[[#This Row],[data sources]])),0,1)*IF(sources[available]="yes",1,0))</f>
        <v/>
      </c>
      <c r="H369" s="73">
        <f t="array" ref="H369">IF(techniques[[#This Row],[technique]]=techniques[[#This Row],[id]],SUM(IF(techniques[[#This Row],[id]]=techniques[technique],1,0))-1,"")</f>
        <v/>
      </c>
      <c r="I369" s="74">
        <f t="array" ref="I369">IF(SUM(IF($C369=detections[],IF(detections[is active]="yes",1,0),0))&gt;0,SUM(IF($C369=detections[],IF(detections[is active]="yes",1,0),0)),"")</f>
        <v/>
      </c>
      <c r="J369" s="74">
        <f t="array" ref="J36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69" s="74">
        <f>IF(AND(ISNUMBER(techniques[[#This Row],[number of sub techniques]]),techniques[[#This Row],[number of sub techniques]]&gt;1),techniques[number of sub techniques],1)</f>
        <v/>
      </c>
      <c r="L369" s="72" t="n"/>
      <c r="M369" s="74">
        <f t="array" ref="M36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6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69" s="26">
        <f>IF(techniques[[#This Row],[detection rules]]&gt;=techniques[[#This Row],[expected detection rules]],1,techniques[[#This Row],[detection rules]]/techniques[[#This Row],[expected detection rules]])</f>
        <v/>
      </c>
      <c r="P36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69" s="29">
        <f>IF(ISERROR(SEARCH(techniques[[#This Row],[id]],techniques[[#This Row],[name]])),"ERROR","")</f>
        <v/>
      </c>
      <c r="S36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70" ht="12.75" customHeight="1">
      <c r="A370" s="74" t="inlineStr">
        <is>
          <t>T1546</t>
        </is>
      </c>
      <c r="B370" s="74" t="inlineStr">
        <is>
          <t>T1546.001</t>
        </is>
      </c>
      <c r="C370" s="13" t="inlineStr">
        <is>
          <t>Change Default File Association (T1546.001)</t>
        </is>
      </c>
      <c r="D370" s="13" t="inlineStr">
        <is>
          <t>privilege-escalation|persistence</t>
        </is>
      </c>
      <c r="E370" s="13" t="inlineStr">
        <is>
          <t>Logon Session: Logon Session Metadata|Process: Process Creation|Windows Registry: Windows Registry Key Modification</t>
        </is>
      </c>
      <c r="F370" s="74" t="n">
        <v>3</v>
      </c>
      <c r="G370" s="72">
        <f t="array" ref="G370">SUM(IF(ISERROR(FIND(sources[data source],techniques[[#This Row],[data sources]])),0,1)*IF(sources[available]="yes",1,0))</f>
        <v/>
      </c>
      <c r="H370" s="73">
        <f t="array" ref="H370">IF(techniques[[#This Row],[technique]]=techniques[[#This Row],[id]],SUM(IF(techniques[[#This Row],[id]]=techniques[technique],1,0))-1,"")</f>
        <v/>
      </c>
      <c r="I370" s="74">
        <f t="array" ref="I370">IF(SUM(IF($C370=detections[],IF(detections[is active]="yes",1,0),0))&gt;0,SUM(IF($C370=detections[],IF(detections[is active]="yes",1,0),0)),"")</f>
        <v/>
      </c>
      <c r="J370" s="74">
        <f t="array" ref="J37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70" s="74">
        <f>IF(AND(ISNUMBER(techniques[[#This Row],[number of sub techniques]]),techniques[[#This Row],[number of sub techniques]]&gt;1),techniques[number of sub techniques],1)</f>
        <v/>
      </c>
      <c r="L370" s="72" t="n"/>
      <c r="M370" s="74">
        <f t="array" ref="M37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7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70" s="26">
        <f>IF(techniques[[#This Row],[detection rules]]&gt;=techniques[[#This Row],[expected detection rules]],1,techniques[[#This Row],[detection rules]]/techniques[[#This Row],[expected detection rules]])</f>
        <v/>
      </c>
      <c r="P37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70" s="29">
        <f>IF(ISERROR(SEARCH(techniques[[#This Row],[id]],techniques[[#This Row],[name]])),"ERROR","")</f>
        <v/>
      </c>
      <c r="S37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71" ht="12.75" customHeight="1">
      <c r="A371" s="74" t="inlineStr">
        <is>
          <t>T1546</t>
        </is>
      </c>
      <c r="B371" s="74" t="inlineStr">
        <is>
          <t>T1546.002</t>
        </is>
      </c>
      <c r="C371" s="13" t="inlineStr">
        <is>
          <t>Screensaver (T1546.002)</t>
        </is>
      </c>
      <c r="D371" s="13" t="inlineStr">
        <is>
          <t>privilege-escalation|persistence</t>
        </is>
      </c>
      <c r="E371" s="13" t="inlineStr">
        <is>
          <t>Process: Process Creation|Windows Registry: Windows Registry Key Modification</t>
        </is>
      </c>
      <c r="F371" s="74" t="n">
        <v>2</v>
      </c>
      <c r="G371" s="72">
        <f t="array" ref="G371">SUM(IF(ISERROR(FIND(sources[data source],techniques[[#This Row],[data sources]])),0,1)*IF(sources[available]="yes",1,0))</f>
        <v/>
      </c>
      <c r="H371" s="73">
        <f t="array" ref="H371">IF(techniques[[#This Row],[technique]]=techniques[[#This Row],[id]],SUM(IF(techniques[[#This Row],[id]]=techniques[technique],1,0))-1,"")</f>
        <v/>
      </c>
      <c r="I371" s="74">
        <f t="array" ref="I371">IF(SUM(IF($C371=detections[],IF(detections[is active]="yes",1,0),0))&gt;0,SUM(IF($C371=detections[],IF(detections[is active]="yes",1,0),0)),"")</f>
        <v/>
      </c>
      <c r="J371" s="74">
        <f t="array" ref="J37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71" s="74">
        <f>IF(AND(ISNUMBER(techniques[[#This Row],[number of sub techniques]]),techniques[[#This Row],[number of sub techniques]]&gt;1),techniques[number of sub techniques],1)</f>
        <v/>
      </c>
      <c r="L371" s="72" t="n"/>
      <c r="M371" s="74">
        <f t="array" ref="M37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7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71" s="26">
        <f>IF(techniques[[#This Row],[detection rules]]&gt;=techniques[[#This Row],[expected detection rules]],1,techniques[[#This Row],[detection rules]]/techniques[[#This Row],[expected detection rules]])</f>
        <v/>
      </c>
      <c r="P37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71" s="29">
        <f>IF(ISERROR(SEARCH(techniques[[#This Row],[id]],techniques[[#This Row],[name]])),"ERROR","")</f>
        <v/>
      </c>
      <c r="S37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72" ht="12.75" customHeight="1">
      <c r="A372" s="74" t="inlineStr">
        <is>
          <t>T1546</t>
        </is>
      </c>
      <c r="B372" s="74" t="inlineStr">
        <is>
          <t>T1546.003</t>
        </is>
      </c>
      <c r="C372" s="13" t="inlineStr">
        <is>
          <t>Windows Management Instrumentation Event Subscription (T1546.003)</t>
        </is>
      </c>
      <c r="D372" s="13" t="inlineStr">
        <is>
          <t>privilege-escalation|persistence</t>
        </is>
      </c>
      <c r="E372" s="13" t="inlineStr">
        <is>
          <t>Module: Module Load|Process: Process Creation|WMI: WMI Creation</t>
        </is>
      </c>
      <c r="F372" s="74" t="n">
        <v>3</v>
      </c>
      <c r="G372" s="72">
        <f t="array" ref="G372">SUM(IF(ISERROR(FIND(sources[data source],techniques[[#This Row],[data sources]])),0,1)*IF(sources[available]="yes",1,0))</f>
        <v/>
      </c>
      <c r="H372" s="73">
        <f t="array" ref="H372">IF(techniques[[#This Row],[technique]]=techniques[[#This Row],[id]],SUM(IF(techniques[[#This Row],[id]]=techniques[technique],1,0))-1,"")</f>
        <v/>
      </c>
      <c r="I372" s="74">
        <f t="array" ref="I372">IF(SUM(IF($C372=detections[],IF(detections[is active]="yes",1,0),0))&gt;0,SUM(IF($C372=detections[],IF(detections[is active]="yes",1,0),0)),"")</f>
        <v/>
      </c>
      <c r="J372" s="74">
        <f t="array" ref="J37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72" s="74">
        <f>IF(AND(ISNUMBER(techniques[[#This Row],[number of sub techniques]]),techniques[[#This Row],[number of sub techniques]]&gt;1),techniques[number of sub techniques],1)</f>
        <v/>
      </c>
      <c r="L372" s="72" t="n"/>
      <c r="M372" s="74">
        <f t="array" ref="M37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7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72" s="26">
        <f>IF(techniques[[#This Row],[detection rules]]&gt;=techniques[[#This Row],[expected detection rules]],1,techniques[[#This Row],[detection rules]]/techniques[[#This Row],[expected detection rules]])</f>
        <v/>
      </c>
      <c r="P37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72" s="29">
        <f>IF(ISERROR(SEARCH(techniques[[#This Row],[id]],techniques[[#This Row],[name]])),"ERROR","")</f>
        <v/>
      </c>
      <c r="S37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73" ht="12.75" customHeight="1">
      <c r="A373" s="74" t="inlineStr">
        <is>
          <t>T1546</t>
        </is>
      </c>
      <c r="B373" s="74" t="inlineStr">
        <is>
          <t>T1546.004</t>
        </is>
      </c>
      <c r="C373" s="13" t="inlineStr">
        <is>
          <t>Unix Shell Configuration Modification (T1546.004)</t>
        </is>
      </c>
      <c r="D373" s="13" t="inlineStr">
        <is>
          <t>privilege-escalation|persistence</t>
        </is>
      </c>
      <c r="E373" s="13" t="inlineStr">
        <is>
          <t>File: File Modification|Network Traffic: Network Traffic Content|Process: Process Creation</t>
        </is>
      </c>
      <c r="F373" s="74" t="n">
        <v>3</v>
      </c>
      <c r="G373" s="72">
        <f t="array" ref="G373">SUM(IF(ISERROR(FIND(sources[data source],techniques[[#This Row],[data sources]])),0,1)*IF(sources[available]="yes",1,0))</f>
        <v/>
      </c>
      <c r="H373" s="73">
        <f t="array" ref="H373">IF(techniques[[#This Row],[technique]]=techniques[[#This Row],[id]],SUM(IF(techniques[[#This Row],[id]]=techniques[technique],1,0))-1,"")</f>
        <v/>
      </c>
      <c r="I373" s="74">
        <f t="array" ref="I373">IF(SUM(IF($C373=detections[],IF(detections[is active]="yes",1,0),0))&gt;0,SUM(IF($C373=detections[],IF(detections[is active]="yes",1,0),0)),"")</f>
        <v/>
      </c>
      <c r="J373" s="74">
        <f t="array" ref="J37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73" s="74">
        <f>IF(AND(ISNUMBER(techniques[[#This Row],[number of sub techniques]]),techniques[[#This Row],[number of sub techniques]]&gt;1),techniques[number of sub techniques],1)</f>
        <v/>
      </c>
      <c r="L373" s="72" t="n"/>
      <c r="M373" s="74">
        <f t="array" ref="M37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7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73" s="26">
        <f>IF(techniques[[#This Row],[detection rules]]&gt;=techniques[[#This Row],[expected detection rules]],1,techniques[[#This Row],[detection rules]]/techniques[[#This Row],[expected detection rules]])</f>
        <v/>
      </c>
      <c r="P37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73" s="29">
        <f>IF(ISERROR(SEARCH(techniques[[#This Row],[id]],techniques[[#This Row],[name]])),"ERROR","")</f>
        <v/>
      </c>
      <c r="S37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74" ht="12.75" customHeight="1">
      <c r="A374" s="74" t="inlineStr">
        <is>
          <t>T1546</t>
        </is>
      </c>
      <c r="B374" s="74" t="inlineStr">
        <is>
          <t>T1546.005</t>
        </is>
      </c>
      <c r="C374" s="13" t="inlineStr">
        <is>
          <t>Trap (T1546.005)</t>
        </is>
      </c>
      <c r="D374" s="13" t="inlineStr">
        <is>
          <t>privilege-escalation|persistence</t>
        </is>
      </c>
      <c r="E374" s="13" t="inlineStr">
        <is>
          <t>File: File Access|File: File Modification|Process: Process Creation</t>
        </is>
      </c>
      <c r="F374" s="74" t="n">
        <v>3</v>
      </c>
      <c r="G374" s="72">
        <f t="array" ref="G374">SUM(IF(ISERROR(FIND(sources[data source],techniques[[#This Row],[data sources]])),0,1)*IF(sources[available]="yes",1,0))</f>
        <v/>
      </c>
      <c r="H374" s="73">
        <f t="array" ref="H374">IF(techniques[[#This Row],[technique]]=techniques[[#This Row],[id]],SUM(IF(techniques[[#This Row],[id]]=techniques[technique],1,0))-1,"")</f>
        <v/>
      </c>
      <c r="I374" s="74">
        <f t="array" ref="I374">IF(SUM(IF($C374=detections[],IF(detections[is active]="yes",1,0),0))&gt;0,SUM(IF($C374=detections[],IF(detections[is active]="yes",1,0),0)),"")</f>
        <v/>
      </c>
      <c r="J374" s="74">
        <f t="array" ref="J37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74" s="74">
        <f>IF(AND(ISNUMBER(techniques[[#This Row],[number of sub techniques]]),techniques[[#This Row],[number of sub techniques]]&gt;1),techniques[number of sub techniques],1)</f>
        <v/>
      </c>
      <c r="L374" s="72" t="n"/>
      <c r="M374" s="74">
        <f t="array" ref="M37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7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74" s="26">
        <f>IF(techniques[[#This Row],[detection rules]]&gt;=techniques[[#This Row],[expected detection rules]],1,techniques[[#This Row],[detection rules]]/techniques[[#This Row],[expected detection rules]])</f>
        <v/>
      </c>
      <c r="P37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74" s="29">
        <f>IF(ISERROR(SEARCH(techniques[[#This Row],[id]],techniques[[#This Row],[name]])),"ERROR","")</f>
        <v/>
      </c>
      <c r="S37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75" ht="12.75" customHeight="1">
      <c r="A375" s="74" t="inlineStr">
        <is>
          <t>T1546</t>
        </is>
      </c>
      <c r="B375" s="74" t="inlineStr">
        <is>
          <t>T1546.006</t>
        </is>
      </c>
      <c r="C375" s="13" t="inlineStr">
        <is>
          <t>LC_LOAD_DYLIB Addition (T1546.006)</t>
        </is>
      </c>
      <c r="D375" s="13" t="inlineStr">
        <is>
          <t>privilege-escalation|persistence</t>
        </is>
      </c>
      <c r="E375" s="13" t="inlineStr">
        <is>
          <t>File: File Metadata|File: File Modification|Module: Module Load</t>
        </is>
      </c>
      <c r="F375" s="74" t="n">
        <v>3</v>
      </c>
      <c r="G375" s="72">
        <f t="array" ref="G375">SUM(IF(ISERROR(FIND(sources[data source],techniques[[#This Row],[data sources]])),0,1)*IF(sources[available]="yes",1,0))</f>
        <v/>
      </c>
      <c r="H375" s="73">
        <f t="array" ref="H375">IF(techniques[[#This Row],[technique]]=techniques[[#This Row],[id]],SUM(IF(techniques[[#This Row],[id]]=techniques[technique],1,0))-1,"")</f>
        <v/>
      </c>
      <c r="I375" s="74">
        <f t="array" ref="I375">IF(SUM(IF($C375=detections[],IF(detections[is active]="yes",1,0),0))&gt;0,SUM(IF($C375=detections[],IF(detections[is active]="yes",1,0),0)),"")</f>
        <v/>
      </c>
      <c r="J375" s="74">
        <f t="array" ref="J37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75" s="74">
        <f>IF(AND(ISNUMBER(techniques[[#This Row],[number of sub techniques]]),techniques[[#This Row],[number of sub techniques]]&gt;1),techniques[number of sub techniques],1)</f>
        <v/>
      </c>
      <c r="L375" s="72" t="n"/>
      <c r="M375" s="74">
        <f t="array" ref="M37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7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75" s="26">
        <f>IF(techniques[[#This Row],[detection rules]]&gt;=techniques[[#This Row],[expected detection rules]],1,techniques[[#This Row],[detection rules]]/techniques[[#This Row],[expected detection rules]])</f>
        <v/>
      </c>
      <c r="P37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75" s="29">
        <f>IF(ISERROR(SEARCH(techniques[[#This Row],[id]],techniques[[#This Row],[name]])),"ERROR","")</f>
        <v/>
      </c>
      <c r="S37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76" ht="12.75" customHeight="1">
      <c r="A376" s="74" t="inlineStr">
        <is>
          <t>T1546</t>
        </is>
      </c>
      <c r="B376" s="74" t="inlineStr">
        <is>
          <t>T1546.007</t>
        </is>
      </c>
      <c r="C376" s="13" t="inlineStr">
        <is>
          <t>Netsh Helper DLL (T1546.007)</t>
        </is>
      </c>
      <c r="D376" s="13" t="inlineStr">
        <is>
          <t>privilege-escalation|persistence</t>
        </is>
      </c>
      <c r="E376" s="13" t="inlineStr">
        <is>
          <t>Module: Module Load|Process: Process Creation|Windows Registry: Windows Registry Key Modification</t>
        </is>
      </c>
      <c r="F376" s="74" t="n">
        <v>3</v>
      </c>
      <c r="G376" s="72">
        <f t="array" ref="G376">SUM(IF(ISERROR(FIND(sources[data source],techniques[[#This Row],[data sources]])),0,1)*IF(sources[available]="yes",1,0))</f>
        <v/>
      </c>
      <c r="H376" s="73">
        <f t="array" ref="H376">IF(techniques[[#This Row],[technique]]=techniques[[#This Row],[id]],SUM(IF(techniques[[#This Row],[id]]=techniques[technique],1,0))-1,"")</f>
        <v/>
      </c>
      <c r="I376" s="74">
        <f t="array" ref="I376">IF(SUM(IF($C376=detections[],IF(detections[is active]="yes",1,0),0))&gt;0,SUM(IF($C376=detections[],IF(detections[is active]="yes",1,0),0)),"")</f>
        <v/>
      </c>
      <c r="J376" s="74">
        <f t="array" ref="J37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76" s="74">
        <f>IF(AND(ISNUMBER(techniques[[#This Row],[number of sub techniques]]),techniques[[#This Row],[number of sub techniques]]&gt;1),techniques[number of sub techniques],1)</f>
        <v/>
      </c>
      <c r="L376" s="72" t="n"/>
      <c r="M376" s="74">
        <f t="array" ref="M37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7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76" s="26">
        <f>IF(techniques[[#This Row],[detection rules]]&gt;=techniques[[#This Row],[expected detection rules]],1,techniques[[#This Row],[detection rules]]/techniques[[#This Row],[expected detection rules]])</f>
        <v/>
      </c>
      <c r="P37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76" s="29">
        <f>IF(ISERROR(SEARCH(techniques[[#This Row],[id]],techniques[[#This Row],[name]])),"ERROR","")</f>
        <v/>
      </c>
      <c r="S37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77" ht="12.75" customHeight="1">
      <c r="A377" s="74" t="inlineStr">
        <is>
          <t>T1546</t>
        </is>
      </c>
      <c r="B377" s="74" t="inlineStr">
        <is>
          <t>T1546.008</t>
        </is>
      </c>
      <c r="C377" s="13" t="inlineStr">
        <is>
          <t>Accessibility Features (T1546.008)</t>
        </is>
      </c>
      <c r="D377" s="13" t="inlineStr">
        <is>
          <t>privilege-escalation|persistence</t>
        </is>
      </c>
      <c r="E377" s="13" t="inlineStr">
        <is>
          <t>File: File Creation|File: File Metadata|Process: Process Creation|Windows Registry: Windows Registry Key Modification</t>
        </is>
      </c>
      <c r="F377" s="74" t="n">
        <v>4</v>
      </c>
      <c r="G377" s="72">
        <f t="array" ref="G377">SUM(IF(ISERROR(FIND(sources[data source],techniques[[#This Row],[data sources]])),0,1)*IF(sources[available]="yes",1,0))</f>
        <v/>
      </c>
      <c r="H377" s="73">
        <f t="array" ref="H377">IF(techniques[[#This Row],[technique]]=techniques[[#This Row],[id]],SUM(IF(techniques[[#This Row],[id]]=techniques[technique],1,0))-1,"")</f>
        <v/>
      </c>
      <c r="I377" s="74">
        <f t="array" ref="I377">IF(SUM(IF($C377=detections[],IF(detections[is active]="yes",1,0),0))&gt;0,SUM(IF($C377=detections[],IF(detections[is active]="yes",1,0),0)),"")</f>
        <v/>
      </c>
      <c r="J377" s="74">
        <f t="array" ref="J37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77" s="74">
        <f>IF(AND(ISNUMBER(techniques[[#This Row],[number of sub techniques]]),techniques[[#This Row],[number of sub techniques]]&gt;1),techniques[number of sub techniques],1)</f>
        <v/>
      </c>
      <c r="L377" s="72" t="n"/>
      <c r="M377" s="74">
        <f t="array" ref="M37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7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77" s="26">
        <f>IF(techniques[[#This Row],[detection rules]]&gt;=techniques[[#This Row],[expected detection rules]],1,techniques[[#This Row],[detection rules]]/techniques[[#This Row],[expected detection rules]])</f>
        <v/>
      </c>
      <c r="P37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77" s="29">
        <f>IF(ISERROR(SEARCH(techniques[[#This Row],[id]],techniques[[#This Row],[name]])),"ERROR","")</f>
        <v/>
      </c>
      <c r="S37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78" ht="12.75" customHeight="1">
      <c r="A378" s="74" t="inlineStr">
        <is>
          <t>T1546</t>
        </is>
      </c>
      <c r="B378" s="74" t="inlineStr">
        <is>
          <t>T1546.009</t>
        </is>
      </c>
      <c r="C378" s="13" t="inlineStr">
        <is>
          <t>AppCert DLLs (T1546.009)</t>
        </is>
      </c>
      <c r="D378" s="13" t="inlineStr">
        <is>
          <t>privilege-escalation|persistence</t>
        </is>
      </c>
      <c r="E378" s="13" t="inlineStr">
        <is>
          <t>Module: Module Load|Process: Process Creation|Windows Registry: Windows Registry Key Modification</t>
        </is>
      </c>
      <c r="F378" s="74" t="n">
        <v>3</v>
      </c>
      <c r="G378" s="72">
        <f t="array" ref="G378">SUM(IF(ISERROR(FIND(sources[data source],techniques[[#This Row],[data sources]])),0,1)*IF(sources[available]="yes",1,0))</f>
        <v/>
      </c>
      <c r="H378" s="73">
        <f t="array" ref="H378">IF(techniques[[#This Row],[technique]]=techniques[[#This Row],[id]],SUM(IF(techniques[[#This Row],[id]]=techniques[technique],1,0))-1,"")</f>
        <v/>
      </c>
      <c r="I378" s="74">
        <f t="array" ref="I378">IF(SUM(IF($C378=detections[],IF(detections[is active]="yes",1,0),0))&gt;0,SUM(IF($C378=detections[],IF(detections[is active]="yes",1,0),0)),"")</f>
        <v/>
      </c>
      <c r="J378" s="74">
        <f t="array" ref="J37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78" s="74">
        <f>IF(AND(ISNUMBER(techniques[[#This Row],[number of sub techniques]]),techniques[[#This Row],[number of sub techniques]]&gt;1),techniques[number of sub techniques],1)</f>
        <v/>
      </c>
      <c r="L378" s="72" t="n"/>
      <c r="M378" s="74">
        <f t="array" ref="M37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7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78" s="26">
        <f>IF(techniques[[#This Row],[detection rules]]&gt;=techniques[[#This Row],[expected detection rules]],1,techniques[[#This Row],[detection rules]]/techniques[[#This Row],[expected detection rules]])</f>
        <v/>
      </c>
      <c r="P37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78" s="29">
        <f>IF(ISERROR(SEARCH(techniques[[#This Row],[id]],techniques[[#This Row],[name]])),"ERROR","")</f>
        <v/>
      </c>
      <c r="S37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79" ht="12.75" customHeight="1">
      <c r="A379" s="74" t="inlineStr">
        <is>
          <t>T1546</t>
        </is>
      </c>
      <c r="B379" s="74" t="inlineStr">
        <is>
          <t>T1546.010</t>
        </is>
      </c>
      <c r="C379" s="13" t="inlineStr">
        <is>
          <t>AppInit DLLs (T1546.010)</t>
        </is>
      </c>
      <c r="D379" s="13" t="inlineStr">
        <is>
          <t>privilege-escalation|persistence</t>
        </is>
      </c>
      <c r="E379" s="13" t="inlineStr">
        <is>
          <t>Module: Module Load|Process: Process Creation|Windows Registry: Windows Registry Key Modification</t>
        </is>
      </c>
      <c r="F379" s="74" t="n">
        <v>3</v>
      </c>
      <c r="G379" s="72">
        <f t="array" ref="G379">SUM(IF(ISERROR(FIND(sources[data source],techniques[[#This Row],[data sources]])),0,1)*IF(sources[available]="yes",1,0))</f>
        <v/>
      </c>
      <c r="H379" s="73">
        <f t="array" ref="H379">IF(techniques[[#This Row],[technique]]=techniques[[#This Row],[id]],SUM(IF(techniques[[#This Row],[id]]=techniques[technique],1,0))-1,"")</f>
        <v/>
      </c>
      <c r="I379" s="74">
        <f t="array" ref="I379">IF(SUM(IF($C379=detections[],IF(detections[is active]="yes",1,0),0))&gt;0,SUM(IF($C379=detections[],IF(detections[is active]="yes",1,0),0)),"")</f>
        <v/>
      </c>
      <c r="J379" s="74">
        <f t="array" ref="J37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79" s="74">
        <f>IF(AND(ISNUMBER(techniques[[#This Row],[number of sub techniques]]),techniques[[#This Row],[number of sub techniques]]&gt;1),techniques[number of sub techniques],1)</f>
        <v/>
      </c>
      <c r="L379" s="72" t="n"/>
      <c r="M379" s="74">
        <f t="array" ref="M37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7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79" s="26">
        <f>IF(techniques[[#This Row],[detection rules]]&gt;=techniques[[#This Row],[expected detection rules]],1,techniques[[#This Row],[detection rules]]/techniques[[#This Row],[expected detection rules]])</f>
        <v/>
      </c>
      <c r="P37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79" s="29">
        <f>IF(ISERROR(SEARCH(techniques[[#This Row],[id]],techniques[[#This Row],[name]])),"ERROR","")</f>
        <v/>
      </c>
      <c r="S37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80" ht="12.75" customHeight="1">
      <c r="A380" s="74" t="inlineStr">
        <is>
          <t>T1546</t>
        </is>
      </c>
      <c r="B380" s="74" t="inlineStr">
        <is>
          <t>T1546.011</t>
        </is>
      </c>
      <c r="C380" s="13" t="inlineStr">
        <is>
          <t>Application Shimming (T1546.011)</t>
        </is>
      </c>
      <c r="D380" s="13" t="inlineStr">
        <is>
          <t>privilege-escalation|persistence</t>
        </is>
      </c>
      <c r="E380" s="13" t="inlineStr">
        <is>
          <t>File: File Creation|Module: Module Load|Process: Process Creation|Windows Registry: Windows Registry Key Modification</t>
        </is>
      </c>
      <c r="F380" s="74" t="n">
        <v>4</v>
      </c>
      <c r="G380" s="72">
        <f t="array" ref="G380">SUM(IF(ISERROR(FIND(sources[data source],techniques[[#This Row],[data sources]])),0,1)*IF(sources[available]="yes",1,0))</f>
        <v/>
      </c>
      <c r="H380" s="73">
        <f t="array" ref="H380">IF(techniques[[#This Row],[technique]]=techniques[[#This Row],[id]],SUM(IF(techniques[[#This Row],[id]]=techniques[technique],1,0))-1,"")</f>
        <v/>
      </c>
      <c r="I380" s="74">
        <f t="array" ref="I380">IF(SUM(IF($C380=detections[],IF(detections[is active]="yes",1,0),0))&gt;0,SUM(IF($C380=detections[],IF(detections[is active]="yes",1,0),0)),"")</f>
        <v/>
      </c>
      <c r="J380" s="74">
        <f t="array" ref="J38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80" s="74">
        <f>IF(AND(ISNUMBER(techniques[[#This Row],[number of sub techniques]]),techniques[[#This Row],[number of sub techniques]]&gt;1),techniques[number of sub techniques],1)</f>
        <v/>
      </c>
      <c r="L380" s="72" t="n"/>
      <c r="M380" s="74">
        <f t="array" ref="M38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8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80" s="26">
        <f>IF(techniques[[#This Row],[detection rules]]&gt;=techniques[[#This Row],[expected detection rules]],1,techniques[[#This Row],[detection rules]]/techniques[[#This Row],[expected detection rules]])</f>
        <v/>
      </c>
      <c r="P38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80" s="29">
        <f>IF(ISERROR(SEARCH(techniques[[#This Row],[id]],techniques[[#This Row],[name]])),"ERROR","")</f>
        <v/>
      </c>
      <c r="S38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81" ht="12.75" customHeight="1">
      <c r="A381" s="74" t="inlineStr">
        <is>
          <t>T1546</t>
        </is>
      </c>
      <c r="B381" s="74" t="inlineStr">
        <is>
          <t>T1546.012</t>
        </is>
      </c>
      <c r="C381" s="13" t="inlineStr">
        <is>
          <t>Image File Execution Options Injection (T1546.012)</t>
        </is>
      </c>
      <c r="D381" s="13" t="inlineStr">
        <is>
          <t>privilege-escalation|persistence</t>
        </is>
      </c>
      <c r="E381" s="13" t="inlineStr">
        <is>
          <t>Process: Process Access|Process: Process Creation|Windows Registry: Windows Registry Key Creation|Windows Registry: Windows Registry Key Modification</t>
        </is>
      </c>
      <c r="F381" s="74" t="n">
        <v>4</v>
      </c>
      <c r="G381" s="72">
        <f t="array" ref="G381">SUM(IF(ISERROR(FIND(sources[data source],techniques[[#This Row],[data sources]])),0,1)*IF(sources[available]="yes",1,0))</f>
        <v/>
      </c>
      <c r="H381" s="73">
        <f t="array" ref="H381">IF(techniques[[#This Row],[technique]]=techniques[[#This Row],[id]],SUM(IF(techniques[[#This Row],[id]]=techniques[technique],1,0))-1,"")</f>
        <v/>
      </c>
      <c r="I381" s="74">
        <f t="array" ref="I381">IF(SUM(IF($C381=detections[],IF(detections[is active]="yes",1,0),0))&gt;0,SUM(IF($C381=detections[],IF(detections[is active]="yes",1,0),0)),"")</f>
        <v/>
      </c>
      <c r="J381" s="74">
        <f t="array" ref="J38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81" s="74">
        <f>IF(AND(ISNUMBER(techniques[[#This Row],[number of sub techniques]]),techniques[[#This Row],[number of sub techniques]]&gt;1),techniques[number of sub techniques],1)</f>
        <v/>
      </c>
      <c r="L381" s="72" t="n"/>
      <c r="M381" s="74">
        <f t="array" ref="M38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8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81" s="26">
        <f>IF(techniques[[#This Row],[detection rules]]&gt;=techniques[[#This Row],[expected detection rules]],1,techniques[[#This Row],[detection rules]]/techniques[[#This Row],[expected detection rules]])</f>
        <v/>
      </c>
      <c r="P38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81" s="29">
        <f>IF(ISERROR(SEARCH(techniques[[#This Row],[id]],techniques[[#This Row],[name]])),"ERROR","")</f>
        <v/>
      </c>
      <c r="S38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82" ht="12.75" customHeight="1">
      <c r="A382" s="74" t="inlineStr">
        <is>
          <t>T1546</t>
        </is>
      </c>
      <c r="B382" s="74" t="inlineStr">
        <is>
          <t>T1546.013</t>
        </is>
      </c>
      <c r="C382" s="13" t="inlineStr">
        <is>
          <t>PowerShell Profile (T1546.013)</t>
        </is>
      </c>
      <c r="D382" s="13" t="inlineStr">
        <is>
          <t>privilege-escalation|persistence</t>
        </is>
      </c>
      <c r="E382" s="13" t="inlineStr">
        <is>
          <t>Command: Command Execution|File: File Creation|File: File Modification|Process: Process Creation</t>
        </is>
      </c>
      <c r="F382" s="74" t="n">
        <v>4</v>
      </c>
      <c r="G382" s="72">
        <f t="array" ref="G382">SUM(IF(ISERROR(FIND(sources[data source],techniques[[#This Row],[data sources]])),0,1)*IF(sources[available]="yes",1,0))</f>
        <v/>
      </c>
      <c r="H382" s="73">
        <f t="array" ref="H382">IF(techniques[[#This Row],[technique]]=techniques[[#This Row],[id]],SUM(IF(techniques[[#This Row],[id]]=techniques[technique],1,0))-1,"")</f>
        <v/>
      </c>
      <c r="I382" s="74">
        <f t="array" ref="I382">IF(SUM(IF($C382=detections[],IF(detections[is active]="yes",1,0),0))&gt;0,SUM(IF($C382=detections[],IF(detections[is active]="yes",1,0),0)),"")</f>
        <v/>
      </c>
      <c r="J382" s="74">
        <f t="array" ref="J38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82" s="74">
        <f>IF(AND(ISNUMBER(techniques[[#This Row],[number of sub techniques]]),techniques[[#This Row],[number of sub techniques]]&gt;1),techniques[number of sub techniques],1)</f>
        <v/>
      </c>
      <c r="L382" s="72" t="n"/>
      <c r="M382" s="74">
        <f t="array" ref="M38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8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82" s="26">
        <f>IF(techniques[[#This Row],[detection rules]]&gt;=techniques[[#This Row],[expected detection rules]],1,techniques[[#This Row],[detection rules]]/techniques[[#This Row],[expected detection rules]])</f>
        <v/>
      </c>
      <c r="P38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82" s="29">
        <f>IF(ISERROR(SEARCH(techniques[[#This Row],[id]],techniques[[#This Row],[name]])),"ERROR","")</f>
        <v/>
      </c>
      <c r="S38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83" ht="12.75" customHeight="1">
      <c r="A383" s="74" t="inlineStr">
        <is>
          <t>T1546</t>
        </is>
      </c>
      <c r="B383" s="74" t="inlineStr">
        <is>
          <t>T1546.014</t>
        </is>
      </c>
      <c r="C383" s="13" t="inlineStr">
        <is>
          <t>Emond (T1546.014)</t>
        </is>
      </c>
      <c r="D383" s="13" t="inlineStr">
        <is>
          <t>privilege-escalation|persistence</t>
        </is>
      </c>
      <c r="E383" s="13" t="inlineStr">
        <is>
          <t>Command: Command Execution|File: File Creation|File: File Modification|Process: Process Creation</t>
        </is>
      </c>
      <c r="F383" s="74" t="n">
        <v>4</v>
      </c>
      <c r="G383" s="72">
        <f t="array" ref="G383">SUM(IF(ISERROR(FIND(sources[data source],techniques[[#This Row],[data sources]])),0,1)*IF(sources[available]="yes",1,0))</f>
        <v/>
      </c>
      <c r="H383" s="73">
        <f t="array" ref="H383">IF(techniques[[#This Row],[technique]]=techniques[[#This Row],[id]],SUM(IF(techniques[[#This Row],[id]]=techniques[technique],1,0))-1,"")</f>
        <v/>
      </c>
      <c r="I383" s="74">
        <f t="array" ref="I383">IF(SUM(IF($C383=detections[],IF(detections[is active]="yes",1,0),0))&gt;0,SUM(IF($C383=detections[],IF(detections[is active]="yes",1,0),0)),"")</f>
        <v/>
      </c>
      <c r="J383" s="74">
        <f t="array" ref="J38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83" s="74">
        <f>IF(AND(ISNUMBER(techniques[[#This Row],[number of sub techniques]]),techniques[[#This Row],[number of sub techniques]]&gt;1),techniques[number of sub techniques],1)</f>
        <v/>
      </c>
      <c r="L383" s="72" t="n"/>
      <c r="M383" s="74">
        <f t="array" ref="M38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8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83" s="26">
        <f>IF(techniques[[#This Row],[detection rules]]&gt;=techniques[[#This Row],[expected detection rules]],1,techniques[[#This Row],[detection rules]]/techniques[[#This Row],[expected detection rules]])</f>
        <v/>
      </c>
      <c r="P38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83" s="29">
        <f>IF(ISERROR(SEARCH(techniques[[#This Row],[id]],techniques[[#This Row],[name]])),"ERROR","")</f>
        <v/>
      </c>
      <c r="S38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84" ht="12.75" customHeight="1">
      <c r="A384" s="74" t="inlineStr">
        <is>
          <t>T1546</t>
        </is>
      </c>
      <c r="B384" s="74" t="inlineStr">
        <is>
          <t>T1546.015</t>
        </is>
      </c>
      <c r="C384" s="13" t="inlineStr">
        <is>
          <t>Component Object Model Hijacking (T1546.015)</t>
        </is>
      </c>
      <c r="D384" s="13" t="inlineStr">
        <is>
          <t>privilege-escalation|persistence</t>
        </is>
      </c>
      <c r="E384" s="13" t="inlineStr">
        <is>
          <t>Module: Module Load|Process: Process Creation|Windows Registry: Windows Registry Key Modification</t>
        </is>
      </c>
      <c r="F384" s="74" t="n">
        <v>3</v>
      </c>
      <c r="G384" s="72">
        <f t="array" ref="G384">SUM(IF(ISERROR(FIND(sources[data source],techniques[[#This Row],[data sources]])),0,1)*IF(sources[available]="yes",1,0))</f>
        <v/>
      </c>
      <c r="H384" s="73">
        <f t="array" ref="H384">IF(techniques[[#This Row],[technique]]=techniques[[#This Row],[id]],SUM(IF(techniques[[#This Row],[id]]=techniques[technique],1,0))-1,"")</f>
        <v/>
      </c>
      <c r="I384" s="74">
        <f t="array" ref="I384">IF(SUM(IF($C384=detections[],IF(detections[is active]="yes",1,0),0))&gt;0,SUM(IF($C384=detections[],IF(detections[is active]="yes",1,0),0)),"")</f>
        <v/>
      </c>
      <c r="J384" s="74">
        <f t="array" ref="J38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84" s="74">
        <f>IF(AND(ISNUMBER(techniques[[#This Row],[number of sub techniques]]),techniques[[#This Row],[number of sub techniques]]&gt;1),techniques[number of sub techniques],1)</f>
        <v/>
      </c>
      <c r="L384" s="72" t="n"/>
      <c r="M384" s="74">
        <f t="array" ref="M38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8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84" s="26">
        <f>IF(techniques[[#This Row],[detection rules]]&gt;=techniques[[#This Row],[expected detection rules]],1,techniques[[#This Row],[detection rules]]/techniques[[#This Row],[expected detection rules]])</f>
        <v/>
      </c>
      <c r="P38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84" s="29">
        <f>IF(ISERROR(SEARCH(techniques[[#This Row],[id]],techniques[[#This Row],[name]])),"ERROR","")</f>
        <v/>
      </c>
      <c r="S38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85" ht="12.75" customHeight="1">
      <c r="A385" s="74" t="inlineStr">
        <is>
          <t>T1546</t>
        </is>
      </c>
      <c r="B385" s="74" t="inlineStr">
        <is>
          <t>T1546.016</t>
        </is>
      </c>
      <c r="C385" s="13" t="inlineStr">
        <is>
          <t>Installer Packages (T1546.016)</t>
        </is>
      </c>
      <c r="D385" s="13" t="inlineStr">
        <is>
          <t>privilege-escalation|persistence</t>
        </is>
      </c>
      <c r="E385" s="13" t="inlineStr">
        <is>
          <t>File: File Creation|Process: Process Creation</t>
        </is>
      </c>
      <c r="F385" s="74" t="n">
        <v>2</v>
      </c>
      <c r="G385" s="72">
        <f t="array" ref="G385">SUM(IF(ISERROR(FIND(sources[data source],techniques[[#This Row],[data sources]])),0,1)*IF(sources[available]="yes",1,0))</f>
        <v/>
      </c>
      <c r="H385" s="73">
        <f t="array" ref="H385">IF(techniques[[#This Row],[technique]]=techniques[[#This Row],[id]],SUM(IF(techniques[[#This Row],[id]]=techniques[technique],1,0))-1,"")</f>
        <v/>
      </c>
      <c r="I385" s="74">
        <f t="array" ref="I385">IF(SUM(IF($C385=detections[],IF(detections[is active]="yes",1,0),0))&gt;0,SUM(IF($C385=detections[],IF(detections[is active]="yes",1,0),0)),"")</f>
        <v/>
      </c>
      <c r="J385" s="74">
        <f t="array" ref="J38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85" s="74">
        <f>IF(AND(ISNUMBER(techniques[[#This Row],[number of sub techniques]]),techniques[[#This Row],[number of sub techniques]]&gt;1),techniques[number of sub techniques],1)</f>
        <v/>
      </c>
      <c r="L385" s="72" t="n"/>
      <c r="M385" s="74">
        <f t="array" ref="M38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8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85" s="26">
        <f>IF(techniques[[#This Row],[detection rules]]&gt;=techniques[[#This Row],[expected detection rules]],1,techniques[[#This Row],[detection rules]]/techniques[[#This Row],[expected detection rules]])</f>
        <v/>
      </c>
      <c r="P38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85" s="29">
        <f>IF(ISERROR(SEARCH(techniques[[#This Row],[id]],techniques[[#This Row],[name]])),"ERROR","")</f>
        <v/>
      </c>
      <c r="S38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86" ht="12.75" customHeight="1">
      <c r="A386" s="74" t="inlineStr">
        <is>
          <t>T1546</t>
        </is>
      </c>
      <c r="B386" s="74" t="inlineStr">
        <is>
          <t>T1546.017</t>
        </is>
      </c>
      <c r="C386" s="13" t="inlineStr">
        <is>
          <t>Udev Rules (T1546.017)</t>
        </is>
      </c>
      <c r="D386" s="13" t="inlineStr">
        <is>
          <t>persistence|privilege-escalation</t>
        </is>
      </c>
      <c r="E386" s="13" t="inlineStr">
        <is>
          <t>Command: Command Execution|File: File Modification|Process: Process Creation</t>
        </is>
      </c>
      <c r="F386" s="74" t="n">
        <v>3</v>
      </c>
      <c r="G386" s="72">
        <f t="array" ref="G386">SUM(IF(ISERROR(FIND(sources[data source],techniques[[#This Row],[data sources]])),0,1)*IF(sources[available]="yes",1,0))</f>
        <v/>
      </c>
      <c r="H386" s="73">
        <f t="array" ref="H386">IF(techniques[[#This Row],[technique]]=techniques[[#This Row],[id]],SUM(IF(techniques[[#This Row],[id]]=techniques[technique],1,0))-1,"")</f>
        <v/>
      </c>
      <c r="I386" s="74">
        <f t="array" ref="I386">IF(SUM(IF($C386=detections[],IF(detections[is active]="yes",1,0),0))&gt;0,SUM(IF($C386=detections[],IF(detections[is active]="yes",1,0),0)),"")</f>
        <v/>
      </c>
      <c r="J386" s="74">
        <f t="array" ref="J38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86" s="74">
        <f>IF(AND(ISNUMBER(techniques[[#This Row],[number of sub techniques]]),techniques[[#This Row],[number of sub techniques]]&gt;1),techniques[number of sub techniques],1)</f>
        <v/>
      </c>
      <c r="L386" s="72" t="n"/>
      <c r="M386" s="74">
        <f t="array" ref="M38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8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86" s="26">
        <f>IF(techniques[[#This Row],[detection rules]]&gt;=techniques[[#This Row],[expected detection rules]],1,techniques[[#This Row],[detection rules]]/techniques[[#This Row],[expected detection rules]])</f>
        <v/>
      </c>
      <c r="P38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86" s="29">
        <f>IF(ISERROR(SEARCH(techniques[[#This Row],[id]],techniques[[#This Row],[name]])),"ERROR","")</f>
        <v/>
      </c>
      <c r="S38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87" ht="12.75" customHeight="1">
      <c r="A387" s="74" t="inlineStr">
        <is>
          <t>T1546</t>
        </is>
      </c>
      <c r="B387" s="74" t="inlineStr">
        <is>
          <t>T1546.018</t>
        </is>
      </c>
      <c r="C387" s="13" t="inlineStr">
        <is>
          <t>Python Startup Hooks (T1546.018)</t>
        </is>
      </c>
      <c r="D387" s="13" t="inlineStr">
        <is>
          <t>persistence|privilege-escalation</t>
        </is>
      </c>
      <c r="E387" s="13" t="inlineStr">
        <is>
          <t>File: File Metadata|File: File Modification|Network Traffic: Network Traffic Content|Process: Process Creation</t>
        </is>
      </c>
      <c r="F387" s="74" t="n">
        <v>4</v>
      </c>
      <c r="G387" s="72">
        <f t="array" ref="G387">SUM(IF(ISERROR(FIND(sources[data source],techniques[[#This Row],[data sources]])),0,1)*IF(sources[available]="yes",1,0))</f>
        <v/>
      </c>
      <c r="H387" s="73">
        <f t="array" ref="H387">IF(techniques[[#This Row],[technique]]=techniques[[#This Row],[id]],SUM(IF(techniques[[#This Row],[id]]=techniques[technique],1,0))-1,"")</f>
        <v/>
      </c>
      <c r="I387" s="74">
        <f t="array" ref="I387">IF(SUM(IF($C387=detections[],IF(detections[is active]="yes",1,0),0))&gt;0,SUM(IF($C387=detections[],IF(detections[is active]="yes",1,0),0)),"")</f>
        <v/>
      </c>
      <c r="J387" s="74">
        <f t="array" ref="J38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87" s="74">
        <f>IF(AND(ISNUMBER(techniques[[#This Row],[number of sub techniques]]),techniques[[#This Row],[number of sub techniques]]&gt;1),techniques[number of sub techniques],1)</f>
        <v/>
      </c>
      <c r="L387" s="72" t="n"/>
      <c r="M387" s="74">
        <f t="array" ref="M38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8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87" s="26">
        <f>IF(techniques[[#This Row],[detection rules]]&gt;=techniques[[#This Row],[expected detection rules]],1,techniques[[#This Row],[detection rules]]/techniques[[#This Row],[expected detection rules]])</f>
        <v/>
      </c>
      <c r="P38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87" s="29">
        <f>IF(ISERROR(SEARCH(techniques[[#This Row],[id]],techniques[[#This Row],[name]])),"ERROR","")</f>
        <v/>
      </c>
      <c r="S38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88" ht="12.75" customHeight="1">
      <c r="A388" s="74" t="inlineStr">
        <is>
          <t>T1547</t>
        </is>
      </c>
      <c r="B388" s="74" t="inlineStr">
        <is>
          <t>T1547</t>
        </is>
      </c>
      <c r="C388" s="13" t="inlineStr">
        <is>
          <t>Boot or Logon Autostart Execution (T1547)</t>
        </is>
      </c>
      <c r="D388" s="13" t="inlineStr">
        <is>
          <t>persistence|privilege-escalation</t>
        </is>
      </c>
      <c r="E388" s="13" t="inlineStr">
        <is>
          <t>File: File Creation|File: File Modification|Process: Process Creation|Service: Service Metadata|Windows Registry: Windows Registry Key Modification</t>
        </is>
      </c>
      <c r="F388" s="74" t="n">
        <v>5</v>
      </c>
      <c r="G388" s="72">
        <f t="array" ref="G388">SUM(IF(ISERROR(FIND(sources[data source],techniques[[#This Row],[data sources]])),0,1)*IF(sources[available]="yes",1,0))</f>
        <v/>
      </c>
      <c r="H388" s="73">
        <f t="array" ref="H388">IF(techniques[[#This Row],[technique]]=techniques[[#This Row],[id]],SUM(IF(techniques[[#This Row],[id]]=techniques[technique],1,0))-1,"")</f>
        <v/>
      </c>
      <c r="I388" s="74">
        <f t="array" ref="I388">IF(SUM(IF($C388=detections[],IF(detections[is active]="yes",1,0),0))&gt;0,SUM(IF($C388=detections[],IF(detections[is active]="yes",1,0),0)),"")</f>
        <v/>
      </c>
      <c r="J388" s="74">
        <f t="array" ref="J38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88" s="74">
        <f>IF(AND(ISNUMBER(techniques[[#This Row],[number of sub techniques]]),techniques[[#This Row],[number of sub techniques]]&gt;1),techniques[number of sub techniques],1)</f>
        <v/>
      </c>
      <c r="L388" s="72" t="n"/>
      <c r="M388" s="74">
        <f t="array" ref="M38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8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88" s="26">
        <f>IF(techniques[[#This Row],[detection rules]]&gt;=techniques[[#This Row],[expected detection rules]],1,techniques[[#This Row],[detection rules]]/techniques[[#This Row],[expected detection rules]])</f>
        <v/>
      </c>
      <c r="P38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88" s="29">
        <f>IF(ISERROR(SEARCH(techniques[[#This Row],[id]],techniques[[#This Row],[name]])),"ERROR","")</f>
        <v/>
      </c>
      <c r="S38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89" ht="12.75" customHeight="1">
      <c r="A389" s="74" t="inlineStr">
        <is>
          <t>T1547</t>
        </is>
      </c>
      <c r="B389" s="74" t="inlineStr">
        <is>
          <t>T1547.001</t>
        </is>
      </c>
      <c r="C389" s="13" t="inlineStr">
        <is>
          <t>Registry Run Keys / Startup Folder (T1547.001)</t>
        </is>
      </c>
      <c r="D389" s="13" t="inlineStr">
        <is>
          <t>persistence|privilege-escalation</t>
        </is>
      </c>
      <c r="E389" s="13" t="inlineStr">
        <is>
          <t>File: File Creation|Process: Process Creation|Windows Registry: Windows Registry Key Modification</t>
        </is>
      </c>
      <c r="F389" s="74" t="n">
        <v>3</v>
      </c>
      <c r="G389" s="72">
        <f t="array" ref="G389">SUM(IF(ISERROR(FIND(sources[data source],techniques[[#This Row],[data sources]])),0,1)*IF(sources[available]="yes",1,0))</f>
        <v/>
      </c>
      <c r="H389" s="73">
        <f t="array" ref="H389">IF(techniques[[#This Row],[technique]]=techniques[[#This Row],[id]],SUM(IF(techniques[[#This Row],[id]]=techniques[technique],1,0))-1,"")</f>
        <v/>
      </c>
      <c r="I389" s="74">
        <f t="array" ref="I389">IF(SUM(IF($C389=detections[],IF(detections[is active]="yes",1,0),0))&gt;0,SUM(IF($C389=detections[],IF(detections[is active]="yes",1,0),0)),"")</f>
        <v/>
      </c>
      <c r="J389" s="74">
        <f t="array" ref="J38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89" s="74">
        <f>IF(AND(ISNUMBER(techniques[[#This Row],[number of sub techniques]]),techniques[[#This Row],[number of sub techniques]]&gt;1),techniques[number of sub techniques],1)</f>
        <v/>
      </c>
      <c r="L389" s="72" t="n"/>
      <c r="M389" s="74">
        <f t="array" ref="M38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8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89" s="26">
        <f>IF(techniques[[#This Row],[detection rules]]&gt;=techniques[[#This Row],[expected detection rules]],1,techniques[[#This Row],[detection rules]]/techniques[[#This Row],[expected detection rules]])</f>
        <v/>
      </c>
      <c r="P38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89" s="29">
        <f>IF(ISERROR(SEARCH(techniques[[#This Row],[id]],techniques[[#This Row],[name]])),"ERROR","")</f>
        <v/>
      </c>
      <c r="S38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90" ht="12.75" customHeight="1">
      <c r="A390" s="74" t="inlineStr">
        <is>
          <t>T1547</t>
        </is>
      </c>
      <c r="B390" s="74" t="inlineStr">
        <is>
          <t>T1547.002</t>
        </is>
      </c>
      <c r="C390" s="13" t="inlineStr">
        <is>
          <t>Authentication Package (T1547.002)</t>
        </is>
      </c>
      <c r="D390" s="13" t="inlineStr">
        <is>
          <t>persistence|privilege-escalation</t>
        </is>
      </c>
      <c r="E390" s="13" t="inlineStr">
        <is>
          <t>Module: Module Load|Windows Registry: Windows Registry Key Modification</t>
        </is>
      </c>
      <c r="F390" s="74" t="n">
        <v>2</v>
      </c>
      <c r="G390" s="72">
        <f t="array" ref="G390">SUM(IF(ISERROR(FIND(sources[data source],techniques[[#This Row],[data sources]])),0,1)*IF(sources[available]="yes",1,0))</f>
        <v/>
      </c>
      <c r="H390" s="73">
        <f t="array" ref="H390">IF(techniques[[#This Row],[technique]]=techniques[[#This Row],[id]],SUM(IF(techniques[[#This Row],[id]]=techniques[technique],1,0))-1,"")</f>
        <v/>
      </c>
      <c r="I390" s="74">
        <f t="array" ref="I390">IF(SUM(IF($C390=detections[],IF(detections[is active]="yes",1,0),0))&gt;0,SUM(IF($C390=detections[],IF(detections[is active]="yes",1,0),0)),"")</f>
        <v/>
      </c>
      <c r="J390" s="74">
        <f t="array" ref="J39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90" s="74">
        <f>IF(AND(ISNUMBER(techniques[[#This Row],[number of sub techniques]]),techniques[[#This Row],[number of sub techniques]]&gt;1),techniques[number of sub techniques],1)</f>
        <v/>
      </c>
      <c r="L390" s="72" t="n"/>
      <c r="M390" s="74">
        <f t="array" ref="M39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9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90" s="26">
        <f>IF(techniques[[#This Row],[detection rules]]&gt;=techniques[[#This Row],[expected detection rules]],1,techniques[[#This Row],[detection rules]]/techniques[[#This Row],[expected detection rules]])</f>
        <v/>
      </c>
      <c r="P39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90" s="29">
        <f>IF(ISERROR(SEARCH(techniques[[#This Row],[id]],techniques[[#This Row],[name]])),"ERROR","")</f>
        <v/>
      </c>
      <c r="S39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91" ht="12.75" customHeight="1">
      <c r="A391" s="74" t="inlineStr">
        <is>
          <t>T1547</t>
        </is>
      </c>
      <c r="B391" s="74" t="inlineStr">
        <is>
          <t>T1547.003</t>
        </is>
      </c>
      <c r="C391" s="13" t="inlineStr">
        <is>
          <t>Time Providers (T1547.003)</t>
        </is>
      </c>
      <c r="D391" s="13" t="inlineStr">
        <is>
          <t>persistence|privilege-escalation</t>
        </is>
      </c>
      <c r="E391" s="13" t="inlineStr">
        <is>
          <t>File: File Creation|Module: Module Load|Process: Process Creation|Windows Registry: Windows Registry Key Modification</t>
        </is>
      </c>
      <c r="F391" s="74" t="n">
        <v>4</v>
      </c>
      <c r="G391" s="72">
        <f t="array" ref="G391">SUM(IF(ISERROR(FIND(sources[data source],techniques[[#This Row],[data sources]])),0,1)*IF(sources[available]="yes",1,0))</f>
        <v/>
      </c>
      <c r="H391" s="73">
        <f t="array" ref="H391">IF(techniques[[#This Row],[technique]]=techniques[[#This Row],[id]],SUM(IF(techniques[[#This Row],[id]]=techniques[technique],1,0))-1,"")</f>
        <v/>
      </c>
      <c r="I391" s="74">
        <f t="array" ref="I391">IF(SUM(IF($C391=detections[],IF(detections[is active]="yes",1,0),0))&gt;0,SUM(IF($C391=detections[],IF(detections[is active]="yes",1,0),0)),"")</f>
        <v/>
      </c>
      <c r="J391" s="74">
        <f t="array" ref="J39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91" s="74">
        <f>IF(AND(ISNUMBER(techniques[[#This Row],[number of sub techniques]]),techniques[[#This Row],[number of sub techniques]]&gt;1),techniques[number of sub techniques],1)</f>
        <v/>
      </c>
      <c r="L391" s="72" t="n"/>
      <c r="M391" s="74">
        <f t="array" ref="M39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9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91" s="26">
        <f>IF(techniques[[#This Row],[detection rules]]&gt;=techniques[[#This Row],[expected detection rules]],1,techniques[[#This Row],[detection rules]]/techniques[[#This Row],[expected detection rules]])</f>
        <v/>
      </c>
      <c r="P39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91" s="29">
        <f>IF(ISERROR(SEARCH(techniques[[#This Row],[id]],techniques[[#This Row],[name]])),"ERROR","")</f>
        <v/>
      </c>
      <c r="S39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92" ht="12.75" customHeight="1">
      <c r="A392" s="74" t="inlineStr">
        <is>
          <t>T1547</t>
        </is>
      </c>
      <c r="B392" s="74" t="inlineStr">
        <is>
          <t>T1547.004</t>
        </is>
      </c>
      <c r="C392" s="13" t="inlineStr">
        <is>
          <t>Winlogon Helper DLL (T1547.004)</t>
        </is>
      </c>
      <c r="D392" s="13" t="inlineStr">
        <is>
          <t>persistence|privilege-escalation</t>
        </is>
      </c>
      <c r="E392" s="13" t="inlineStr">
        <is>
          <t>Module: Module Load|Process: Process Creation|Windows Registry: Windows Registry Key Access|Windows Registry: Windows Registry Key Modification</t>
        </is>
      </c>
      <c r="F392" s="74" t="n">
        <v>4</v>
      </c>
      <c r="G392" s="72">
        <f t="array" ref="G392">SUM(IF(ISERROR(FIND(sources[data source],techniques[[#This Row],[data sources]])),0,1)*IF(sources[available]="yes",1,0))</f>
        <v/>
      </c>
      <c r="H392" s="73">
        <f t="array" ref="H392">IF(techniques[[#This Row],[technique]]=techniques[[#This Row],[id]],SUM(IF(techniques[[#This Row],[id]]=techniques[technique],1,0))-1,"")</f>
        <v/>
      </c>
      <c r="I392" s="74">
        <f t="array" ref="I392">IF(SUM(IF($C392=detections[],IF(detections[is active]="yes",1,0),0))&gt;0,SUM(IF($C392=detections[],IF(detections[is active]="yes",1,0),0)),"")</f>
        <v/>
      </c>
      <c r="J392" s="74">
        <f t="array" ref="J39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92" s="74">
        <f>IF(AND(ISNUMBER(techniques[[#This Row],[number of sub techniques]]),techniques[[#This Row],[number of sub techniques]]&gt;1),techniques[number of sub techniques],1)</f>
        <v/>
      </c>
      <c r="L392" s="72" t="n"/>
      <c r="M392" s="74">
        <f t="array" ref="M39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9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92" s="26">
        <f>IF(techniques[[#This Row],[detection rules]]&gt;=techniques[[#This Row],[expected detection rules]],1,techniques[[#This Row],[detection rules]]/techniques[[#This Row],[expected detection rules]])</f>
        <v/>
      </c>
      <c r="P39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92" s="29">
        <f>IF(ISERROR(SEARCH(techniques[[#This Row],[id]],techniques[[#This Row],[name]])),"ERROR","")</f>
        <v/>
      </c>
      <c r="S39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93" ht="12.75" customHeight="1">
      <c r="A393" s="74" t="inlineStr">
        <is>
          <t>T1547</t>
        </is>
      </c>
      <c r="B393" s="74" t="inlineStr">
        <is>
          <t>T1547.005</t>
        </is>
      </c>
      <c r="C393" s="13" t="inlineStr">
        <is>
          <t>Security Support Provider (T1547.005)</t>
        </is>
      </c>
      <c r="D393" s="13" t="inlineStr">
        <is>
          <t>persistence|privilege-escalation</t>
        </is>
      </c>
      <c r="E393" s="13" t="inlineStr">
        <is>
          <t>Module: Module Load|Process: Process Creation|Windows Registry: Windows Registry Key Modification</t>
        </is>
      </c>
      <c r="F393" s="74" t="n">
        <v>3</v>
      </c>
      <c r="G393" s="72">
        <f t="array" ref="G393">SUM(IF(ISERROR(FIND(sources[data source],techniques[[#This Row],[data sources]])),0,1)*IF(sources[available]="yes",1,0))</f>
        <v/>
      </c>
      <c r="H393" s="73">
        <f t="array" ref="H393">IF(techniques[[#This Row],[technique]]=techniques[[#This Row],[id]],SUM(IF(techniques[[#This Row],[id]]=techniques[technique],1,0))-1,"")</f>
        <v/>
      </c>
      <c r="I393" s="74">
        <f t="array" ref="I393">IF(SUM(IF($C393=detections[],IF(detections[is active]="yes",1,0),0))&gt;0,SUM(IF($C393=detections[],IF(detections[is active]="yes",1,0),0)),"")</f>
        <v/>
      </c>
      <c r="J393" s="74">
        <f t="array" ref="J39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93" s="74">
        <f>IF(AND(ISNUMBER(techniques[[#This Row],[number of sub techniques]]),techniques[[#This Row],[number of sub techniques]]&gt;1),techniques[number of sub techniques],1)</f>
        <v/>
      </c>
      <c r="L393" s="72" t="n"/>
      <c r="M393" s="74">
        <f t="array" ref="M39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9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93" s="26">
        <f>IF(techniques[[#This Row],[detection rules]]&gt;=techniques[[#This Row],[expected detection rules]],1,techniques[[#This Row],[detection rules]]/techniques[[#This Row],[expected detection rules]])</f>
        <v/>
      </c>
      <c r="P39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93" s="29">
        <f>IF(ISERROR(SEARCH(techniques[[#This Row],[id]],techniques[[#This Row],[name]])),"ERROR","")</f>
        <v/>
      </c>
      <c r="S39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94" ht="12.75" customHeight="1">
      <c r="A394" s="74" t="inlineStr">
        <is>
          <t>T1547</t>
        </is>
      </c>
      <c r="B394" s="74" t="inlineStr">
        <is>
          <t>T1547.006</t>
        </is>
      </c>
      <c r="C394" s="13" t="inlineStr">
        <is>
          <t>Kernel Modules and Extensions (T1547.006)</t>
        </is>
      </c>
      <c r="D394" s="13" t="inlineStr">
        <is>
          <t>persistence|privilege-escalation</t>
        </is>
      </c>
      <c r="E394" s="13" t="inlineStr">
        <is>
          <t>Command: Command Execution|File: File Creation|File: File Modification|Kernel: Kernel Module Load|Process: Process Creation</t>
        </is>
      </c>
      <c r="F394" s="74" t="n">
        <v>5</v>
      </c>
      <c r="G394" s="72">
        <f t="array" ref="G394">SUM(IF(ISERROR(FIND(sources[data source],techniques[[#This Row],[data sources]])),0,1)*IF(sources[available]="yes",1,0))</f>
        <v/>
      </c>
      <c r="H394" s="73">
        <f t="array" ref="H394">IF(techniques[[#This Row],[technique]]=techniques[[#This Row],[id]],SUM(IF(techniques[[#This Row],[id]]=techniques[technique],1,0))-1,"")</f>
        <v/>
      </c>
      <c r="I394" s="74">
        <f t="array" ref="I394">IF(SUM(IF($C394=detections[],IF(detections[is active]="yes",1,0),0))&gt;0,SUM(IF($C394=detections[],IF(detections[is active]="yes",1,0),0)),"")</f>
        <v/>
      </c>
      <c r="J394" s="74">
        <f t="array" ref="J39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94" s="74">
        <f>IF(AND(ISNUMBER(techniques[[#This Row],[number of sub techniques]]),techniques[[#This Row],[number of sub techniques]]&gt;1),techniques[number of sub techniques],1)</f>
        <v/>
      </c>
      <c r="L394" s="72" t="n"/>
      <c r="M394" s="74">
        <f t="array" ref="M39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9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94" s="26">
        <f>IF(techniques[[#This Row],[detection rules]]&gt;=techniques[[#This Row],[expected detection rules]],1,techniques[[#This Row],[detection rules]]/techniques[[#This Row],[expected detection rules]])</f>
        <v/>
      </c>
      <c r="P39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94" s="29">
        <f>IF(ISERROR(SEARCH(techniques[[#This Row],[id]],techniques[[#This Row],[name]])),"ERROR","")</f>
        <v/>
      </c>
      <c r="S39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95" ht="12.75" customHeight="1">
      <c r="A395" s="74" t="inlineStr">
        <is>
          <t>T1547</t>
        </is>
      </c>
      <c r="B395" s="74" t="inlineStr">
        <is>
          <t>T1547.007</t>
        </is>
      </c>
      <c r="C395" s="13" t="inlineStr">
        <is>
          <t>Re-opened Applications (T1547.007)</t>
        </is>
      </c>
      <c r="D395" s="13" t="inlineStr">
        <is>
          <t>persistence|privilege-escalation</t>
        </is>
      </c>
      <c r="E395" s="13" t="inlineStr">
        <is>
          <t>File: File Metadata|File: File Modification|Logon Session: Logon Session Metadata|Process: Process Creation</t>
        </is>
      </c>
      <c r="F395" s="74" t="n">
        <v>4</v>
      </c>
      <c r="G395" s="72">
        <f t="array" ref="G395">SUM(IF(ISERROR(FIND(sources[data source],techniques[[#This Row],[data sources]])),0,1)*IF(sources[available]="yes",1,0))</f>
        <v/>
      </c>
      <c r="H395" s="73">
        <f t="array" ref="H395">IF(techniques[[#This Row],[technique]]=techniques[[#This Row],[id]],SUM(IF(techniques[[#This Row],[id]]=techniques[technique],1,0))-1,"")</f>
        <v/>
      </c>
      <c r="I395" s="74">
        <f t="array" ref="I395">IF(SUM(IF($C395=detections[],IF(detections[is active]="yes",1,0),0))&gt;0,SUM(IF($C395=detections[],IF(detections[is active]="yes",1,0),0)),"")</f>
        <v/>
      </c>
      <c r="J395" s="74">
        <f t="array" ref="J39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95" s="74">
        <f>IF(AND(ISNUMBER(techniques[[#This Row],[number of sub techniques]]),techniques[[#This Row],[number of sub techniques]]&gt;1),techniques[number of sub techniques],1)</f>
        <v/>
      </c>
      <c r="L395" s="72" t="n"/>
      <c r="M395" s="74">
        <f t="array" ref="M39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9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95" s="26">
        <f>IF(techniques[[#This Row],[detection rules]]&gt;=techniques[[#This Row],[expected detection rules]],1,techniques[[#This Row],[detection rules]]/techniques[[#This Row],[expected detection rules]])</f>
        <v/>
      </c>
      <c r="P39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95" s="29">
        <f>IF(ISERROR(SEARCH(techniques[[#This Row],[id]],techniques[[#This Row],[name]])),"ERROR","")</f>
        <v/>
      </c>
      <c r="S39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96" ht="12.75" customHeight="1">
      <c r="A396" s="74" t="inlineStr">
        <is>
          <t>T1547</t>
        </is>
      </c>
      <c r="B396" s="74" t="inlineStr">
        <is>
          <t>T1547.008</t>
        </is>
      </c>
      <c r="C396" s="13" t="inlineStr">
        <is>
          <t>LSASS Driver (T1547.008)</t>
        </is>
      </c>
      <c r="D396" s="13" t="inlineStr">
        <is>
          <t>persistence|privilege-escalation</t>
        </is>
      </c>
      <c r="E396" s="13" t="inlineStr">
        <is>
          <t>Driver: Driver Load|File: File Creation|File: File Modification|Module: Module Load|Windows Registry: Windows Registry Key Creation|Windows Registry: Windows Registry Key Modification</t>
        </is>
      </c>
      <c r="F396" s="74" t="n">
        <v>6</v>
      </c>
      <c r="G396" s="72">
        <f t="array" ref="G396">SUM(IF(ISERROR(FIND(sources[data source],techniques[[#This Row],[data sources]])),0,1)*IF(sources[available]="yes",1,0))</f>
        <v/>
      </c>
      <c r="H396" s="73">
        <f t="array" ref="H396">IF(techniques[[#This Row],[technique]]=techniques[[#This Row],[id]],SUM(IF(techniques[[#This Row],[id]]=techniques[technique],1,0))-1,"")</f>
        <v/>
      </c>
      <c r="I396" s="74">
        <f t="array" ref="I396">IF(SUM(IF($C396=detections[],IF(detections[is active]="yes",1,0),0))&gt;0,SUM(IF($C396=detections[],IF(detections[is active]="yes",1,0),0)),"")</f>
        <v/>
      </c>
      <c r="J396" s="74">
        <f t="array" ref="J39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96" s="74">
        <f>IF(AND(ISNUMBER(techniques[[#This Row],[number of sub techniques]]),techniques[[#This Row],[number of sub techniques]]&gt;1),techniques[number of sub techniques],1)</f>
        <v/>
      </c>
      <c r="L396" s="72" t="n"/>
      <c r="M396" s="74">
        <f t="array" ref="M39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9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96" s="26">
        <f>IF(techniques[[#This Row],[detection rules]]&gt;=techniques[[#This Row],[expected detection rules]],1,techniques[[#This Row],[detection rules]]/techniques[[#This Row],[expected detection rules]])</f>
        <v/>
      </c>
      <c r="P39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96" s="29">
        <f>IF(ISERROR(SEARCH(techniques[[#This Row],[id]],techniques[[#This Row],[name]])),"ERROR","")</f>
        <v/>
      </c>
      <c r="S39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97" ht="12.75" customHeight="1">
      <c r="A397" s="74" t="inlineStr">
        <is>
          <t>T1547</t>
        </is>
      </c>
      <c r="B397" s="74" t="inlineStr">
        <is>
          <t>T1547.009</t>
        </is>
      </c>
      <c r="C397" s="13" t="inlineStr">
        <is>
          <t>Shortcut Modification (T1547.009)</t>
        </is>
      </c>
      <c r="D397" s="13" t="inlineStr">
        <is>
          <t>persistence|privilege-escalation</t>
        </is>
      </c>
      <c r="E397" s="13" t="inlineStr">
        <is>
          <t>File: File Creation|File: File Metadata|File: File Modification|Process: Process Creation</t>
        </is>
      </c>
      <c r="F397" s="74" t="n">
        <v>4</v>
      </c>
      <c r="G397" s="72">
        <f t="array" ref="G397">SUM(IF(ISERROR(FIND(sources[data source],techniques[[#This Row],[data sources]])),0,1)*IF(sources[available]="yes",1,0))</f>
        <v/>
      </c>
      <c r="H397" s="73">
        <f t="array" ref="H397">IF(techniques[[#This Row],[technique]]=techniques[[#This Row],[id]],SUM(IF(techniques[[#This Row],[id]]=techniques[technique],1,0))-1,"")</f>
        <v/>
      </c>
      <c r="I397" s="74">
        <f t="array" ref="I397">IF(SUM(IF($C397=detections[],IF(detections[is active]="yes",1,0),0))&gt;0,SUM(IF($C397=detections[],IF(detections[is active]="yes",1,0),0)),"")</f>
        <v/>
      </c>
      <c r="J397" s="74">
        <f t="array" ref="J39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97" s="74">
        <f>IF(AND(ISNUMBER(techniques[[#This Row],[number of sub techniques]]),techniques[[#This Row],[number of sub techniques]]&gt;1),techniques[number of sub techniques],1)</f>
        <v/>
      </c>
      <c r="L397" s="72" t="n"/>
      <c r="M397" s="74">
        <f t="array" ref="M39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9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97" s="26">
        <f>IF(techniques[[#This Row],[detection rules]]&gt;=techniques[[#This Row],[expected detection rules]],1,techniques[[#This Row],[detection rules]]/techniques[[#This Row],[expected detection rules]])</f>
        <v/>
      </c>
      <c r="P39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97" s="29">
        <f>IF(ISERROR(SEARCH(techniques[[#This Row],[id]],techniques[[#This Row],[name]])),"ERROR","")</f>
        <v/>
      </c>
      <c r="S39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98" ht="12.75" customHeight="1">
      <c r="A398" s="74" t="inlineStr">
        <is>
          <t>T1547</t>
        </is>
      </c>
      <c r="B398" s="74" t="inlineStr">
        <is>
          <t>T1547.010</t>
        </is>
      </c>
      <c r="C398" s="13" t="inlineStr">
        <is>
          <t>Port Monitors (T1547.010)</t>
        </is>
      </c>
      <c r="D398" s="13" t="inlineStr">
        <is>
          <t>persistence|privilege-escalation</t>
        </is>
      </c>
      <c r="E398" s="13" t="inlineStr">
        <is>
          <t>File: File Creation|Module: Module Load|Process: OS API Execution|Process: Process Creation|Windows Registry: Windows Registry Key Modification</t>
        </is>
      </c>
      <c r="F398" s="74" t="n">
        <v>5</v>
      </c>
      <c r="G398" s="72">
        <f t="array" ref="G398">SUM(IF(ISERROR(FIND(sources[data source],techniques[[#This Row],[data sources]])),0,1)*IF(sources[available]="yes",1,0))</f>
        <v/>
      </c>
      <c r="H398" s="73">
        <f t="array" ref="H398">IF(techniques[[#This Row],[technique]]=techniques[[#This Row],[id]],SUM(IF(techniques[[#This Row],[id]]=techniques[technique],1,0))-1,"")</f>
        <v/>
      </c>
      <c r="I398" s="74">
        <f t="array" ref="I398">IF(SUM(IF($C398=detections[],IF(detections[is active]="yes",1,0),0))&gt;0,SUM(IF($C398=detections[],IF(detections[is active]="yes",1,0),0)),"")</f>
        <v/>
      </c>
      <c r="J398" s="74">
        <f t="array" ref="J39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98" s="74">
        <f>IF(AND(ISNUMBER(techniques[[#This Row],[number of sub techniques]]),techniques[[#This Row],[number of sub techniques]]&gt;1),techniques[number of sub techniques],1)</f>
        <v/>
      </c>
      <c r="L398" s="72" t="n"/>
      <c r="M398" s="74">
        <f t="array" ref="M39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9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98" s="26">
        <f>IF(techniques[[#This Row],[detection rules]]&gt;=techniques[[#This Row],[expected detection rules]],1,techniques[[#This Row],[detection rules]]/techniques[[#This Row],[expected detection rules]])</f>
        <v/>
      </c>
      <c r="P39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98" s="29">
        <f>IF(ISERROR(SEARCH(techniques[[#This Row],[id]],techniques[[#This Row],[name]])),"ERROR","")</f>
        <v/>
      </c>
      <c r="S39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399" ht="12.75" customHeight="1">
      <c r="A399" s="74" t="inlineStr">
        <is>
          <t>T1547</t>
        </is>
      </c>
      <c r="B399" s="74" t="inlineStr">
        <is>
          <t>T1547.012</t>
        </is>
      </c>
      <c r="C399" s="13" t="inlineStr">
        <is>
          <t>Print Processors (T1547.012)</t>
        </is>
      </c>
      <c r="D399" s="13" t="inlineStr">
        <is>
          <t>persistence|privilege-escalation</t>
        </is>
      </c>
      <c r="E399" s="13" t="inlineStr">
        <is>
          <t>File: File Creation|Module: Module Load|Process: Process Access|Windows Registry: Windows Registry Key Modification</t>
        </is>
      </c>
      <c r="F399" s="74" t="n">
        <v>4</v>
      </c>
      <c r="G399" s="72">
        <f t="array" ref="G399">SUM(IF(ISERROR(FIND(sources[data source],techniques[[#This Row],[data sources]])),0,1)*IF(sources[available]="yes",1,0))</f>
        <v/>
      </c>
      <c r="H399" s="73">
        <f t="array" ref="H399">IF(techniques[[#This Row],[technique]]=techniques[[#This Row],[id]],SUM(IF(techniques[[#This Row],[id]]=techniques[technique],1,0))-1,"")</f>
        <v/>
      </c>
      <c r="I399" s="74">
        <f t="array" ref="I399">IF(SUM(IF($C399=detections[],IF(detections[is active]="yes",1,0),0))&gt;0,SUM(IF($C399=detections[],IF(detections[is active]="yes",1,0),0)),"")</f>
        <v/>
      </c>
      <c r="J399" s="74">
        <f t="array" ref="J39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399" s="74">
        <f>IF(AND(ISNUMBER(techniques[[#This Row],[number of sub techniques]]),techniques[[#This Row],[number of sub techniques]]&gt;1),techniques[number of sub techniques],1)</f>
        <v/>
      </c>
      <c r="L399" s="72" t="n"/>
      <c r="M399" s="74">
        <f t="array" ref="M39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39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399" s="26">
        <f>IF(techniques[[#This Row],[detection rules]]&gt;=techniques[[#This Row],[expected detection rules]],1,techniques[[#This Row],[detection rules]]/techniques[[#This Row],[expected detection rules]])</f>
        <v/>
      </c>
      <c r="P39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399" s="29">
        <f>IF(ISERROR(SEARCH(techniques[[#This Row],[id]],techniques[[#This Row],[name]])),"ERROR","")</f>
        <v/>
      </c>
      <c r="S39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00" ht="12.75" customHeight="1">
      <c r="A400" s="74" t="inlineStr">
        <is>
          <t>T1547</t>
        </is>
      </c>
      <c r="B400" s="74" t="inlineStr">
        <is>
          <t>T1547.013</t>
        </is>
      </c>
      <c r="C400" s="13" t="inlineStr">
        <is>
          <t>XDG Autostart Entries (T1547.013)</t>
        </is>
      </c>
      <c r="D400" s="13" t="inlineStr">
        <is>
          <t>persistence|privilege-escalation</t>
        </is>
      </c>
      <c r="E400" s="13" t="inlineStr">
        <is>
          <t>File: File Access|File: File Creation|File: File Metadata|Logon Session: Logon Session Creation|Process: Process Creation</t>
        </is>
      </c>
      <c r="F400" s="74" t="n">
        <v>5</v>
      </c>
      <c r="G400" s="72">
        <f t="array" ref="G400">SUM(IF(ISERROR(FIND(sources[data source],techniques[[#This Row],[data sources]])),0,1)*IF(sources[available]="yes",1,0))</f>
        <v/>
      </c>
      <c r="H400" s="73">
        <f t="array" ref="H400">IF(techniques[[#This Row],[technique]]=techniques[[#This Row],[id]],SUM(IF(techniques[[#This Row],[id]]=techniques[technique],1,0))-1,"")</f>
        <v/>
      </c>
      <c r="I400" s="74">
        <f t="array" ref="I400">IF(SUM(IF($C400=detections[],IF(detections[is active]="yes",1,0),0))&gt;0,SUM(IF($C400=detections[],IF(detections[is active]="yes",1,0),0)),"")</f>
        <v/>
      </c>
      <c r="J400" s="74">
        <f t="array" ref="J40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00" s="74">
        <f>IF(AND(ISNUMBER(techniques[[#This Row],[number of sub techniques]]),techniques[[#This Row],[number of sub techniques]]&gt;1),techniques[number of sub techniques],1)</f>
        <v/>
      </c>
      <c r="L400" s="72" t="n"/>
      <c r="M400" s="74">
        <f t="array" ref="M40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0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00" s="26">
        <f>IF(techniques[[#This Row],[detection rules]]&gt;=techniques[[#This Row],[expected detection rules]],1,techniques[[#This Row],[detection rules]]/techniques[[#This Row],[expected detection rules]])</f>
        <v/>
      </c>
      <c r="P40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00" s="29">
        <f>IF(ISERROR(SEARCH(techniques[[#This Row],[id]],techniques[[#This Row],[name]])),"ERROR","")</f>
        <v/>
      </c>
      <c r="S40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01" ht="12.75" customHeight="1">
      <c r="A401" s="74" t="inlineStr">
        <is>
          <t>T1547</t>
        </is>
      </c>
      <c r="B401" s="74" t="inlineStr">
        <is>
          <t>T1547.014</t>
        </is>
      </c>
      <c r="C401" s="13" t="inlineStr">
        <is>
          <t>Active Setup (T1547.014)</t>
        </is>
      </c>
      <c r="D401" s="13" t="inlineStr">
        <is>
          <t>persistence|privilege-escalation</t>
        </is>
      </c>
      <c r="E401" s="13" t="inlineStr">
        <is>
          <t>Logon Session: Logon Session Metadata|Process: Process Creation|Windows Registry: Windows Registry Key Creation|Windows Registry: Windows Registry Key Modification</t>
        </is>
      </c>
      <c r="F401" s="74" t="n">
        <v>4</v>
      </c>
      <c r="G401" s="72">
        <f t="array" ref="G401">SUM(IF(ISERROR(FIND(sources[data source],techniques[[#This Row],[data sources]])),0,1)*IF(sources[available]="yes",1,0))</f>
        <v/>
      </c>
      <c r="H401" s="73">
        <f t="array" ref="H401">IF(techniques[[#This Row],[technique]]=techniques[[#This Row],[id]],SUM(IF(techniques[[#This Row],[id]]=techniques[technique],1,0))-1,"")</f>
        <v/>
      </c>
      <c r="I401" s="74">
        <f t="array" ref="I401">IF(SUM(IF($C401=detections[],IF(detections[is active]="yes",1,0),0))&gt;0,SUM(IF($C401=detections[],IF(detections[is active]="yes",1,0),0)),"")</f>
        <v/>
      </c>
      <c r="J401" s="74">
        <f t="array" ref="J40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01" s="74">
        <f>IF(AND(ISNUMBER(techniques[[#This Row],[number of sub techniques]]),techniques[[#This Row],[number of sub techniques]]&gt;1),techniques[number of sub techniques],1)</f>
        <v/>
      </c>
      <c r="L401" s="72" t="n"/>
      <c r="M401" s="74">
        <f t="array" ref="M40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0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01" s="26">
        <f>IF(techniques[[#This Row],[detection rules]]&gt;=techniques[[#This Row],[expected detection rules]],1,techniques[[#This Row],[detection rules]]/techniques[[#This Row],[expected detection rules]])</f>
        <v/>
      </c>
      <c r="P40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01" s="29">
        <f>IF(ISERROR(SEARCH(techniques[[#This Row],[id]],techniques[[#This Row],[name]])),"ERROR","")</f>
        <v/>
      </c>
      <c r="S40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02" ht="12.75" customHeight="1">
      <c r="A402" s="74" t="inlineStr">
        <is>
          <t>T1547</t>
        </is>
      </c>
      <c r="B402" s="74" t="inlineStr">
        <is>
          <t>T1547.015</t>
        </is>
      </c>
      <c r="C402" s="13" t="inlineStr">
        <is>
          <t>Login Items (T1547.015)</t>
        </is>
      </c>
      <c r="D402" s="13" t="inlineStr">
        <is>
          <t>persistence|privilege-escalation</t>
        </is>
      </c>
      <c r="E402" s="13" t="inlineStr">
        <is>
          <t>File: File Modification|Process: OS API Execution|Process: Process Creation|Script: Script Execution</t>
        </is>
      </c>
      <c r="F402" s="74" t="n">
        <v>4</v>
      </c>
      <c r="G402" s="72">
        <f t="array" ref="G402">SUM(IF(ISERROR(FIND(sources[data source],techniques[[#This Row],[data sources]])),0,1)*IF(sources[available]="yes",1,0))</f>
        <v/>
      </c>
      <c r="H402" s="73">
        <f t="array" ref="H402">IF(techniques[[#This Row],[technique]]=techniques[[#This Row],[id]],SUM(IF(techniques[[#This Row],[id]]=techniques[technique],1,0))-1,"")</f>
        <v/>
      </c>
      <c r="I402" s="74">
        <f t="array" ref="I402">IF(SUM(IF($C402=detections[],IF(detections[is active]="yes",1,0),0))&gt;0,SUM(IF($C402=detections[],IF(detections[is active]="yes",1,0),0)),"")</f>
        <v/>
      </c>
      <c r="J402" s="74">
        <f t="array" ref="J40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02" s="74">
        <f>IF(AND(ISNUMBER(techniques[[#This Row],[number of sub techniques]]),techniques[[#This Row],[number of sub techniques]]&gt;1),techniques[number of sub techniques],1)</f>
        <v/>
      </c>
      <c r="L402" s="72" t="n"/>
      <c r="M402" s="74">
        <f t="array" ref="M40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0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02" s="26">
        <f>IF(techniques[[#This Row],[detection rules]]&gt;=techniques[[#This Row],[expected detection rules]],1,techniques[[#This Row],[detection rules]]/techniques[[#This Row],[expected detection rules]])</f>
        <v/>
      </c>
      <c r="P40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02" s="29">
        <f>IF(ISERROR(SEARCH(techniques[[#This Row],[id]],techniques[[#This Row],[name]])),"ERROR","")</f>
        <v/>
      </c>
      <c r="S40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03" ht="12.75" customHeight="1">
      <c r="A403" s="74" t="inlineStr">
        <is>
          <t>T1548</t>
        </is>
      </c>
      <c r="B403" s="74" t="inlineStr">
        <is>
          <t>T1548</t>
        </is>
      </c>
      <c r="C403" s="13" t="inlineStr">
        <is>
          <t>Abuse Elevation Control Mechanism (T1548)</t>
        </is>
      </c>
      <c r="D403" s="13" t="inlineStr">
        <is>
          <t>privilege-escalation</t>
        </is>
      </c>
      <c r="E403" s="13" t="inlineStr">
        <is>
          <t>File: File Metadata|Logon Session: Logon Session Metadata|Process: OS API Execution|Process: Process Creation|Process: Process Metadata|User Account: User Account Modification|Windows Registry: Windows Registry Key Modification</t>
        </is>
      </c>
      <c r="F403" s="74" t="n">
        <v>7</v>
      </c>
      <c r="G403" s="72">
        <f t="array" ref="G403">SUM(IF(ISERROR(FIND(sources[data source],techniques[[#This Row],[data sources]])),0,1)*IF(sources[available]="yes",1,0))</f>
        <v/>
      </c>
      <c r="H403" s="73">
        <f t="array" ref="H403">IF(techniques[[#This Row],[technique]]=techniques[[#This Row],[id]],SUM(IF(techniques[[#This Row],[id]]=techniques[technique],1,0))-1,"")</f>
        <v/>
      </c>
      <c r="I403" s="74">
        <f t="array" ref="I403">IF(SUM(IF($C403=detections[],IF(detections[is active]="yes",1,0),0))&gt;0,SUM(IF($C403=detections[],IF(detections[is active]="yes",1,0),0)),"")</f>
        <v/>
      </c>
      <c r="J403" s="74">
        <f t="array" ref="J40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03" s="74">
        <f>IF(AND(ISNUMBER(techniques[[#This Row],[number of sub techniques]]),techniques[[#This Row],[number of sub techniques]]&gt;1),techniques[number of sub techniques],1)</f>
        <v/>
      </c>
      <c r="L403" s="72" t="n"/>
      <c r="M403" s="74">
        <f t="array" ref="M40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0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03" s="26">
        <f>IF(techniques[[#This Row],[detection rules]]&gt;=techniques[[#This Row],[expected detection rules]],1,techniques[[#This Row],[detection rules]]/techniques[[#This Row],[expected detection rules]])</f>
        <v/>
      </c>
      <c r="P40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03" s="29">
        <f>IF(ISERROR(SEARCH(techniques[[#This Row],[id]],techniques[[#This Row],[name]])),"ERROR","")</f>
        <v/>
      </c>
      <c r="S40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04" ht="12.75" customHeight="1">
      <c r="A404" s="74" t="inlineStr">
        <is>
          <t>T1548</t>
        </is>
      </c>
      <c r="B404" s="74" t="inlineStr">
        <is>
          <t>T1548.001</t>
        </is>
      </c>
      <c r="C404" s="13" t="inlineStr">
        <is>
          <t>Setuid and Setgid (T1548.001)</t>
        </is>
      </c>
      <c r="D404" s="13" t="inlineStr">
        <is>
          <t>privilege-escalation</t>
        </is>
      </c>
      <c r="E404" s="13" t="inlineStr">
        <is>
          <t>Command: Command Execution|Process: Process Creation|Process: Process Metadata</t>
        </is>
      </c>
      <c r="F404" s="74" t="n">
        <v>3</v>
      </c>
      <c r="G404" s="72">
        <f t="array" ref="G404">SUM(IF(ISERROR(FIND(sources[data source],techniques[[#This Row],[data sources]])),0,1)*IF(sources[available]="yes",1,0))</f>
        <v/>
      </c>
      <c r="H404" s="73">
        <f t="array" ref="H404">IF(techniques[[#This Row],[technique]]=techniques[[#This Row],[id]],SUM(IF(techniques[[#This Row],[id]]=techniques[technique],1,0))-1,"")</f>
        <v/>
      </c>
      <c r="I404" s="74">
        <f t="array" ref="I404">IF(SUM(IF($C404=detections[],IF(detections[is active]="yes",1,0),0))&gt;0,SUM(IF($C404=detections[],IF(detections[is active]="yes",1,0),0)),"")</f>
        <v/>
      </c>
      <c r="J404" s="74">
        <f t="array" ref="J40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04" s="74">
        <f>IF(AND(ISNUMBER(techniques[[#This Row],[number of sub techniques]]),techniques[[#This Row],[number of sub techniques]]&gt;1),techniques[number of sub techniques],1)</f>
        <v/>
      </c>
      <c r="L404" s="72" t="n"/>
      <c r="M404" s="74">
        <f t="array" ref="M40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0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04" s="26">
        <f>IF(techniques[[#This Row],[detection rules]]&gt;=techniques[[#This Row],[expected detection rules]],1,techniques[[#This Row],[detection rules]]/techniques[[#This Row],[expected detection rules]])</f>
        <v/>
      </c>
      <c r="P40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04" s="29">
        <f>IF(ISERROR(SEARCH(techniques[[#This Row],[id]],techniques[[#This Row],[name]])),"ERROR","")</f>
        <v/>
      </c>
      <c r="S40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05" ht="12.75" customHeight="1">
      <c r="A405" s="74" t="inlineStr">
        <is>
          <t>T1548</t>
        </is>
      </c>
      <c r="B405" s="74" t="inlineStr">
        <is>
          <t>T1548.002</t>
        </is>
      </c>
      <c r="C405" s="13" t="inlineStr">
        <is>
          <t>Bypass User Account Control (T1548.002)</t>
        </is>
      </c>
      <c r="D405" s="13" t="inlineStr">
        <is>
          <t>privilege-escalation</t>
        </is>
      </c>
      <c r="E405" s="13" t="inlineStr">
        <is>
          <t>Logon Session: Logon Session Metadata|Module: Module Load|Process: Process Access|Process: Process Creation|Windows Registry: Windows Registry Key Modification</t>
        </is>
      </c>
      <c r="F405" s="74" t="n">
        <v>5</v>
      </c>
      <c r="G405" s="72">
        <f t="array" ref="G405">SUM(IF(ISERROR(FIND(sources[data source],techniques[[#This Row],[data sources]])),0,1)*IF(sources[available]="yes",1,0))</f>
        <v/>
      </c>
      <c r="H405" s="73">
        <f t="array" ref="H405">IF(techniques[[#This Row],[technique]]=techniques[[#This Row],[id]],SUM(IF(techniques[[#This Row],[id]]=techniques[technique],1,0))-1,"")</f>
        <v/>
      </c>
      <c r="I405" s="74">
        <f t="array" ref="I405">IF(SUM(IF($C405=detections[],IF(detections[is active]="yes",1,0),0))&gt;0,SUM(IF($C405=detections[],IF(detections[is active]="yes",1,0),0)),"")</f>
        <v/>
      </c>
      <c r="J405" s="74">
        <f t="array" ref="J40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05" s="74">
        <f>IF(AND(ISNUMBER(techniques[[#This Row],[number of sub techniques]]),techniques[[#This Row],[number of sub techniques]]&gt;1),techniques[number of sub techniques],1)</f>
        <v/>
      </c>
      <c r="L405" s="72" t="n"/>
      <c r="M405" s="74">
        <f t="array" ref="M40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0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05" s="26">
        <f>IF(techniques[[#This Row],[detection rules]]&gt;=techniques[[#This Row],[expected detection rules]],1,techniques[[#This Row],[detection rules]]/techniques[[#This Row],[expected detection rules]])</f>
        <v/>
      </c>
      <c r="P40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05" s="29">
        <f>IF(ISERROR(SEARCH(techniques[[#This Row],[id]],techniques[[#This Row],[name]])),"ERROR","")</f>
        <v/>
      </c>
      <c r="S40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06" ht="12.75" customHeight="1">
      <c r="A406" s="74" t="inlineStr">
        <is>
          <t>T1548</t>
        </is>
      </c>
      <c r="B406" s="74" t="inlineStr">
        <is>
          <t>T1548.003</t>
        </is>
      </c>
      <c r="C406" s="13" t="inlineStr">
        <is>
          <t>Sudo and Sudo Caching (T1548.003)</t>
        </is>
      </c>
      <c r="D406" s="13" t="inlineStr">
        <is>
          <t>privilege-escalation</t>
        </is>
      </c>
      <c r="E406" s="13" t="inlineStr">
        <is>
          <t>Command: Command Execution|File: File Modification|Process: Process Metadata|Process: Process Termination</t>
        </is>
      </c>
      <c r="F406" s="74" t="n">
        <v>4</v>
      </c>
      <c r="G406" s="72">
        <f t="array" ref="G406">SUM(IF(ISERROR(FIND(sources[data source],techniques[[#This Row],[data sources]])),0,1)*IF(sources[available]="yes",1,0))</f>
        <v/>
      </c>
      <c r="H406" s="73">
        <f t="array" ref="H406">IF(techniques[[#This Row],[technique]]=techniques[[#This Row],[id]],SUM(IF(techniques[[#This Row],[id]]=techniques[technique],1,0))-1,"")</f>
        <v/>
      </c>
      <c r="I406" s="74">
        <f t="array" ref="I406">IF(SUM(IF($C406=detections[],IF(detections[is active]="yes",1,0),0))&gt;0,SUM(IF($C406=detections[],IF(detections[is active]="yes",1,0),0)),"")</f>
        <v/>
      </c>
      <c r="J406" s="74">
        <f t="array" ref="J40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06" s="74">
        <f>IF(AND(ISNUMBER(techniques[[#This Row],[number of sub techniques]]),techniques[[#This Row],[number of sub techniques]]&gt;1),techniques[number of sub techniques],1)</f>
        <v/>
      </c>
      <c r="L406" s="72" t="n"/>
      <c r="M406" s="74">
        <f t="array" ref="M40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0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06" s="26">
        <f>IF(techniques[[#This Row],[detection rules]]&gt;=techniques[[#This Row],[expected detection rules]],1,techniques[[#This Row],[detection rules]]/techniques[[#This Row],[expected detection rules]])</f>
        <v/>
      </c>
      <c r="P40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06" s="29">
        <f>IF(ISERROR(SEARCH(techniques[[#This Row],[id]],techniques[[#This Row],[name]])),"ERROR","")</f>
        <v/>
      </c>
      <c r="S40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07" ht="12.75" customHeight="1">
      <c r="A407" s="74" t="inlineStr">
        <is>
          <t>T1548</t>
        </is>
      </c>
      <c r="B407" s="74" t="inlineStr">
        <is>
          <t>T1548.004</t>
        </is>
      </c>
      <c r="C407" s="13" t="inlineStr">
        <is>
          <t>Elevated Execution with Prompt (T1548.004)</t>
        </is>
      </c>
      <c r="D407" s="13" t="inlineStr">
        <is>
          <t>privilege-escalation</t>
        </is>
      </c>
      <c r="E407" s="13" t="inlineStr">
        <is>
          <t>Process: OS API Execution|Process: Process Creation|User Account: User Account Authentication</t>
        </is>
      </c>
      <c r="F407" s="74" t="n">
        <v>3</v>
      </c>
      <c r="G407" s="72">
        <f t="array" ref="G407">SUM(IF(ISERROR(FIND(sources[data source],techniques[[#This Row],[data sources]])),0,1)*IF(sources[available]="yes",1,0))</f>
        <v/>
      </c>
      <c r="H407" s="73">
        <f t="array" ref="H407">IF(techniques[[#This Row],[technique]]=techniques[[#This Row],[id]],SUM(IF(techniques[[#This Row],[id]]=techniques[technique],1,0))-1,"")</f>
        <v/>
      </c>
      <c r="I407" s="74">
        <f t="array" ref="I407">IF(SUM(IF($C407=detections[],IF(detections[is active]="yes",1,0),0))&gt;0,SUM(IF($C407=detections[],IF(detections[is active]="yes",1,0),0)),"")</f>
        <v/>
      </c>
      <c r="J407" s="74">
        <f t="array" ref="J40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07" s="74">
        <f>IF(AND(ISNUMBER(techniques[[#This Row],[number of sub techniques]]),techniques[[#This Row],[number of sub techniques]]&gt;1),techniques[number of sub techniques],1)</f>
        <v/>
      </c>
      <c r="L407" s="72" t="n"/>
      <c r="M407" s="74">
        <f t="array" ref="M40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0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07" s="26">
        <f>IF(techniques[[#This Row],[detection rules]]&gt;=techniques[[#This Row],[expected detection rules]],1,techniques[[#This Row],[detection rules]]/techniques[[#This Row],[expected detection rules]])</f>
        <v/>
      </c>
      <c r="P40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07" s="29">
        <f>IF(ISERROR(SEARCH(techniques[[#This Row],[id]],techniques[[#This Row],[name]])),"ERROR","")</f>
        <v/>
      </c>
      <c r="S40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08" ht="12.75" customHeight="1">
      <c r="A408" s="74" t="inlineStr">
        <is>
          <t>T1548</t>
        </is>
      </c>
      <c r="B408" s="74" t="inlineStr">
        <is>
          <t>T1548.005</t>
        </is>
      </c>
      <c r="C408" s="13" t="inlineStr">
        <is>
          <t>Temporary Elevated Cloud Access (T1548.005)</t>
        </is>
      </c>
      <c r="D408" s="13" t="inlineStr">
        <is>
          <t>privilege-escalation</t>
        </is>
      </c>
      <c r="E408" s="13" t="inlineStr">
        <is>
          <t>Application Log: Application Log Content|User Account: User Account Authentication|User Account: User Account Metadata</t>
        </is>
      </c>
      <c r="F408" s="74" t="n">
        <v>3</v>
      </c>
      <c r="G408" s="72">
        <f t="array" ref="G408">SUM(IF(ISERROR(FIND(sources[data source],techniques[[#This Row],[data sources]])),0,1)*IF(sources[available]="yes",1,0))</f>
        <v/>
      </c>
      <c r="H408" s="73">
        <f t="array" ref="H408">IF(techniques[[#This Row],[technique]]=techniques[[#This Row],[id]],SUM(IF(techniques[[#This Row],[id]]=techniques[technique],1,0))-1,"")</f>
        <v/>
      </c>
      <c r="I408" s="74">
        <f t="array" ref="I408">IF(SUM(IF($C408=detections[],IF(detections[is active]="yes",1,0),0))&gt;0,SUM(IF($C408=detections[],IF(detections[is active]="yes",1,0),0)),"")</f>
        <v/>
      </c>
      <c r="J408" s="74">
        <f t="array" ref="J40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08" s="74">
        <f>IF(AND(ISNUMBER(techniques[[#This Row],[number of sub techniques]]),techniques[[#This Row],[number of sub techniques]]&gt;1),techniques[number of sub techniques],1)</f>
        <v/>
      </c>
      <c r="L408" s="72" t="n"/>
      <c r="M408" s="74">
        <f t="array" ref="M40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0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08" s="26">
        <f>IF(techniques[[#This Row],[detection rules]]&gt;=techniques[[#This Row],[expected detection rules]],1,techniques[[#This Row],[detection rules]]/techniques[[#This Row],[expected detection rules]])</f>
        <v/>
      </c>
      <c r="P40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08" s="29">
        <f>IF(ISERROR(SEARCH(techniques[[#This Row],[id]],techniques[[#This Row],[name]])),"ERROR","")</f>
        <v/>
      </c>
      <c r="S40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09" ht="12.75" customHeight="1">
      <c r="A409" s="74" t="inlineStr">
        <is>
          <t>T1548</t>
        </is>
      </c>
      <c r="B409" s="74" t="inlineStr">
        <is>
          <t>T1548.006</t>
        </is>
      </c>
      <c r="C409" s="13" t="inlineStr">
        <is>
          <t>TCC Manipulation (T1548.006)</t>
        </is>
      </c>
      <c r="D409" s="13" t="inlineStr">
        <is>
          <t>privilege-escalation</t>
        </is>
      </c>
      <c r="E409" s="13" t="inlineStr">
        <is>
          <t>Command: Command Execution|File: File Modification|Process: Process Creation|Sensor Health: Host Status</t>
        </is>
      </c>
      <c r="F409" s="74" t="n">
        <v>4</v>
      </c>
      <c r="G409" s="72">
        <f t="array" ref="G409">SUM(IF(ISERROR(FIND(sources[data source],techniques[[#This Row],[data sources]])),0,1)*IF(sources[available]="yes",1,0))</f>
        <v/>
      </c>
      <c r="H409" s="73">
        <f t="array" ref="H409">IF(techniques[[#This Row],[technique]]=techniques[[#This Row],[id]],SUM(IF(techniques[[#This Row],[id]]=techniques[technique],1,0))-1,"")</f>
        <v/>
      </c>
      <c r="I409" s="74">
        <f t="array" ref="I409">IF(SUM(IF($C409=detections[],IF(detections[is active]="yes",1,0),0))&gt;0,SUM(IF($C409=detections[],IF(detections[is active]="yes",1,0),0)),"")</f>
        <v/>
      </c>
      <c r="J409" s="74">
        <f t="array" ref="J40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09" s="74">
        <f>IF(AND(ISNUMBER(techniques[[#This Row],[number of sub techniques]]),techniques[[#This Row],[number of sub techniques]]&gt;1),techniques[number of sub techniques],1)</f>
        <v/>
      </c>
      <c r="L409" s="72" t="n"/>
      <c r="M409" s="74">
        <f t="array" ref="M40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0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09" s="26">
        <f>IF(techniques[[#This Row],[detection rules]]&gt;=techniques[[#This Row],[expected detection rules]],1,techniques[[#This Row],[detection rules]]/techniques[[#This Row],[expected detection rules]])</f>
        <v/>
      </c>
      <c r="P40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09" s="29">
        <f>IF(ISERROR(SEARCH(techniques[[#This Row],[id]],techniques[[#This Row],[name]])),"ERROR","")</f>
        <v/>
      </c>
      <c r="S40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10" ht="12.75" customHeight="1">
      <c r="A410" s="74" t="inlineStr">
        <is>
          <t>T1550</t>
        </is>
      </c>
      <c r="B410" s="74" t="inlineStr">
        <is>
          <t>T1550</t>
        </is>
      </c>
      <c r="C410" s="13" t="inlineStr">
        <is>
          <t>Use Alternate Authentication Material (T1550)</t>
        </is>
      </c>
      <c r="D410" s="13" t="inlineStr">
        <is>
          <t>lateral-movement</t>
        </is>
      </c>
      <c r="E410" s="13" t="inlineStr">
        <is>
          <t>Application Log: Application Log Content|Logon Session: Logon Session Creation|Process: Process Creation|User Account: User Account Authentication|User Account: User Account Metadata|Web Credential: Web Credential Usage</t>
        </is>
      </c>
      <c r="F410" s="74" t="n">
        <v>6</v>
      </c>
      <c r="G410" s="72">
        <f t="array" ref="G410">SUM(IF(ISERROR(FIND(sources[data source],techniques[[#This Row],[data sources]])),0,1)*IF(sources[available]="yes",1,0))</f>
        <v/>
      </c>
      <c r="H410" s="73">
        <f t="array" ref="H410">IF(techniques[[#This Row],[technique]]=techniques[[#This Row],[id]],SUM(IF(techniques[[#This Row],[id]]=techniques[technique],1,0))-1,"")</f>
        <v/>
      </c>
      <c r="I410" s="74">
        <f t="array" ref="I410">IF(SUM(IF($C410=detections[],IF(detections[is active]="yes",1,0),0))&gt;0,SUM(IF($C410=detections[],IF(detections[is active]="yes",1,0),0)),"")</f>
        <v/>
      </c>
      <c r="J410" s="74">
        <f t="array" ref="J41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10" s="74">
        <f>IF(AND(ISNUMBER(techniques[[#This Row],[number of sub techniques]]),techniques[[#This Row],[number of sub techniques]]&gt;1),techniques[number of sub techniques],1)</f>
        <v/>
      </c>
      <c r="L410" s="72" t="n"/>
      <c r="M410" s="74">
        <f t="array" ref="M41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1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10" s="26">
        <f>IF(techniques[[#This Row],[detection rules]]&gt;=techniques[[#This Row],[expected detection rules]],1,techniques[[#This Row],[detection rules]]/techniques[[#This Row],[expected detection rules]])</f>
        <v/>
      </c>
      <c r="P41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10" s="29">
        <f>IF(ISERROR(SEARCH(techniques[[#This Row],[id]],techniques[[#This Row],[name]])),"ERROR","")</f>
        <v/>
      </c>
      <c r="S41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11" ht="12.75" customHeight="1">
      <c r="A411" s="74" t="inlineStr">
        <is>
          <t>T1550</t>
        </is>
      </c>
      <c r="B411" s="74" t="inlineStr">
        <is>
          <t>T1550.001</t>
        </is>
      </c>
      <c r="C411" s="13" t="inlineStr">
        <is>
          <t>Application Access Token (T1550.001)</t>
        </is>
      </c>
      <c r="D411" s="13" t="inlineStr">
        <is>
          <t>lateral-movement</t>
        </is>
      </c>
      <c r="E411" s="13" t="inlineStr">
        <is>
          <t>User Account: User Account Authentication|Web Credential: Web Credential Usage</t>
        </is>
      </c>
      <c r="F411" s="74" t="n">
        <v>2</v>
      </c>
      <c r="G411" s="72">
        <f t="array" ref="G411">SUM(IF(ISERROR(FIND(sources[data source],techniques[[#This Row],[data sources]])),0,1)*IF(sources[available]="yes",1,0))</f>
        <v/>
      </c>
      <c r="H411" s="73">
        <f t="array" ref="H411">IF(techniques[[#This Row],[technique]]=techniques[[#This Row],[id]],SUM(IF(techniques[[#This Row],[id]]=techniques[technique],1,0))-1,"")</f>
        <v/>
      </c>
      <c r="I411" s="74">
        <f t="array" ref="I411">IF(SUM(IF($C411=detections[],IF(detections[is active]="yes",1,0),0))&gt;0,SUM(IF($C411=detections[],IF(detections[is active]="yes",1,0),0)),"")</f>
        <v/>
      </c>
      <c r="J411" s="74">
        <f t="array" ref="J41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11" s="74">
        <f>IF(AND(ISNUMBER(techniques[[#This Row],[number of sub techniques]]),techniques[[#This Row],[number of sub techniques]]&gt;1),techniques[number of sub techniques],1)</f>
        <v/>
      </c>
      <c r="L411" s="72" t="n"/>
      <c r="M411" s="74">
        <f t="array" ref="M41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1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11" s="26">
        <f>IF(techniques[[#This Row],[detection rules]]&gt;=techniques[[#This Row],[expected detection rules]],1,techniques[[#This Row],[detection rules]]/techniques[[#This Row],[expected detection rules]])</f>
        <v/>
      </c>
      <c r="P41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11" s="29">
        <f>IF(ISERROR(SEARCH(techniques[[#This Row],[id]],techniques[[#This Row],[name]])),"ERROR","")</f>
        <v/>
      </c>
      <c r="S41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12" ht="12.75" customHeight="1">
      <c r="A412" s="74" t="inlineStr">
        <is>
          <t>T1550</t>
        </is>
      </c>
      <c r="B412" s="74" t="inlineStr">
        <is>
          <t>T1550.002</t>
        </is>
      </c>
      <c r="C412" s="13" t="inlineStr">
        <is>
          <t>Pass the Hash (T1550.002)</t>
        </is>
      </c>
      <c r="D412" s="13" t="inlineStr">
        <is>
          <t>lateral-movement</t>
        </is>
      </c>
      <c r="E412" s="13" t="inlineStr">
        <is>
          <t>Active Directory: Active Directory Credential Request|Logon Session: Logon Session Creation|Network Traffic: Network Connection Creation|Process: Process Creation</t>
        </is>
      </c>
      <c r="F412" s="74" t="n">
        <v>4</v>
      </c>
      <c r="G412" s="72">
        <f t="array" ref="G412">SUM(IF(ISERROR(FIND(sources[data source],techniques[[#This Row],[data sources]])),0,1)*IF(sources[available]="yes",1,0))</f>
        <v/>
      </c>
      <c r="H412" s="73">
        <f t="array" ref="H412">IF(techniques[[#This Row],[technique]]=techniques[[#This Row],[id]],SUM(IF(techniques[[#This Row],[id]]=techniques[technique],1,0))-1,"")</f>
        <v/>
      </c>
      <c r="I412" s="74">
        <f t="array" ref="I412">IF(SUM(IF($C412=detections[],IF(detections[is active]="yes",1,0),0))&gt;0,SUM(IF($C412=detections[],IF(detections[is active]="yes",1,0),0)),"")</f>
        <v/>
      </c>
      <c r="J412" s="74">
        <f t="array" ref="J41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12" s="74">
        <f>IF(AND(ISNUMBER(techniques[[#This Row],[number of sub techniques]]),techniques[[#This Row],[number of sub techniques]]&gt;1),techniques[number of sub techniques],1)</f>
        <v/>
      </c>
      <c r="L412" s="72" t="n"/>
      <c r="M412" s="74">
        <f t="array" ref="M41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1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12" s="26">
        <f>IF(techniques[[#This Row],[detection rules]]&gt;=techniques[[#This Row],[expected detection rules]],1,techniques[[#This Row],[detection rules]]/techniques[[#This Row],[expected detection rules]])</f>
        <v/>
      </c>
      <c r="P41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12" s="29">
        <f>IF(ISERROR(SEARCH(techniques[[#This Row],[id]],techniques[[#This Row],[name]])),"ERROR","")</f>
        <v/>
      </c>
      <c r="S41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13" ht="12.75" customHeight="1">
      <c r="A413" s="74" t="inlineStr">
        <is>
          <t>T1550</t>
        </is>
      </c>
      <c r="B413" s="74" t="inlineStr">
        <is>
          <t>T1550.003</t>
        </is>
      </c>
      <c r="C413" s="13" t="inlineStr">
        <is>
          <t>Pass the Ticket (T1550.003)</t>
        </is>
      </c>
      <c r="D413" s="13" t="inlineStr">
        <is>
          <t>lateral-movement</t>
        </is>
      </c>
      <c r="E413" s="13" t="inlineStr">
        <is>
          <t>Active Directory: Active Directory Credential Request|Logon Session: Logon Session Creation|Module: Module Load|Process: Process Access|User Account: User Account Authentication</t>
        </is>
      </c>
      <c r="F413" s="74" t="n">
        <v>5</v>
      </c>
      <c r="G413" s="72">
        <f t="array" ref="G413">SUM(IF(ISERROR(FIND(sources[data source],techniques[[#This Row],[data sources]])),0,1)*IF(sources[available]="yes",1,0))</f>
        <v/>
      </c>
      <c r="H413" s="73">
        <f t="array" ref="H413">IF(techniques[[#This Row],[technique]]=techniques[[#This Row],[id]],SUM(IF(techniques[[#This Row],[id]]=techniques[technique],1,0))-1,"")</f>
        <v/>
      </c>
      <c r="I413" s="74">
        <f t="array" ref="I413">IF(SUM(IF($C413=detections[],IF(detections[is active]="yes",1,0),0))&gt;0,SUM(IF($C413=detections[],IF(detections[is active]="yes",1,0),0)),"")</f>
        <v/>
      </c>
      <c r="J413" s="74">
        <f t="array" ref="J41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13" s="74">
        <f>IF(AND(ISNUMBER(techniques[[#This Row],[number of sub techniques]]),techniques[[#This Row],[number of sub techniques]]&gt;1),techniques[number of sub techniques],1)</f>
        <v/>
      </c>
      <c r="L413" s="72" t="n"/>
      <c r="M413" s="74">
        <f t="array" ref="M41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1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13" s="26">
        <f>IF(techniques[[#This Row],[detection rules]]&gt;=techniques[[#This Row],[expected detection rules]],1,techniques[[#This Row],[detection rules]]/techniques[[#This Row],[expected detection rules]])</f>
        <v/>
      </c>
      <c r="P41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13" s="29">
        <f>IF(ISERROR(SEARCH(techniques[[#This Row],[id]],techniques[[#This Row],[name]])),"ERROR","")</f>
        <v/>
      </c>
      <c r="S41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14" ht="12.75" customHeight="1">
      <c r="A414" s="74" t="inlineStr">
        <is>
          <t>T1550</t>
        </is>
      </c>
      <c r="B414" s="74" t="inlineStr">
        <is>
          <t>T1550.004</t>
        </is>
      </c>
      <c r="C414" s="13" t="inlineStr">
        <is>
          <t>Web Session Cookie (T1550.004)</t>
        </is>
      </c>
      <c r="D414" s="13" t="inlineStr">
        <is>
          <t>lateral-movement</t>
        </is>
      </c>
      <c r="E414" s="13" t="inlineStr">
        <is>
          <t>Logon Session: Logon Session Creation|User Account: User Account Authentication|Web Credential: Web Credential Usage</t>
        </is>
      </c>
      <c r="F414" s="74" t="n">
        <v>3</v>
      </c>
      <c r="G414" s="72">
        <f t="array" ref="G414">SUM(IF(ISERROR(FIND(sources[data source],techniques[[#This Row],[data sources]])),0,1)*IF(sources[available]="yes",1,0))</f>
        <v/>
      </c>
      <c r="H414" s="73">
        <f t="array" ref="H414">IF(techniques[[#This Row],[technique]]=techniques[[#This Row],[id]],SUM(IF(techniques[[#This Row],[id]]=techniques[technique],1,0))-1,"")</f>
        <v/>
      </c>
      <c r="I414" s="74">
        <f t="array" ref="I414">IF(SUM(IF($C414=detections[],IF(detections[is active]="yes",1,0),0))&gt;0,SUM(IF($C414=detections[],IF(detections[is active]="yes",1,0),0)),"")</f>
        <v/>
      </c>
      <c r="J414" s="74">
        <f t="array" ref="J41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14" s="74">
        <f>IF(AND(ISNUMBER(techniques[[#This Row],[number of sub techniques]]),techniques[[#This Row],[number of sub techniques]]&gt;1),techniques[number of sub techniques],1)</f>
        <v/>
      </c>
      <c r="L414" s="72" t="n"/>
      <c r="M414" s="74">
        <f t="array" ref="M41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1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14" s="26">
        <f>IF(techniques[[#This Row],[detection rules]]&gt;=techniques[[#This Row],[expected detection rules]],1,techniques[[#This Row],[detection rules]]/techniques[[#This Row],[expected detection rules]])</f>
        <v/>
      </c>
      <c r="P41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14" s="29">
        <f>IF(ISERROR(SEARCH(techniques[[#This Row],[id]],techniques[[#This Row],[name]])),"ERROR","")</f>
        <v/>
      </c>
      <c r="S41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15" ht="12.75" customHeight="1">
      <c r="A415" s="74" t="inlineStr">
        <is>
          <t>T1552</t>
        </is>
      </c>
      <c r="B415" s="74" t="inlineStr">
        <is>
          <t>T1552</t>
        </is>
      </c>
      <c r="C415" s="13" t="inlineStr">
        <is>
          <t>Unsecured Credentials (T1552)</t>
        </is>
      </c>
      <c r="D415" s="13" t="inlineStr">
        <is>
          <t>credential-access</t>
        </is>
      </c>
      <c r="E415" s="13" t="inlineStr">
        <is>
          <t>Application Log: Application Log Content|Cloud Service: Cloud Service Metadata|Command: Command Execution|File: File Access|File: File Creation|Network Traffic: Network Traffic Content|Process: Process Creation|User Account: User Account Authentication|Windows Registry: Windows Registry Key Modification</t>
        </is>
      </c>
      <c r="F415" s="74" t="n">
        <v>9</v>
      </c>
      <c r="G415" s="72">
        <f t="array" ref="G415">SUM(IF(ISERROR(FIND(sources[data source],techniques[[#This Row],[data sources]])),0,1)*IF(sources[available]="yes",1,0))</f>
        <v/>
      </c>
      <c r="H415" s="73">
        <f t="array" ref="H415">IF(techniques[[#This Row],[technique]]=techniques[[#This Row],[id]],SUM(IF(techniques[[#This Row],[id]]=techniques[technique],1,0))-1,"")</f>
        <v/>
      </c>
      <c r="I415" s="74">
        <f t="array" ref="I415">IF(SUM(IF($C415=detections[],IF(detections[is active]="yes",1,0),0))&gt;0,SUM(IF($C415=detections[],IF(detections[is active]="yes",1,0),0)),"")</f>
        <v/>
      </c>
      <c r="J415" s="74">
        <f t="array" ref="J41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15" s="74">
        <f>IF(AND(ISNUMBER(techniques[[#This Row],[number of sub techniques]]),techniques[[#This Row],[number of sub techniques]]&gt;1),techniques[number of sub techniques],1)</f>
        <v/>
      </c>
      <c r="L415" s="72" t="n"/>
      <c r="M415" s="74">
        <f t="array" ref="M41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1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15" s="26">
        <f>IF(techniques[[#This Row],[detection rules]]&gt;=techniques[[#This Row],[expected detection rules]],1,techniques[[#This Row],[detection rules]]/techniques[[#This Row],[expected detection rules]])</f>
        <v/>
      </c>
      <c r="P41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15" s="29">
        <f>IF(ISERROR(SEARCH(techniques[[#This Row],[id]],techniques[[#This Row],[name]])),"ERROR","")</f>
        <v/>
      </c>
      <c r="S41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16" ht="12.75" customHeight="1">
      <c r="A416" s="74" t="inlineStr">
        <is>
          <t>T1552</t>
        </is>
      </c>
      <c r="B416" s="74" t="inlineStr">
        <is>
          <t>T1552.001</t>
        </is>
      </c>
      <c r="C416" s="13" t="inlineStr">
        <is>
          <t>Credentials In Files (T1552.001)</t>
        </is>
      </c>
      <c r="D416" s="13" t="inlineStr">
        <is>
          <t>credential-access</t>
        </is>
      </c>
      <c r="E416" s="13" t="inlineStr">
        <is>
          <t>Command: Command Execution|File: File Access|File: File Creation|Logon Session: Logon Session Creation|Network Traffic: Network Connection Creation|Process: Process Creation</t>
        </is>
      </c>
      <c r="F416" s="74" t="n">
        <v>6</v>
      </c>
      <c r="G416" s="72">
        <f t="array" ref="G416">SUM(IF(ISERROR(FIND(sources[data source],techniques[[#This Row],[data sources]])),0,1)*IF(sources[available]="yes",1,0))</f>
        <v/>
      </c>
      <c r="H416" s="73">
        <f t="array" ref="H416">IF(techniques[[#This Row],[technique]]=techniques[[#This Row],[id]],SUM(IF(techniques[[#This Row],[id]]=techniques[technique],1,0))-1,"")</f>
        <v/>
      </c>
      <c r="I416" s="74">
        <f t="array" ref="I416">IF(SUM(IF($C416=detections[],IF(detections[is active]="yes",1,0),0))&gt;0,SUM(IF($C416=detections[],IF(detections[is active]="yes",1,0),0)),"")</f>
        <v/>
      </c>
      <c r="J416" s="74">
        <f t="array" ref="J41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16" s="74">
        <f>IF(AND(ISNUMBER(techniques[[#This Row],[number of sub techniques]]),techniques[[#This Row],[number of sub techniques]]&gt;1),techniques[number of sub techniques],1)</f>
        <v/>
      </c>
      <c r="L416" s="72" t="n"/>
      <c r="M416" s="74">
        <f t="array" ref="M41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1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16" s="26">
        <f>IF(techniques[[#This Row],[detection rules]]&gt;=techniques[[#This Row],[expected detection rules]],1,techniques[[#This Row],[detection rules]]/techniques[[#This Row],[expected detection rules]])</f>
        <v/>
      </c>
      <c r="P41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16" s="29">
        <f>IF(ISERROR(SEARCH(techniques[[#This Row],[id]],techniques[[#This Row],[name]])),"ERROR","")</f>
        <v/>
      </c>
      <c r="S41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17" ht="12.75" customHeight="1">
      <c r="A417" s="74" t="inlineStr">
        <is>
          <t>T1552</t>
        </is>
      </c>
      <c r="B417" s="74" t="inlineStr">
        <is>
          <t>T1552.002</t>
        </is>
      </c>
      <c r="C417" s="13" t="inlineStr">
        <is>
          <t>Credentials in Registry (T1552.002)</t>
        </is>
      </c>
      <c r="D417" s="13" t="inlineStr">
        <is>
          <t>credential-access</t>
        </is>
      </c>
      <c r="E417" s="13" t="inlineStr">
        <is>
          <t>Process: Process Creation|Windows Registry: Windows Registry Key Access|Windows Registry: Windows Registry Key Modification</t>
        </is>
      </c>
      <c r="F417" s="74" t="n">
        <v>3</v>
      </c>
      <c r="G417" s="72">
        <f t="array" ref="G417">SUM(IF(ISERROR(FIND(sources[data source],techniques[[#This Row],[data sources]])),0,1)*IF(sources[available]="yes",1,0))</f>
        <v/>
      </c>
      <c r="H417" s="73">
        <f t="array" ref="H417">IF(techniques[[#This Row],[technique]]=techniques[[#This Row],[id]],SUM(IF(techniques[[#This Row],[id]]=techniques[technique],1,0))-1,"")</f>
        <v/>
      </c>
      <c r="I417" s="74">
        <f t="array" ref="I417">IF(SUM(IF($C417=detections[],IF(detections[is active]="yes",1,0),0))&gt;0,SUM(IF($C417=detections[],IF(detections[is active]="yes",1,0),0)),"")</f>
        <v/>
      </c>
      <c r="J417" s="74">
        <f t="array" ref="J41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17" s="74">
        <f>IF(AND(ISNUMBER(techniques[[#This Row],[number of sub techniques]]),techniques[[#This Row],[number of sub techniques]]&gt;1),techniques[number of sub techniques],1)</f>
        <v/>
      </c>
      <c r="L417" s="72" t="n"/>
      <c r="M417" s="74">
        <f t="array" ref="M41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1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17" s="26">
        <f>IF(techniques[[#This Row],[detection rules]]&gt;=techniques[[#This Row],[expected detection rules]],1,techniques[[#This Row],[detection rules]]/techniques[[#This Row],[expected detection rules]])</f>
        <v/>
      </c>
      <c r="P41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17" s="29">
        <f>IF(ISERROR(SEARCH(techniques[[#This Row],[id]],techniques[[#This Row],[name]])),"ERROR","")</f>
        <v/>
      </c>
      <c r="S41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18" ht="12.75" customHeight="1">
      <c r="A418" s="74" t="inlineStr">
        <is>
          <t>T1552</t>
        </is>
      </c>
      <c r="B418" s="74" t="inlineStr">
        <is>
          <t>T1552.003</t>
        </is>
      </c>
      <c r="C418" s="13" t="inlineStr">
        <is>
          <t>Shell History (T1552.003)</t>
        </is>
      </c>
      <c r="D418" s="13" t="inlineStr">
        <is>
          <t>credential-access</t>
        </is>
      </c>
      <c r="E418" s="13" t="inlineStr">
        <is>
          <t>File: File Access|File: File Creation|Process: Process Creation|Process: Process Metadata</t>
        </is>
      </c>
      <c r="F418" s="74" t="n">
        <v>4</v>
      </c>
      <c r="G418" s="72">
        <f t="array" ref="G418">SUM(IF(ISERROR(FIND(sources[data source],techniques[[#This Row],[data sources]])),0,1)*IF(sources[available]="yes",1,0))</f>
        <v/>
      </c>
      <c r="H418" s="73">
        <f t="array" ref="H418">IF(techniques[[#This Row],[technique]]=techniques[[#This Row],[id]],SUM(IF(techniques[[#This Row],[id]]=techniques[technique],1,0))-1,"")</f>
        <v/>
      </c>
      <c r="I418" s="74">
        <f t="array" ref="I418">IF(SUM(IF($C418=detections[],IF(detections[is active]="yes",1,0),0))&gt;0,SUM(IF($C418=detections[],IF(detections[is active]="yes",1,0),0)),"")</f>
        <v/>
      </c>
      <c r="J418" s="74">
        <f t="array" ref="J41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18" s="74">
        <f>IF(AND(ISNUMBER(techniques[[#This Row],[number of sub techniques]]),techniques[[#This Row],[number of sub techniques]]&gt;1),techniques[number of sub techniques],1)</f>
        <v/>
      </c>
      <c r="L418" s="72" t="n"/>
      <c r="M418" s="74">
        <f t="array" ref="M41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1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18" s="26">
        <f>IF(techniques[[#This Row],[detection rules]]&gt;=techniques[[#This Row],[expected detection rules]],1,techniques[[#This Row],[detection rules]]/techniques[[#This Row],[expected detection rules]])</f>
        <v/>
      </c>
      <c r="P41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18" s="29">
        <f>IF(ISERROR(SEARCH(techniques[[#This Row],[id]],techniques[[#This Row],[name]])),"ERROR","")</f>
        <v/>
      </c>
      <c r="S41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19" ht="12.75" customHeight="1">
      <c r="A419" s="74" t="inlineStr">
        <is>
          <t>T1552</t>
        </is>
      </c>
      <c r="B419" s="74" t="inlineStr">
        <is>
          <t>T1552.004</t>
        </is>
      </c>
      <c r="C419" s="13" t="inlineStr">
        <is>
          <t>Private Keys (T1552.004)</t>
        </is>
      </c>
      <c r="D419" s="13" t="inlineStr">
        <is>
          <t>credential-access</t>
        </is>
      </c>
      <c r="E419" s="13" t="inlineStr">
        <is>
          <t>Command: Command Execution|File: File Access|File: File Creation|Network Share: Network Share Access|Process: Process Creation</t>
        </is>
      </c>
      <c r="F419" s="74" t="n">
        <v>5</v>
      </c>
      <c r="G419" s="72">
        <f t="array" ref="G419">SUM(IF(ISERROR(FIND(sources[data source],techniques[[#This Row],[data sources]])),0,1)*IF(sources[available]="yes",1,0))</f>
        <v/>
      </c>
      <c r="H419" s="73">
        <f t="array" ref="H419">IF(techniques[[#This Row],[technique]]=techniques[[#This Row],[id]],SUM(IF(techniques[[#This Row],[id]]=techniques[technique],1,0))-1,"")</f>
        <v/>
      </c>
      <c r="I419" s="74">
        <f t="array" ref="I419">IF(SUM(IF($C419=detections[],IF(detections[is active]="yes",1,0),0))&gt;0,SUM(IF($C419=detections[],IF(detections[is active]="yes",1,0),0)),"")</f>
        <v/>
      </c>
      <c r="J419" s="74">
        <f t="array" ref="J41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19" s="74">
        <f>IF(AND(ISNUMBER(techniques[[#This Row],[number of sub techniques]]),techniques[[#This Row],[number of sub techniques]]&gt;1),techniques[number of sub techniques],1)</f>
        <v/>
      </c>
      <c r="L419" s="72" t="n"/>
      <c r="M419" s="74">
        <f t="array" ref="M41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1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19" s="26">
        <f>IF(techniques[[#This Row],[detection rules]]&gt;=techniques[[#This Row],[expected detection rules]],1,techniques[[#This Row],[detection rules]]/techniques[[#This Row],[expected detection rules]])</f>
        <v/>
      </c>
      <c r="P41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19" s="29">
        <f>IF(ISERROR(SEARCH(techniques[[#This Row],[id]],techniques[[#This Row],[name]])),"ERROR","")</f>
        <v/>
      </c>
      <c r="S41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20" ht="12.75" customHeight="1">
      <c r="A420" s="74" t="inlineStr">
        <is>
          <t>T1552</t>
        </is>
      </c>
      <c r="B420" s="74" t="inlineStr">
        <is>
          <t>T1552.005</t>
        </is>
      </c>
      <c r="C420" s="13" t="inlineStr">
        <is>
          <t>Cloud Instance Metadata API (T1552.005)</t>
        </is>
      </c>
      <c r="D420" s="13" t="inlineStr">
        <is>
          <t>credential-access</t>
        </is>
      </c>
      <c r="E420" s="13" t="inlineStr">
        <is>
          <t>Cloud Service: Cloud Service Metadata|Network Traffic: Network Connection Creation|Network Traffic: Network Traffic Content</t>
        </is>
      </c>
      <c r="F420" s="74" t="n">
        <v>3</v>
      </c>
      <c r="G420" s="72">
        <f t="array" ref="G420">SUM(IF(ISERROR(FIND(sources[data source],techniques[[#This Row],[data sources]])),0,1)*IF(sources[available]="yes",1,0))</f>
        <v/>
      </c>
      <c r="H420" s="73">
        <f t="array" ref="H420">IF(techniques[[#This Row],[technique]]=techniques[[#This Row],[id]],SUM(IF(techniques[[#This Row],[id]]=techniques[technique],1,0))-1,"")</f>
        <v/>
      </c>
      <c r="I420" s="74">
        <f t="array" ref="I420">IF(SUM(IF($C420=detections[],IF(detections[is active]="yes",1,0),0))&gt;0,SUM(IF($C420=detections[],IF(detections[is active]="yes",1,0),0)),"")</f>
        <v/>
      </c>
      <c r="J420" s="74">
        <f t="array" ref="J42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20" s="74">
        <f>IF(AND(ISNUMBER(techniques[[#This Row],[number of sub techniques]]),techniques[[#This Row],[number of sub techniques]]&gt;1),techniques[number of sub techniques],1)</f>
        <v/>
      </c>
      <c r="L420" s="72" t="n"/>
      <c r="M420" s="74">
        <f t="array" ref="M42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2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20" s="26">
        <f>IF(techniques[[#This Row],[detection rules]]&gt;=techniques[[#This Row],[expected detection rules]],1,techniques[[#This Row],[detection rules]]/techniques[[#This Row],[expected detection rules]])</f>
        <v/>
      </c>
      <c r="P42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20" s="29">
        <f>IF(ISERROR(SEARCH(techniques[[#This Row],[id]],techniques[[#This Row],[name]])),"ERROR","")</f>
        <v/>
      </c>
      <c r="S42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21" ht="12.75" customHeight="1">
      <c r="A421" s="74" t="inlineStr">
        <is>
          <t>T1552</t>
        </is>
      </c>
      <c r="B421" s="74" t="inlineStr">
        <is>
          <t>T1552.006</t>
        </is>
      </c>
      <c r="C421" s="13" t="inlineStr">
        <is>
          <t>Group Policy Preferences (T1552.006)</t>
        </is>
      </c>
      <c r="D421" s="13" t="inlineStr">
        <is>
          <t>credential-access</t>
        </is>
      </c>
      <c r="E421" s="13" t="inlineStr">
        <is>
          <t>File: File Creation|Network Share: Network Share Access|Process: Process Creation|Script: Script Execution</t>
        </is>
      </c>
      <c r="F421" s="74" t="n">
        <v>4</v>
      </c>
      <c r="G421" s="72">
        <f t="array" ref="G421">SUM(IF(ISERROR(FIND(sources[data source],techniques[[#This Row],[data sources]])),0,1)*IF(sources[available]="yes",1,0))</f>
        <v/>
      </c>
      <c r="H421" s="73">
        <f t="array" ref="H421">IF(techniques[[#This Row],[technique]]=techniques[[#This Row],[id]],SUM(IF(techniques[[#This Row],[id]]=techniques[technique],1,0))-1,"")</f>
        <v/>
      </c>
      <c r="I421" s="74">
        <f t="array" ref="I421">IF(SUM(IF($C421=detections[],IF(detections[is active]="yes",1,0),0))&gt;0,SUM(IF($C421=detections[],IF(detections[is active]="yes",1,0),0)),"")</f>
        <v/>
      </c>
      <c r="J421" s="74">
        <f t="array" ref="J42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21" s="74">
        <f>IF(AND(ISNUMBER(techniques[[#This Row],[number of sub techniques]]),techniques[[#This Row],[number of sub techniques]]&gt;1),techniques[number of sub techniques],1)</f>
        <v/>
      </c>
      <c r="L421" s="72" t="n"/>
      <c r="M421" s="74">
        <f t="array" ref="M42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2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21" s="26">
        <f>IF(techniques[[#This Row],[detection rules]]&gt;=techniques[[#This Row],[expected detection rules]],1,techniques[[#This Row],[detection rules]]/techniques[[#This Row],[expected detection rules]])</f>
        <v/>
      </c>
      <c r="P42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21" s="29">
        <f>IF(ISERROR(SEARCH(techniques[[#This Row],[id]],techniques[[#This Row],[name]])),"ERROR","")</f>
        <v/>
      </c>
      <c r="S42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22" ht="12.75" customHeight="1">
      <c r="A422" s="74" t="inlineStr">
        <is>
          <t>T1552</t>
        </is>
      </c>
      <c r="B422" s="74" t="inlineStr">
        <is>
          <t>T1552.007</t>
        </is>
      </c>
      <c r="C422" s="13" t="inlineStr">
        <is>
          <t>Container API (T1552.007)</t>
        </is>
      </c>
      <c r="D422" s="13" t="inlineStr">
        <is>
          <t>credential-access</t>
        </is>
      </c>
      <c r="E422" s="13" t="inlineStr">
        <is>
          <t>Application Log: Application Log Content|Command: Command Execution|Process: Process Creation|User Account: User Account Authentication</t>
        </is>
      </c>
      <c r="F422" s="74" t="n">
        <v>4</v>
      </c>
      <c r="G422" s="72">
        <f t="array" ref="G422">SUM(IF(ISERROR(FIND(sources[data source],techniques[[#This Row],[data sources]])),0,1)*IF(sources[available]="yes",1,0))</f>
        <v/>
      </c>
      <c r="H422" s="73">
        <f t="array" ref="H422">IF(techniques[[#This Row],[technique]]=techniques[[#This Row],[id]],SUM(IF(techniques[[#This Row],[id]]=techniques[technique],1,0))-1,"")</f>
        <v/>
      </c>
      <c r="I422" s="74">
        <f t="array" ref="I422">IF(SUM(IF($C422=detections[],IF(detections[is active]="yes",1,0),0))&gt;0,SUM(IF($C422=detections[],IF(detections[is active]="yes",1,0),0)),"")</f>
        <v/>
      </c>
      <c r="J422" s="74">
        <f t="array" ref="J42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22" s="74">
        <f>IF(AND(ISNUMBER(techniques[[#This Row],[number of sub techniques]]),techniques[[#This Row],[number of sub techniques]]&gt;1),techniques[number of sub techniques],1)</f>
        <v/>
      </c>
      <c r="L422" s="72" t="n"/>
      <c r="M422" s="74">
        <f t="array" ref="M42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2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22" s="26">
        <f>IF(techniques[[#This Row],[detection rules]]&gt;=techniques[[#This Row],[expected detection rules]],1,techniques[[#This Row],[detection rules]]/techniques[[#This Row],[expected detection rules]])</f>
        <v/>
      </c>
      <c r="P42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22" s="29">
        <f>IF(ISERROR(SEARCH(techniques[[#This Row],[id]],techniques[[#This Row],[name]])),"ERROR","")</f>
        <v/>
      </c>
      <c r="S42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23" ht="12.75" customHeight="1">
      <c r="A423" s="74" t="inlineStr">
        <is>
          <t>T1552</t>
        </is>
      </c>
      <c r="B423" s="74" t="inlineStr">
        <is>
          <t>T1552.008</t>
        </is>
      </c>
      <c r="C423" s="13" t="inlineStr">
        <is>
          <t>Chat Messages (T1552.008)</t>
        </is>
      </c>
      <c r="D423" s="13" t="inlineStr">
        <is>
          <t>credential-access</t>
        </is>
      </c>
      <c r="E423" s="13" t="inlineStr">
        <is>
          <t>Application Log: Application Log Content|User Account: User Account Authentication</t>
        </is>
      </c>
      <c r="F423" s="74" t="n">
        <v>2</v>
      </c>
      <c r="G423" s="72">
        <f t="array" ref="G423">SUM(IF(ISERROR(FIND(sources[data source],techniques[[#This Row],[data sources]])),0,1)*IF(sources[available]="yes",1,0))</f>
        <v/>
      </c>
      <c r="H423" s="73">
        <f t="array" ref="H423">IF(techniques[[#This Row],[technique]]=techniques[[#This Row],[id]],SUM(IF(techniques[[#This Row],[id]]=techniques[technique],1,0))-1,"")</f>
        <v/>
      </c>
      <c r="I423" s="74">
        <f t="array" ref="I423">IF(SUM(IF($C423=detections[],IF(detections[is active]="yes",1,0),0))&gt;0,SUM(IF($C423=detections[],IF(detections[is active]="yes",1,0),0)),"")</f>
        <v/>
      </c>
      <c r="J423" s="74">
        <f t="array" ref="J42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23" s="74">
        <f>IF(AND(ISNUMBER(techniques[[#This Row],[number of sub techniques]]),techniques[[#This Row],[number of sub techniques]]&gt;1),techniques[number of sub techniques],1)</f>
        <v/>
      </c>
      <c r="L423" s="72" t="n"/>
      <c r="M423" s="74">
        <f t="array" ref="M42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2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23" s="26">
        <f>IF(techniques[[#This Row],[detection rules]]&gt;=techniques[[#This Row],[expected detection rules]],1,techniques[[#This Row],[detection rules]]/techniques[[#This Row],[expected detection rules]])</f>
        <v/>
      </c>
      <c r="P42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23" s="29">
        <f>IF(ISERROR(SEARCH(techniques[[#This Row],[id]],techniques[[#This Row],[name]])),"ERROR","")</f>
        <v/>
      </c>
      <c r="S42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24" ht="12.75" customHeight="1">
      <c r="A424" s="74" t="inlineStr">
        <is>
          <t>T1553</t>
        </is>
      </c>
      <c r="B424" s="74" t="inlineStr">
        <is>
          <t>T1553</t>
        </is>
      </c>
      <c r="C424" s="13" t="inlineStr">
        <is>
          <t>Subvert Trust Controls (T1553)</t>
        </is>
      </c>
      <c r="D424" s="13" t="inlineStr">
        <is>
          <t>defense-impairment</t>
        </is>
      </c>
      <c r="E424" s="13" t="inlineStr">
        <is>
          <t>Command: Command Execution|File: File Creation|File: File Metadata|Process: Process Creation|Windows Registry: Windows Registry Key Modification</t>
        </is>
      </c>
      <c r="F424" s="74" t="n">
        <v>5</v>
      </c>
      <c r="G424" s="72">
        <f t="array" ref="G424">SUM(IF(ISERROR(FIND(sources[data source],techniques[[#This Row],[data sources]])),0,1)*IF(sources[available]="yes",1,0))</f>
        <v/>
      </c>
      <c r="H424" s="73">
        <f t="array" ref="H424">IF(techniques[[#This Row],[technique]]=techniques[[#This Row],[id]],SUM(IF(techniques[[#This Row],[id]]=techniques[technique],1,0))-1,"")</f>
        <v/>
      </c>
      <c r="I424" s="74">
        <f t="array" ref="I424">IF(SUM(IF($C424=detections[],IF(detections[is active]="yes",1,0),0))&gt;0,SUM(IF($C424=detections[],IF(detections[is active]="yes",1,0),0)),"")</f>
        <v/>
      </c>
      <c r="J424" s="74">
        <f t="array" ref="J42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24" s="74">
        <f>IF(AND(ISNUMBER(techniques[[#This Row],[number of sub techniques]]),techniques[[#This Row],[number of sub techniques]]&gt;1),techniques[number of sub techniques],1)</f>
        <v/>
      </c>
      <c r="L424" s="72" t="n"/>
      <c r="M424" s="74">
        <f t="array" ref="M42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2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24" s="26">
        <f>IF(techniques[[#This Row],[detection rules]]&gt;=techniques[[#This Row],[expected detection rules]],1,techniques[[#This Row],[detection rules]]/techniques[[#This Row],[expected detection rules]])</f>
        <v/>
      </c>
      <c r="P42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24" s="29">
        <f>IF(ISERROR(SEARCH(techniques[[#This Row],[id]],techniques[[#This Row],[name]])),"ERROR","")</f>
        <v/>
      </c>
      <c r="S42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25" ht="12.75" customHeight="1">
      <c r="A425" s="74" t="inlineStr">
        <is>
          <t>T1553</t>
        </is>
      </c>
      <c r="B425" s="74" t="inlineStr">
        <is>
          <t>T1553.001</t>
        </is>
      </c>
      <c r="C425" s="13" t="inlineStr">
        <is>
          <t>Gatekeeper Bypass (T1553.001)</t>
        </is>
      </c>
      <c r="D425" s="13" t="inlineStr">
        <is>
          <t>defense-impairment</t>
        </is>
      </c>
      <c r="E425" s="13" t="inlineStr">
        <is>
          <t>File: File Metadata|File: File Modification|Process: Process Creation</t>
        </is>
      </c>
      <c r="F425" s="74" t="n">
        <v>3</v>
      </c>
      <c r="G425" s="72">
        <f t="array" ref="G425">SUM(IF(ISERROR(FIND(sources[data source],techniques[[#This Row],[data sources]])),0,1)*IF(sources[available]="yes",1,0))</f>
        <v/>
      </c>
      <c r="H425" s="73">
        <f t="array" ref="H425">IF(techniques[[#This Row],[technique]]=techniques[[#This Row],[id]],SUM(IF(techniques[[#This Row],[id]]=techniques[technique],1,0))-1,"")</f>
        <v/>
      </c>
      <c r="I425" s="74">
        <f t="array" ref="I425">IF(SUM(IF($C425=detections[],IF(detections[is active]="yes",1,0),0))&gt;0,SUM(IF($C425=detections[],IF(detections[is active]="yes",1,0),0)),"")</f>
        <v/>
      </c>
      <c r="J425" s="74">
        <f t="array" ref="J42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25" s="74">
        <f>IF(AND(ISNUMBER(techniques[[#This Row],[number of sub techniques]]),techniques[[#This Row],[number of sub techniques]]&gt;1),techniques[number of sub techniques],1)</f>
        <v/>
      </c>
      <c r="L425" s="72" t="n"/>
      <c r="M425" s="74">
        <f t="array" ref="M42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2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25" s="26">
        <f>IF(techniques[[#This Row],[detection rules]]&gt;=techniques[[#This Row],[expected detection rules]],1,techniques[[#This Row],[detection rules]]/techniques[[#This Row],[expected detection rules]])</f>
        <v/>
      </c>
      <c r="P42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25" s="29">
        <f>IF(ISERROR(SEARCH(techniques[[#This Row],[id]],techniques[[#This Row],[name]])),"ERROR","")</f>
        <v/>
      </c>
      <c r="S42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26" ht="12.75" customHeight="1">
      <c r="A426" s="74" t="inlineStr">
        <is>
          <t>T1553</t>
        </is>
      </c>
      <c r="B426" s="74" t="inlineStr">
        <is>
          <t>T1553.002</t>
        </is>
      </c>
      <c r="C426" s="13" t="inlineStr">
        <is>
          <t>Code Signing (T1553.002)</t>
        </is>
      </c>
      <c r="D426" s="13" t="inlineStr">
        <is>
          <t>defense-impairment</t>
        </is>
      </c>
      <c r="E426" s="13" t="inlineStr">
        <is>
          <t>File: File Metadata|Module: Module Load|Process: Process Creation</t>
        </is>
      </c>
      <c r="F426" s="74" t="n">
        <v>3</v>
      </c>
      <c r="G426" s="72">
        <f t="array" ref="G426">SUM(IF(ISERROR(FIND(sources[data source],techniques[[#This Row],[data sources]])),0,1)*IF(sources[available]="yes",1,0))</f>
        <v/>
      </c>
      <c r="H426" s="73">
        <f t="array" ref="H426">IF(techniques[[#This Row],[technique]]=techniques[[#This Row],[id]],SUM(IF(techniques[[#This Row],[id]]=techniques[technique],1,0))-1,"")</f>
        <v/>
      </c>
      <c r="I426" s="74">
        <f t="array" ref="I426">IF(SUM(IF($C426=detections[],IF(detections[is active]="yes",1,0),0))&gt;0,SUM(IF($C426=detections[],IF(detections[is active]="yes",1,0),0)),"")</f>
        <v/>
      </c>
      <c r="J426" s="74">
        <f t="array" ref="J42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26" s="74">
        <f>IF(AND(ISNUMBER(techniques[[#This Row],[number of sub techniques]]),techniques[[#This Row],[number of sub techniques]]&gt;1),techniques[number of sub techniques],1)</f>
        <v/>
      </c>
      <c r="L426" s="72" t="n"/>
      <c r="M426" s="74">
        <f t="array" ref="M42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2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26" s="26">
        <f>IF(techniques[[#This Row],[detection rules]]&gt;=techniques[[#This Row],[expected detection rules]],1,techniques[[#This Row],[detection rules]]/techniques[[#This Row],[expected detection rules]])</f>
        <v/>
      </c>
      <c r="P42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26" s="29">
        <f>IF(ISERROR(SEARCH(techniques[[#This Row],[id]],techniques[[#This Row],[name]])),"ERROR","")</f>
        <v/>
      </c>
      <c r="S42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27" ht="12.75" customHeight="1">
      <c r="A427" s="74" t="inlineStr">
        <is>
          <t>T1553</t>
        </is>
      </c>
      <c r="B427" s="74" t="inlineStr">
        <is>
          <t>T1553.003</t>
        </is>
      </c>
      <c r="C427" s="13" t="inlineStr">
        <is>
          <t>SIP and Trust Provider Hijacking (T1553.003)</t>
        </is>
      </c>
      <c r="D427" s="13" t="inlineStr">
        <is>
          <t>defense-impairment</t>
        </is>
      </c>
      <c r="E427" s="13" t="inlineStr">
        <is>
          <t>File: File Modification|Module: Module Load|Windows Registry: Windows Registry Key Modification</t>
        </is>
      </c>
      <c r="F427" s="74" t="n">
        <v>3</v>
      </c>
      <c r="G427" s="72">
        <f t="array" ref="G427">SUM(IF(ISERROR(FIND(sources[data source],techniques[[#This Row],[data sources]])),0,1)*IF(sources[available]="yes",1,0))</f>
        <v/>
      </c>
      <c r="H427" s="73">
        <f t="array" ref="H427">IF(techniques[[#This Row],[technique]]=techniques[[#This Row],[id]],SUM(IF(techniques[[#This Row],[id]]=techniques[technique],1,0))-1,"")</f>
        <v/>
      </c>
      <c r="I427" s="74">
        <f t="array" ref="I427">IF(SUM(IF($C427=detections[],IF(detections[is active]="yes",1,0),0))&gt;0,SUM(IF($C427=detections[],IF(detections[is active]="yes",1,0),0)),"")</f>
        <v/>
      </c>
      <c r="J427" s="74">
        <f t="array" ref="J42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27" s="74">
        <f>IF(AND(ISNUMBER(techniques[[#This Row],[number of sub techniques]]),techniques[[#This Row],[number of sub techniques]]&gt;1),techniques[number of sub techniques],1)</f>
        <v/>
      </c>
      <c r="L427" s="72" t="n"/>
      <c r="M427" s="74">
        <f t="array" ref="M42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2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27" s="26">
        <f>IF(techniques[[#This Row],[detection rules]]&gt;=techniques[[#This Row],[expected detection rules]],1,techniques[[#This Row],[detection rules]]/techniques[[#This Row],[expected detection rules]])</f>
        <v/>
      </c>
      <c r="P42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27" s="29">
        <f>IF(ISERROR(SEARCH(techniques[[#This Row],[id]],techniques[[#This Row],[name]])),"ERROR","")</f>
        <v/>
      </c>
      <c r="S42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28" ht="12.75" customHeight="1">
      <c r="A428" s="74" t="inlineStr">
        <is>
          <t>T1553</t>
        </is>
      </c>
      <c r="B428" s="74" t="inlineStr">
        <is>
          <t>T1553.004</t>
        </is>
      </c>
      <c r="C428" s="13" t="inlineStr">
        <is>
          <t>Install Root Certificate (T1553.004)</t>
        </is>
      </c>
      <c r="D428" s="13" t="inlineStr">
        <is>
          <t>defense-impairment</t>
        </is>
      </c>
      <c r="E428" s="13" t="inlineStr">
        <is>
          <t>Command: Command Execution|File: File Modification|Process: Process Creation|Windows Registry: Windows Registry Key Creation|Windows Registry: Windows Registry Key Modification</t>
        </is>
      </c>
      <c r="F428" s="74" t="n">
        <v>5</v>
      </c>
      <c r="G428" s="72">
        <f t="array" ref="G428">SUM(IF(ISERROR(FIND(sources[data source],techniques[[#This Row],[data sources]])),0,1)*IF(sources[available]="yes",1,0))</f>
        <v/>
      </c>
      <c r="H428" s="73">
        <f t="array" ref="H428">IF(techniques[[#This Row],[technique]]=techniques[[#This Row],[id]],SUM(IF(techniques[[#This Row],[id]]=techniques[technique],1,0))-1,"")</f>
        <v/>
      </c>
      <c r="I428" s="74">
        <f t="array" ref="I428">IF(SUM(IF($C428=detections[],IF(detections[is active]="yes",1,0),0))&gt;0,SUM(IF($C428=detections[],IF(detections[is active]="yes",1,0),0)),"")</f>
        <v/>
      </c>
      <c r="J428" s="74">
        <f t="array" ref="J42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28" s="74">
        <f>IF(AND(ISNUMBER(techniques[[#This Row],[number of sub techniques]]),techniques[[#This Row],[number of sub techniques]]&gt;1),techniques[number of sub techniques],1)</f>
        <v/>
      </c>
      <c r="L428" s="72" t="n"/>
      <c r="M428" s="74">
        <f t="array" ref="M42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2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28" s="26">
        <f>IF(techniques[[#This Row],[detection rules]]&gt;=techniques[[#This Row],[expected detection rules]],1,techniques[[#This Row],[detection rules]]/techniques[[#This Row],[expected detection rules]])</f>
        <v/>
      </c>
      <c r="P42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28" s="29">
        <f>IF(ISERROR(SEARCH(techniques[[#This Row],[id]],techniques[[#This Row],[name]])),"ERROR","")</f>
        <v/>
      </c>
      <c r="S42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29" ht="12.75" customHeight="1">
      <c r="A429" s="74" t="inlineStr">
        <is>
          <t>T1553</t>
        </is>
      </c>
      <c r="B429" s="74" t="inlineStr">
        <is>
          <t>T1553.005</t>
        </is>
      </c>
      <c r="C429" s="13" t="inlineStr">
        <is>
          <t>Mark-of-the-Web Bypass (T1553.005)</t>
        </is>
      </c>
      <c r="D429" s="13" t="inlineStr">
        <is>
          <t>defense-impairment</t>
        </is>
      </c>
      <c r="E429" s="13" t="inlineStr">
        <is>
          <t>File: File Access|File: File Creation|File: File Metadata</t>
        </is>
      </c>
      <c r="F429" s="74" t="n">
        <v>3</v>
      </c>
      <c r="G429" s="72">
        <f t="array" ref="G429">SUM(IF(ISERROR(FIND(sources[data source],techniques[[#This Row],[data sources]])),0,1)*IF(sources[available]="yes",1,0))</f>
        <v/>
      </c>
      <c r="H429" s="73">
        <f t="array" ref="H429">IF(techniques[[#This Row],[technique]]=techniques[[#This Row],[id]],SUM(IF(techniques[[#This Row],[id]]=techniques[technique],1,0))-1,"")</f>
        <v/>
      </c>
      <c r="I429" s="74">
        <f t="array" ref="I429">IF(SUM(IF($C429=detections[],IF(detections[is active]="yes",1,0),0))&gt;0,SUM(IF($C429=detections[],IF(detections[is active]="yes",1,0),0)),"")</f>
        <v/>
      </c>
      <c r="J429" s="74">
        <f t="array" ref="J42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29" s="74">
        <f>IF(AND(ISNUMBER(techniques[[#This Row],[number of sub techniques]]),techniques[[#This Row],[number of sub techniques]]&gt;1),techniques[number of sub techniques],1)</f>
        <v/>
      </c>
      <c r="L429" s="72" t="n"/>
      <c r="M429" s="74">
        <f t="array" ref="M42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2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29" s="26">
        <f>IF(techniques[[#This Row],[detection rules]]&gt;=techniques[[#This Row],[expected detection rules]],1,techniques[[#This Row],[detection rules]]/techniques[[#This Row],[expected detection rules]])</f>
        <v/>
      </c>
      <c r="P42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29" s="29">
        <f>IF(ISERROR(SEARCH(techniques[[#This Row],[id]],techniques[[#This Row],[name]])),"ERROR","")</f>
        <v/>
      </c>
      <c r="S42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30" ht="12.75" customHeight="1">
      <c r="A430" s="74" t="inlineStr">
        <is>
          <t>T1553</t>
        </is>
      </c>
      <c r="B430" s="74" t="inlineStr">
        <is>
          <t>T1553.006</t>
        </is>
      </c>
      <c r="C430" s="13" t="inlineStr">
        <is>
          <t>Code Signing Policy Modification (T1553.006)</t>
        </is>
      </c>
      <c r="D430" s="13" t="inlineStr">
        <is>
          <t>defense-impairment</t>
        </is>
      </c>
      <c r="E430" s="13" t="inlineStr">
        <is>
          <t>Command: Command Execution|Process: Process Creation|Windows Registry: Windows Registry Key Modification</t>
        </is>
      </c>
      <c r="F430" s="74" t="n">
        <v>3</v>
      </c>
      <c r="G430" s="72">
        <f t="array" ref="G430">SUM(IF(ISERROR(FIND(sources[data source],techniques[[#This Row],[data sources]])),0,1)*IF(sources[available]="yes",1,0))</f>
        <v/>
      </c>
      <c r="H430" s="73">
        <f t="array" ref="H430">IF(techniques[[#This Row],[technique]]=techniques[[#This Row],[id]],SUM(IF(techniques[[#This Row],[id]]=techniques[technique],1,0))-1,"")</f>
        <v/>
      </c>
      <c r="I430" s="74">
        <f t="array" ref="I430">IF(SUM(IF($C430=detections[],IF(detections[is active]="yes",1,0),0))&gt;0,SUM(IF($C430=detections[],IF(detections[is active]="yes",1,0),0)),"")</f>
        <v/>
      </c>
      <c r="J430" s="74">
        <f t="array" ref="J43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30" s="74">
        <f>IF(AND(ISNUMBER(techniques[[#This Row],[number of sub techniques]]),techniques[[#This Row],[number of sub techniques]]&gt;1),techniques[number of sub techniques],1)</f>
        <v/>
      </c>
      <c r="L430" s="72" t="n"/>
      <c r="M430" s="74">
        <f t="array" ref="M43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3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30" s="26">
        <f>IF(techniques[[#This Row],[detection rules]]&gt;=techniques[[#This Row],[expected detection rules]],1,techniques[[#This Row],[detection rules]]/techniques[[#This Row],[expected detection rules]])</f>
        <v/>
      </c>
      <c r="P43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30" s="29">
        <f>IF(ISERROR(SEARCH(techniques[[#This Row],[id]],techniques[[#This Row],[name]])),"ERROR","")</f>
        <v/>
      </c>
      <c r="S43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31" ht="12.75" customHeight="1">
      <c r="A431" s="74" t="inlineStr">
        <is>
          <t>T1554</t>
        </is>
      </c>
      <c r="B431" s="74" t="inlineStr">
        <is>
          <t>T1554</t>
        </is>
      </c>
      <c r="C431" s="13" t="inlineStr">
        <is>
          <t>Compromise Host Software Binary (T1554)</t>
        </is>
      </c>
      <c r="D431" s="13" t="inlineStr">
        <is>
          <t>persistence</t>
        </is>
      </c>
      <c r="E431" s="13" t="inlineStr">
        <is>
          <t>File: File Creation|File: File Modification|Module: Module Load|Process: Process Creation</t>
        </is>
      </c>
      <c r="F431" s="74" t="n">
        <v>4</v>
      </c>
      <c r="G431" s="72">
        <f t="array" ref="G431">SUM(IF(ISERROR(FIND(sources[data source],techniques[[#This Row],[data sources]])),0,1)*IF(sources[available]="yes",1,0))</f>
        <v/>
      </c>
      <c r="H431" s="73">
        <f t="array" ref="H431">IF(techniques[[#This Row],[technique]]=techniques[[#This Row],[id]],SUM(IF(techniques[[#This Row],[id]]=techniques[technique],1,0))-1,"")</f>
        <v/>
      </c>
      <c r="I431" s="74">
        <f t="array" ref="I431">IF(SUM(IF($C431=detections[],IF(detections[is active]="yes",1,0),0))&gt;0,SUM(IF($C431=detections[],IF(detections[is active]="yes",1,0),0)),"")</f>
        <v/>
      </c>
      <c r="J431" s="74">
        <f t="array" ref="J43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31" s="74">
        <f>IF(AND(ISNUMBER(techniques[[#This Row],[number of sub techniques]]),techniques[[#This Row],[number of sub techniques]]&gt;1),techniques[number of sub techniques],1)</f>
        <v/>
      </c>
      <c r="L431" s="72" t="n"/>
      <c r="M431" s="74">
        <f t="array" ref="M43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3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31" s="26">
        <f>IF(techniques[[#This Row],[detection rules]]&gt;=techniques[[#This Row],[expected detection rules]],1,techniques[[#This Row],[detection rules]]/techniques[[#This Row],[expected detection rules]])</f>
        <v/>
      </c>
      <c r="P43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31" s="29">
        <f>IF(ISERROR(SEARCH(techniques[[#This Row],[id]],techniques[[#This Row],[name]])),"ERROR","")</f>
        <v/>
      </c>
      <c r="S43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32" ht="12.75" customHeight="1">
      <c r="A432" s="74" t="inlineStr">
        <is>
          <t>T1555</t>
        </is>
      </c>
      <c r="B432" s="74" t="inlineStr">
        <is>
          <t>T1555</t>
        </is>
      </c>
      <c r="C432" s="13" t="inlineStr">
        <is>
          <t>Credentials from Password Stores (T1555)</t>
        </is>
      </c>
      <c r="D432" s="13" t="inlineStr">
        <is>
          <t>credential-access</t>
        </is>
      </c>
      <c r="E432" s="13" t="inlineStr">
        <is>
          <t>Cloud Service: Cloud Service Enumeration|File: File Access|Process: OS API Execution|Process: Process Access|Process: Process Creation</t>
        </is>
      </c>
      <c r="F432" s="74" t="n">
        <v>5</v>
      </c>
      <c r="G432" s="72">
        <f t="array" ref="G432">SUM(IF(ISERROR(FIND(sources[data source],techniques[[#This Row],[data sources]])),0,1)*IF(sources[available]="yes",1,0))</f>
        <v/>
      </c>
      <c r="H432" s="73">
        <f t="array" ref="H432">IF(techniques[[#This Row],[technique]]=techniques[[#This Row],[id]],SUM(IF(techniques[[#This Row],[id]]=techniques[technique],1,0))-1,"")</f>
        <v/>
      </c>
      <c r="I432" s="74">
        <f t="array" ref="I432">IF(SUM(IF($C432=detections[],IF(detections[is active]="yes",1,0),0))&gt;0,SUM(IF($C432=detections[],IF(detections[is active]="yes",1,0),0)),"")</f>
        <v/>
      </c>
      <c r="J432" s="74">
        <f t="array" ref="J43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32" s="74">
        <f>IF(AND(ISNUMBER(techniques[[#This Row],[number of sub techniques]]),techniques[[#This Row],[number of sub techniques]]&gt;1),techniques[number of sub techniques],1)</f>
        <v/>
      </c>
      <c r="L432" s="72" t="n"/>
      <c r="M432" s="74">
        <f t="array" ref="M43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3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32" s="26">
        <f>IF(techniques[[#This Row],[detection rules]]&gt;=techniques[[#This Row],[expected detection rules]],1,techniques[[#This Row],[detection rules]]/techniques[[#This Row],[expected detection rules]])</f>
        <v/>
      </c>
      <c r="P43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32" s="29">
        <f>IF(ISERROR(SEARCH(techniques[[#This Row],[id]],techniques[[#This Row],[name]])),"ERROR","")</f>
        <v/>
      </c>
      <c r="S43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33" ht="12.75" customHeight="1">
      <c r="A433" s="74" t="inlineStr">
        <is>
          <t>T1555</t>
        </is>
      </c>
      <c r="B433" s="74" t="inlineStr">
        <is>
          <t>T1555.001</t>
        </is>
      </c>
      <c r="C433" s="13" t="inlineStr">
        <is>
          <t>Keychain (T1555.001)</t>
        </is>
      </c>
      <c r="D433" s="13" t="inlineStr">
        <is>
          <t>credential-access</t>
        </is>
      </c>
      <c r="E433" s="13" t="inlineStr">
        <is>
          <t>File: File Access|Process: OS API Execution|Process: Process Creation</t>
        </is>
      </c>
      <c r="F433" s="74" t="n">
        <v>3</v>
      </c>
      <c r="G433" s="72">
        <f t="array" ref="G433">SUM(IF(ISERROR(FIND(sources[data source],techniques[[#This Row],[data sources]])),0,1)*IF(sources[available]="yes",1,0))</f>
        <v/>
      </c>
      <c r="H433" s="73">
        <f t="array" ref="H433">IF(techniques[[#This Row],[technique]]=techniques[[#This Row],[id]],SUM(IF(techniques[[#This Row],[id]]=techniques[technique],1,0))-1,"")</f>
        <v/>
      </c>
      <c r="I433" s="74">
        <f t="array" ref="I433">IF(SUM(IF($C433=detections[],IF(detections[is active]="yes",1,0),0))&gt;0,SUM(IF($C433=detections[],IF(detections[is active]="yes",1,0),0)),"")</f>
        <v/>
      </c>
      <c r="J433" s="74">
        <f t="array" ref="J43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33" s="74">
        <f>IF(AND(ISNUMBER(techniques[[#This Row],[number of sub techniques]]),techniques[[#This Row],[number of sub techniques]]&gt;1),techniques[number of sub techniques],1)</f>
        <v/>
      </c>
      <c r="L433" s="72" t="n"/>
      <c r="M433" s="74">
        <f t="array" ref="M43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3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33" s="26">
        <f>IF(techniques[[#This Row],[detection rules]]&gt;=techniques[[#This Row],[expected detection rules]],1,techniques[[#This Row],[detection rules]]/techniques[[#This Row],[expected detection rules]])</f>
        <v/>
      </c>
      <c r="P43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33" s="29">
        <f>IF(ISERROR(SEARCH(techniques[[#This Row],[id]],techniques[[#This Row],[name]])),"ERROR","")</f>
        <v/>
      </c>
      <c r="S43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34" ht="12.75" customHeight="1">
      <c r="A434" s="74" t="inlineStr">
        <is>
          <t>T1555</t>
        </is>
      </c>
      <c r="B434" s="74" t="inlineStr">
        <is>
          <t>T1555.002</t>
        </is>
      </c>
      <c r="C434" s="13" t="inlineStr">
        <is>
          <t>Securityd Memory (T1555.002)</t>
        </is>
      </c>
      <c r="D434" s="13" t="inlineStr">
        <is>
          <t>credential-access</t>
        </is>
      </c>
      <c r="E434" s="13" t="inlineStr">
        <is>
          <t>Command: Command Execution|File: File Access|Process: Process Access|Process: Process Creation</t>
        </is>
      </c>
      <c r="F434" s="74" t="n">
        <v>4</v>
      </c>
      <c r="G434" s="72">
        <f t="array" ref="G434">SUM(IF(ISERROR(FIND(sources[data source],techniques[[#This Row],[data sources]])),0,1)*IF(sources[available]="yes",1,0))</f>
        <v/>
      </c>
      <c r="H434" s="73">
        <f t="array" ref="H434">IF(techniques[[#This Row],[technique]]=techniques[[#This Row],[id]],SUM(IF(techniques[[#This Row],[id]]=techniques[technique],1,0))-1,"")</f>
        <v/>
      </c>
      <c r="I434" s="74">
        <f t="array" ref="I434">IF(SUM(IF($C434=detections[],IF(detections[is active]="yes",1,0),0))&gt;0,SUM(IF($C434=detections[],IF(detections[is active]="yes",1,0),0)),"")</f>
        <v/>
      </c>
      <c r="J434" s="74">
        <f t="array" ref="J43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34" s="74">
        <f>IF(AND(ISNUMBER(techniques[[#This Row],[number of sub techniques]]),techniques[[#This Row],[number of sub techniques]]&gt;1),techniques[number of sub techniques],1)</f>
        <v/>
      </c>
      <c r="L434" s="72" t="n"/>
      <c r="M434" s="74">
        <f t="array" ref="M43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3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34" s="26">
        <f>IF(techniques[[#This Row],[detection rules]]&gt;=techniques[[#This Row],[expected detection rules]],1,techniques[[#This Row],[detection rules]]/techniques[[#This Row],[expected detection rules]])</f>
        <v/>
      </c>
      <c r="P43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34" s="29">
        <f>IF(ISERROR(SEARCH(techniques[[#This Row],[id]],techniques[[#This Row],[name]])),"ERROR","")</f>
        <v/>
      </c>
      <c r="S43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35" ht="12.75" customHeight="1">
      <c r="A435" s="74" t="inlineStr">
        <is>
          <t>T1555</t>
        </is>
      </c>
      <c r="B435" s="74" t="inlineStr">
        <is>
          <t>T1555.003</t>
        </is>
      </c>
      <c r="C435" s="13" t="inlineStr">
        <is>
          <t>Credentials from Web Browsers (T1555.003)</t>
        </is>
      </c>
      <c r="D435" s="13" t="inlineStr">
        <is>
          <t>credential-access</t>
        </is>
      </c>
      <c r="E435" s="13" t="inlineStr">
        <is>
          <t>File: File Access|Process: Process Access|Process: Process Creation</t>
        </is>
      </c>
      <c r="F435" s="74" t="n">
        <v>3</v>
      </c>
      <c r="G435" s="72">
        <f t="array" ref="G435">SUM(IF(ISERROR(FIND(sources[data source],techniques[[#This Row],[data sources]])),0,1)*IF(sources[available]="yes",1,0))</f>
        <v/>
      </c>
      <c r="H435" s="73">
        <f t="array" ref="H435">IF(techniques[[#This Row],[technique]]=techniques[[#This Row],[id]],SUM(IF(techniques[[#This Row],[id]]=techniques[technique],1,0))-1,"")</f>
        <v/>
      </c>
      <c r="I435" s="74">
        <f t="array" ref="I435">IF(SUM(IF($C435=detections[],IF(detections[is active]="yes",1,0),0))&gt;0,SUM(IF($C435=detections[],IF(detections[is active]="yes",1,0),0)),"")</f>
        <v/>
      </c>
      <c r="J435" s="74">
        <f t="array" ref="J43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35" s="74">
        <f>IF(AND(ISNUMBER(techniques[[#This Row],[number of sub techniques]]),techniques[[#This Row],[number of sub techniques]]&gt;1),techniques[number of sub techniques],1)</f>
        <v/>
      </c>
      <c r="L435" s="72" t="n"/>
      <c r="M435" s="74">
        <f t="array" ref="M43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3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35" s="26">
        <f>IF(techniques[[#This Row],[detection rules]]&gt;=techniques[[#This Row],[expected detection rules]],1,techniques[[#This Row],[detection rules]]/techniques[[#This Row],[expected detection rules]])</f>
        <v/>
      </c>
      <c r="P43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35" s="29">
        <f>IF(ISERROR(SEARCH(techniques[[#This Row],[id]],techniques[[#This Row],[name]])),"ERROR","")</f>
        <v/>
      </c>
      <c r="S43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36" ht="12.75" customHeight="1">
      <c r="A436" s="74" t="inlineStr">
        <is>
          <t>T1555</t>
        </is>
      </c>
      <c r="B436" s="74" t="inlineStr">
        <is>
          <t>T1555.004</t>
        </is>
      </c>
      <c r="C436" s="13" t="inlineStr">
        <is>
          <t>Windows Credential Manager (T1555.004)</t>
        </is>
      </c>
      <c r="D436" s="13" t="inlineStr">
        <is>
          <t>credential-access</t>
        </is>
      </c>
      <c r="E436" s="13" t="inlineStr">
        <is>
          <t>File: File Metadata|Process: Process Access|Process: Process Creation</t>
        </is>
      </c>
      <c r="F436" s="74" t="n">
        <v>3</v>
      </c>
      <c r="G436" s="72">
        <f t="array" ref="G436">SUM(IF(ISERROR(FIND(sources[data source],techniques[[#This Row],[data sources]])),0,1)*IF(sources[available]="yes",1,0))</f>
        <v/>
      </c>
      <c r="H436" s="73">
        <f t="array" ref="H436">IF(techniques[[#This Row],[technique]]=techniques[[#This Row],[id]],SUM(IF(techniques[[#This Row],[id]]=techniques[technique],1,0))-1,"")</f>
        <v/>
      </c>
      <c r="I436" s="74">
        <f t="array" ref="I436">IF(SUM(IF($C436=detections[],IF(detections[is active]="yes",1,0),0))&gt;0,SUM(IF($C436=detections[],IF(detections[is active]="yes",1,0),0)),"")</f>
        <v/>
      </c>
      <c r="J436" s="74">
        <f t="array" ref="J43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36" s="74">
        <f>IF(AND(ISNUMBER(techniques[[#This Row],[number of sub techniques]]),techniques[[#This Row],[number of sub techniques]]&gt;1),techniques[number of sub techniques],1)</f>
        <v/>
      </c>
      <c r="L436" s="72" t="n"/>
      <c r="M436" s="74">
        <f t="array" ref="M43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3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36" s="26">
        <f>IF(techniques[[#This Row],[detection rules]]&gt;=techniques[[#This Row],[expected detection rules]],1,techniques[[#This Row],[detection rules]]/techniques[[#This Row],[expected detection rules]])</f>
        <v/>
      </c>
      <c r="P43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36" s="29">
        <f>IF(ISERROR(SEARCH(techniques[[#This Row],[id]],techniques[[#This Row],[name]])),"ERROR","")</f>
        <v/>
      </c>
      <c r="S43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37" ht="12.75" customHeight="1">
      <c r="A437" s="74" t="inlineStr">
        <is>
          <t>T1555</t>
        </is>
      </c>
      <c r="B437" s="74" t="inlineStr">
        <is>
          <t>T1555.005</t>
        </is>
      </c>
      <c r="C437" s="13" t="inlineStr">
        <is>
          <t>Password Managers (T1555.005)</t>
        </is>
      </c>
      <c r="D437" s="13" t="inlineStr">
        <is>
          <t>credential-access</t>
        </is>
      </c>
      <c r="E437" s="13" t="inlineStr">
        <is>
          <t>File: File Access|File: File Metadata|Process: Process Access|Process: Process Creation</t>
        </is>
      </c>
      <c r="F437" s="74" t="n">
        <v>4</v>
      </c>
      <c r="G437" s="72">
        <f t="array" ref="G437">SUM(IF(ISERROR(FIND(sources[data source],techniques[[#This Row],[data sources]])),0,1)*IF(sources[available]="yes",1,0))</f>
        <v/>
      </c>
      <c r="H437" s="73">
        <f t="array" ref="H437">IF(techniques[[#This Row],[technique]]=techniques[[#This Row],[id]],SUM(IF(techniques[[#This Row],[id]]=techniques[technique],1,0))-1,"")</f>
        <v/>
      </c>
      <c r="I437" s="74">
        <f t="array" ref="I437">IF(SUM(IF($C437=detections[],IF(detections[is active]="yes",1,0),0))&gt;0,SUM(IF($C437=detections[],IF(detections[is active]="yes",1,0),0)),"")</f>
        <v/>
      </c>
      <c r="J437" s="74">
        <f t="array" ref="J43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37" s="74">
        <f>IF(AND(ISNUMBER(techniques[[#This Row],[number of sub techniques]]),techniques[[#This Row],[number of sub techniques]]&gt;1),techniques[number of sub techniques],1)</f>
        <v/>
      </c>
      <c r="L437" s="72" t="n"/>
      <c r="M437" s="74">
        <f t="array" ref="M43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3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37" s="26">
        <f>IF(techniques[[#This Row],[detection rules]]&gt;=techniques[[#This Row],[expected detection rules]],1,techniques[[#This Row],[detection rules]]/techniques[[#This Row],[expected detection rules]])</f>
        <v/>
      </c>
      <c r="P43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37" s="29">
        <f>IF(ISERROR(SEARCH(techniques[[#This Row],[id]],techniques[[#This Row],[name]])),"ERROR","")</f>
        <v/>
      </c>
      <c r="S43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38" ht="12.75" customHeight="1">
      <c r="A438" s="74" t="inlineStr">
        <is>
          <t>T1555</t>
        </is>
      </c>
      <c r="B438" s="74" t="inlineStr">
        <is>
          <t>T1555.006</t>
        </is>
      </c>
      <c r="C438" s="13" t="inlineStr">
        <is>
          <t>Cloud Secrets Management Stores (T1555.006)</t>
        </is>
      </c>
      <c r="D438" s="13" t="inlineStr">
        <is>
          <t>credential-access</t>
        </is>
      </c>
      <c r="E438" s="13" t="inlineStr">
        <is>
          <t>Cloud Service: Cloud Service Enumeration</t>
        </is>
      </c>
      <c r="F438" s="74" t="n">
        <v>1</v>
      </c>
      <c r="G438" s="72">
        <f t="array" ref="G438">SUM(IF(ISERROR(FIND(sources[data source],techniques[[#This Row],[data sources]])),0,1)*IF(sources[available]="yes",1,0))</f>
        <v/>
      </c>
      <c r="H438" s="73">
        <f t="array" ref="H438">IF(techniques[[#This Row],[technique]]=techniques[[#This Row],[id]],SUM(IF(techniques[[#This Row],[id]]=techniques[technique],1,0))-1,"")</f>
        <v/>
      </c>
      <c r="I438" s="74">
        <f t="array" ref="I438">IF(SUM(IF($C438=detections[],IF(detections[is active]="yes",1,0),0))&gt;0,SUM(IF($C438=detections[],IF(detections[is active]="yes",1,0),0)),"")</f>
        <v/>
      </c>
      <c r="J438" s="74">
        <f t="array" ref="J43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38" s="74">
        <f>IF(AND(ISNUMBER(techniques[[#This Row],[number of sub techniques]]),techniques[[#This Row],[number of sub techniques]]&gt;1),techniques[number of sub techniques],1)</f>
        <v/>
      </c>
      <c r="L438" s="72" t="n"/>
      <c r="M438" s="74">
        <f t="array" ref="M43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3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38" s="26">
        <f>IF(techniques[[#This Row],[detection rules]]&gt;=techniques[[#This Row],[expected detection rules]],1,techniques[[#This Row],[detection rules]]/techniques[[#This Row],[expected detection rules]])</f>
        <v/>
      </c>
      <c r="P43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38" s="29">
        <f>IF(ISERROR(SEARCH(techniques[[#This Row],[id]],techniques[[#This Row],[name]])),"ERROR","")</f>
        <v/>
      </c>
      <c r="S43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39" ht="12.75" customHeight="1">
      <c r="A439" s="74" t="inlineStr">
        <is>
          <t>T1556</t>
        </is>
      </c>
      <c r="B439" s="74" t="inlineStr">
        <is>
          <t>T1556</t>
        </is>
      </c>
      <c r="C439" s="13" t="inlineStr">
        <is>
          <t>Modify Authentication Process (T1556)</t>
        </is>
      </c>
      <c r="D439" s="13" t="inlineStr">
        <is>
          <t>defense-impairment|persistence|credential-access</t>
        </is>
      </c>
      <c r="E439" s="13" t="inlineStr">
        <is>
          <t>Cloud Service: Cloud Service Modification|File: File Modification|Module: Module Load|Process: Process Access|Process: Process Creation|User Account: User Account Modification|Windows Registry: Windows Registry Key Modification</t>
        </is>
      </c>
      <c r="F439" s="74" t="n">
        <v>7</v>
      </c>
      <c r="G439" s="72">
        <f t="array" ref="G439">SUM(IF(ISERROR(FIND(sources[data source],techniques[[#This Row],[data sources]])),0,1)*IF(sources[available]="yes",1,0))</f>
        <v/>
      </c>
      <c r="H439" s="73">
        <f t="array" ref="H439">IF(techniques[[#This Row],[technique]]=techniques[[#This Row],[id]],SUM(IF(techniques[[#This Row],[id]]=techniques[technique],1,0))-1,"")</f>
        <v/>
      </c>
      <c r="I439" s="74">
        <f t="array" ref="I439">IF(SUM(IF($C439=detections[],IF(detections[is active]="yes",1,0),0))&gt;0,SUM(IF($C439=detections[],IF(detections[is active]="yes",1,0),0)),"")</f>
        <v/>
      </c>
      <c r="J439" s="74">
        <f t="array" ref="J43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39" s="74">
        <f>IF(AND(ISNUMBER(techniques[[#This Row],[number of sub techniques]]),techniques[[#This Row],[number of sub techniques]]&gt;1),techniques[number of sub techniques],1)</f>
        <v/>
      </c>
      <c r="L439" s="72" t="n"/>
      <c r="M439" s="74">
        <f t="array" ref="M43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3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39" s="26">
        <f>IF(techniques[[#This Row],[detection rules]]&gt;=techniques[[#This Row],[expected detection rules]],1,techniques[[#This Row],[detection rules]]/techniques[[#This Row],[expected detection rules]])</f>
        <v/>
      </c>
      <c r="P43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39" s="29">
        <f>IF(ISERROR(SEARCH(techniques[[#This Row],[id]],techniques[[#This Row],[name]])),"ERROR","")</f>
        <v/>
      </c>
      <c r="S43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40" ht="12.75" customHeight="1">
      <c r="A440" s="74" t="inlineStr">
        <is>
          <t>T1556</t>
        </is>
      </c>
      <c r="B440" s="74" t="inlineStr">
        <is>
          <t>T1556.001</t>
        </is>
      </c>
      <c r="C440" s="13" t="inlineStr">
        <is>
          <t>Domain Controller Authentication (T1556.001)</t>
        </is>
      </c>
      <c r="D440" s="13" t="inlineStr">
        <is>
          <t>defense-impairment|persistence|credential-access</t>
        </is>
      </c>
      <c r="E440" s="13" t="inlineStr">
        <is>
          <t>File: File Modification|Logon Session: Logon Session Creation|Module: Module Load|Process: Process Access</t>
        </is>
      </c>
      <c r="F440" s="74" t="n">
        <v>4</v>
      </c>
      <c r="G440" s="72">
        <f t="array" ref="G440">SUM(IF(ISERROR(FIND(sources[data source],techniques[[#This Row],[data sources]])),0,1)*IF(sources[available]="yes",1,0))</f>
        <v/>
      </c>
      <c r="H440" s="73">
        <f t="array" ref="H440">IF(techniques[[#This Row],[technique]]=techniques[[#This Row],[id]],SUM(IF(techniques[[#This Row],[id]]=techniques[technique],1,0))-1,"")</f>
        <v/>
      </c>
      <c r="I440" s="74">
        <f t="array" ref="I440">IF(SUM(IF($C440=detections[],IF(detections[is active]="yes",1,0),0))&gt;0,SUM(IF($C440=detections[],IF(detections[is active]="yes",1,0),0)),"")</f>
        <v/>
      </c>
      <c r="J440" s="74">
        <f t="array" ref="J44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40" s="74">
        <f>IF(AND(ISNUMBER(techniques[[#This Row],[number of sub techniques]]),techniques[[#This Row],[number of sub techniques]]&gt;1),techniques[number of sub techniques],1)</f>
        <v/>
      </c>
      <c r="L440" s="72" t="n"/>
      <c r="M440" s="74">
        <f t="array" ref="M44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4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40" s="26">
        <f>IF(techniques[[#This Row],[detection rules]]&gt;=techniques[[#This Row],[expected detection rules]],1,techniques[[#This Row],[detection rules]]/techniques[[#This Row],[expected detection rules]])</f>
        <v/>
      </c>
      <c r="P44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40" s="29">
        <f>IF(ISERROR(SEARCH(techniques[[#This Row],[id]],techniques[[#This Row],[name]])),"ERROR","")</f>
        <v/>
      </c>
      <c r="S44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41" ht="12.75" customHeight="1">
      <c r="A441" s="74" t="inlineStr">
        <is>
          <t>T1556</t>
        </is>
      </c>
      <c r="B441" s="74" t="inlineStr">
        <is>
          <t>T1556.002</t>
        </is>
      </c>
      <c r="C441" s="13" t="inlineStr">
        <is>
          <t>Password Filter DLL (T1556.002)</t>
        </is>
      </c>
      <c r="D441" s="13" t="inlineStr">
        <is>
          <t>defense-impairment|persistence|credential-access</t>
        </is>
      </c>
      <c r="E441" s="13" t="inlineStr">
        <is>
          <t>File: File Creation|Module: Module Load|Windows Registry: Windows Registry Key Modification</t>
        </is>
      </c>
      <c r="F441" s="74" t="n">
        <v>3</v>
      </c>
      <c r="G441" s="72">
        <f t="array" ref="G441">SUM(IF(ISERROR(FIND(sources[data source],techniques[[#This Row],[data sources]])),0,1)*IF(sources[available]="yes",1,0))</f>
        <v/>
      </c>
      <c r="H441" s="73">
        <f t="array" ref="H441">IF(techniques[[#This Row],[technique]]=techniques[[#This Row],[id]],SUM(IF(techniques[[#This Row],[id]]=techniques[technique],1,0))-1,"")</f>
        <v/>
      </c>
      <c r="I441" s="74">
        <f t="array" ref="I441">IF(SUM(IF($C441=detections[],IF(detections[is active]="yes",1,0),0))&gt;0,SUM(IF($C441=detections[],IF(detections[is active]="yes",1,0),0)),"")</f>
        <v/>
      </c>
      <c r="J441" s="74">
        <f t="array" ref="J44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41" s="74">
        <f>IF(AND(ISNUMBER(techniques[[#This Row],[number of sub techniques]]),techniques[[#This Row],[number of sub techniques]]&gt;1),techniques[number of sub techniques],1)</f>
        <v/>
      </c>
      <c r="L441" s="72" t="n"/>
      <c r="M441" s="74">
        <f t="array" ref="M44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4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41" s="26">
        <f>IF(techniques[[#This Row],[detection rules]]&gt;=techniques[[#This Row],[expected detection rules]],1,techniques[[#This Row],[detection rules]]/techniques[[#This Row],[expected detection rules]])</f>
        <v/>
      </c>
      <c r="P44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41" s="29">
        <f>IF(ISERROR(SEARCH(techniques[[#This Row],[id]],techniques[[#This Row],[name]])),"ERROR","")</f>
        <v/>
      </c>
      <c r="S44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42" ht="12.75" customHeight="1">
      <c r="A442" s="74" t="inlineStr">
        <is>
          <t>T1556</t>
        </is>
      </c>
      <c r="B442" s="74" t="inlineStr">
        <is>
          <t>T1556.003</t>
        </is>
      </c>
      <c r="C442" s="13" t="inlineStr">
        <is>
          <t>Pluggable Authentication Modules (T1556.003)</t>
        </is>
      </c>
      <c r="D442" s="13" t="inlineStr">
        <is>
          <t>defense-impairment|persistence|credential-access</t>
        </is>
      </c>
      <c r="E442" s="13" t="inlineStr">
        <is>
          <t>File: File Modification|Logon Session: Logon Session Creation|Process: Process Creation</t>
        </is>
      </c>
      <c r="F442" s="74" t="n">
        <v>3</v>
      </c>
      <c r="G442" s="72">
        <f t="array" ref="G442">SUM(IF(ISERROR(FIND(sources[data source],techniques[[#This Row],[data sources]])),0,1)*IF(sources[available]="yes",1,0))</f>
        <v/>
      </c>
      <c r="H442" s="73">
        <f t="array" ref="H442">IF(techniques[[#This Row],[technique]]=techniques[[#This Row],[id]],SUM(IF(techniques[[#This Row],[id]]=techniques[technique],1,0))-1,"")</f>
        <v/>
      </c>
      <c r="I442" s="74">
        <f t="array" ref="I442">IF(SUM(IF($C442=detections[],IF(detections[is active]="yes",1,0),0))&gt;0,SUM(IF($C442=detections[],IF(detections[is active]="yes",1,0),0)),"")</f>
        <v/>
      </c>
      <c r="J442" s="74">
        <f t="array" ref="J44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42" s="74">
        <f>IF(AND(ISNUMBER(techniques[[#This Row],[number of sub techniques]]),techniques[[#This Row],[number of sub techniques]]&gt;1),techniques[number of sub techniques],1)</f>
        <v/>
      </c>
      <c r="L442" s="72" t="n"/>
      <c r="M442" s="74">
        <f t="array" ref="M44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4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42" s="26">
        <f>IF(techniques[[#This Row],[detection rules]]&gt;=techniques[[#This Row],[expected detection rules]],1,techniques[[#This Row],[detection rules]]/techniques[[#This Row],[expected detection rules]])</f>
        <v/>
      </c>
      <c r="P44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42" s="29">
        <f>IF(ISERROR(SEARCH(techniques[[#This Row],[id]],techniques[[#This Row],[name]])),"ERROR","")</f>
        <v/>
      </c>
      <c r="S44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43" ht="12.75" customHeight="1">
      <c r="A443" s="74" t="inlineStr">
        <is>
          <t>T1556</t>
        </is>
      </c>
      <c r="B443" s="74" t="inlineStr">
        <is>
          <t>T1556.004</t>
        </is>
      </c>
      <c r="C443" s="13" t="inlineStr">
        <is>
          <t>Network Device Authentication (T1556.004)</t>
        </is>
      </c>
      <c r="D443" s="13" t="inlineStr">
        <is>
          <t>defense-impairment|persistence|credential-access</t>
        </is>
      </c>
      <c r="E443" s="13" t="inlineStr">
        <is>
          <t>File: File Modification|User Account: User Account Authentication</t>
        </is>
      </c>
      <c r="F443" s="74" t="n">
        <v>2</v>
      </c>
      <c r="G443" s="72">
        <f t="array" ref="G443">SUM(IF(ISERROR(FIND(sources[data source],techniques[[#This Row],[data sources]])),0,1)*IF(sources[available]="yes",1,0))</f>
        <v/>
      </c>
      <c r="H443" s="73">
        <f t="array" ref="H443">IF(techniques[[#This Row],[technique]]=techniques[[#This Row],[id]],SUM(IF(techniques[[#This Row],[id]]=techniques[technique],1,0))-1,"")</f>
        <v/>
      </c>
      <c r="I443" s="74">
        <f t="array" ref="I443">IF(SUM(IF($C443=detections[],IF(detections[is active]="yes",1,0),0))&gt;0,SUM(IF($C443=detections[],IF(detections[is active]="yes",1,0),0)),"")</f>
        <v/>
      </c>
      <c r="J443" s="74">
        <f t="array" ref="J44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43" s="74">
        <f>IF(AND(ISNUMBER(techniques[[#This Row],[number of sub techniques]]),techniques[[#This Row],[number of sub techniques]]&gt;1),techniques[number of sub techniques],1)</f>
        <v/>
      </c>
      <c r="L443" s="72" t="n"/>
      <c r="M443" s="74">
        <f t="array" ref="M44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4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43" s="26">
        <f>IF(techniques[[#This Row],[detection rules]]&gt;=techniques[[#This Row],[expected detection rules]],1,techniques[[#This Row],[detection rules]]/techniques[[#This Row],[expected detection rules]])</f>
        <v/>
      </c>
      <c r="P44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43" s="29">
        <f>IF(ISERROR(SEARCH(techniques[[#This Row],[id]],techniques[[#This Row],[name]])),"ERROR","")</f>
        <v/>
      </c>
      <c r="S44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44" ht="12.75" customHeight="1">
      <c r="A444" s="74" t="inlineStr">
        <is>
          <t>T1556</t>
        </is>
      </c>
      <c r="B444" s="74" t="inlineStr">
        <is>
          <t>T1556.005</t>
        </is>
      </c>
      <c r="C444" s="13" t="inlineStr">
        <is>
          <t>Reversible Encryption (T1556.005)</t>
        </is>
      </c>
      <c r="D444" s="13" t="inlineStr">
        <is>
          <t>defense-impairment|persistence|credential-access</t>
        </is>
      </c>
      <c r="E444" s="13" t="inlineStr">
        <is>
          <t>Active Directory: Active Directory Object Modification|Command: Command Execution|Process: Process Creation</t>
        </is>
      </c>
      <c r="F444" s="74" t="n">
        <v>3</v>
      </c>
      <c r="G444" s="72">
        <f t="array" ref="G444">SUM(IF(ISERROR(FIND(sources[data source],techniques[[#This Row],[data sources]])),0,1)*IF(sources[available]="yes",1,0))</f>
        <v/>
      </c>
      <c r="H444" s="73">
        <f t="array" ref="H444">IF(techniques[[#This Row],[technique]]=techniques[[#This Row],[id]],SUM(IF(techniques[[#This Row],[id]]=techniques[technique],1,0))-1,"")</f>
        <v/>
      </c>
      <c r="I444" s="74">
        <f t="array" ref="I444">IF(SUM(IF($C444=detections[],IF(detections[is active]="yes",1,0),0))&gt;0,SUM(IF($C444=detections[],IF(detections[is active]="yes",1,0),0)),"")</f>
        <v/>
      </c>
      <c r="J444" s="74">
        <f t="array" ref="J44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44" s="74">
        <f>IF(AND(ISNUMBER(techniques[[#This Row],[number of sub techniques]]),techniques[[#This Row],[number of sub techniques]]&gt;1),techniques[number of sub techniques],1)</f>
        <v/>
      </c>
      <c r="L444" s="72" t="n"/>
      <c r="M444" s="74">
        <f t="array" ref="M44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4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44" s="26">
        <f>IF(techniques[[#This Row],[detection rules]]&gt;=techniques[[#This Row],[expected detection rules]],1,techniques[[#This Row],[detection rules]]/techniques[[#This Row],[expected detection rules]])</f>
        <v/>
      </c>
      <c r="P44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44" s="29">
        <f>IF(ISERROR(SEARCH(techniques[[#This Row],[id]],techniques[[#This Row],[name]])),"ERROR","")</f>
        <v/>
      </c>
      <c r="S44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45" ht="12.75" customHeight="1">
      <c r="A445" s="74" t="inlineStr">
        <is>
          <t>T1556</t>
        </is>
      </c>
      <c r="B445" s="74" t="inlineStr">
        <is>
          <t>T1556.006</t>
        </is>
      </c>
      <c r="C445" s="13" t="inlineStr">
        <is>
          <t>Multi-Factor Authentication (T1556.006)</t>
        </is>
      </c>
      <c r="D445" s="13" t="inlineStr">
        <is>
          <t>defense-impairment|persistence|credential-access</t>
        </is>
      </c>
      <c r="E445" s="13" t="inlineStr">
        <is>
          <t>Active Directory: Active Directory Object Modification|Application Log: Application Log Content|Cloud Service: Cloud Service Modification|File: File Modification|Script: Script Execution|User Account: User Account Authentication|User Account: User Account Modification</t>
        </is>
      </c>
      <c r="F445" s="74" t="n">
        <v>7</v>
      </c>
      <c r="G445" s="72">
        <f t="array" ref="G445">SUM(IF(ISERROR(FIND(sources[data source],techniques[[#This Row],[data sources]])),0,1)*IF(sources[available]="yes",1,0))</f>
        <v/>
      </c>
      <c r="H445" s="73">
        <f t="array" ref="H445">IF(techniques[[#This Row],[technique]]=techniques[[#This Row],[id]],SUM(IF(techniques[[#This Row],[id]]=techniques[technique],1,0))-1,"")</f>
        <v/>
      </c>
      <c r="I445" s="74">
        <f t="array" ref="I445">IF(SUM(IF($C445=detections[],IF(detections[is active]="yes",1,0),0))&gt;0,SUM(IF($C445=detections[],IF(detections[is active]="yes",1,0),0)),"")</f>
        <v/>
      </c>
      <c r="J445" s="74">
        <f t="array" ref="J44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45" s="74">
        <f>IF(AND(ISNUMBER(techniques[[#This Row],[number of sub techniques]]),techniques[[#This Row],[number of sub techniques]]&gt;1),techniques[number of sub techniques],1)</f>
        <v/>
      </c>
      <c r="L445" s="72" t="n"/>
      <c r="M445" s="74">
        <f t="array" ref="M44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4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45" s="26">
        <f>IF(techniques[[#This Row],[detection rules]]&gt;=techniques[[#This Row],[expected detection rules]],1,techniques[[#This Row],[detection rules]]/techniques[[#This Row],[expected detection rules]])</f>
        <v/>
      </c>
      <c r="P44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45" s="29">
        <f>IF(ISERROR(SEARCH(techniques[[#This Row],[id]],techniques[[#This Row],[name]])),"ERROR","")</f>
        <v/>
      </c>
      <c r="S44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46" ht="12.75" customHeight="1">
      <c r="A446" s="74" t="inlineStr">
        <is>
          <t>T1556</t>
        </is>
      </c>
      <c r="B446" s="74" t="inlineStr">
        <is>
          <t>T1556.007</t>
        </is>
      </c>
      <c r="C446" s="13" t="inlineStr">
        <is>
          <t>Hybrid Identity (T1556.007)</t>
        </is>
      </c>
      <c r="D446" s="13" t="inlineStr">
        <is>
          <t>defense-impairment|persistence|credential-access</t>
        </is>
      </c>
      <c r="E446" s="13" t="inlineStr">
        <is>
          <t>Active Directory: Active Directory Object Modification|Application Log: Application Log Content|Cloud Service: Cloud Service Modification|Logon Session: Logon Session Creation|Module: Module Load|User Account: User Account Modification</t>
        </is>
      </c>
      <c r="F446" s="74" t="n">
        <v>6</v>
      </c>
      <c r="G446" s="72">
        <f t="array" ref="G446">SUM(IF(ISERROR(FIND(sources[data source],techniques[[#This Row],[data sources]])),0,1)*IF(sources[available]="yes",1,0))</f>
        <v/>
      </c>
      <c r="H446" s="73">
        <f t="array" ref="H446">IF(techniques[[#This Row],[technique]]=techniques[[#This Row],[id]],SUM(IF(techniques[[#This Row],[id]]=techniques[technique],1,0))-1,"")</f>
        <v/>
      </c>
      <c r="I446" s="74">
        <f t="array" ref="I446">IF(SUM(IF($C446=detections[],IF(detections[is active]="yes",1,0),0))&gt;0,SUM(IF($C446=detections[],IF(detections[is active]="yes",1,0),0)),"")</f>
        <v/>
      </c>
      <c r="J446" s="74">
        <f t="array" ref="J44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46" s="74">
        <f>IF(AND(ISNUMBER(techniques[[#This Row],[number of sub techniques]]),techniques[[#This Row],[number of sub techniques]]&gt;1),techniques[number of sub techniques],1)</f>
        <v/>
      </c>
      <c r="L446" s="72" t="n"/>
      <c r="M446" s="74">
        <f t="array" ref="M44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4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46" s="26">
        <f>IF(techniques[[#This Row],[detection rules]]&gt;=techniques[[#This Row],[expected detection rules]],1,techniques[[#This Row],[detection rules]]/techniques[[#This Row],[expected detection rules]])</f>
        <v/>
      </c>
      <c r="P44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46" s="29">
        <f>IF(ISERROR(SEARCH(techniques[[#This Row],[id]],techniques[[#This Row],[name]])),"ERROR","")</f>
        <v/>
      </c>
      <c r="S44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47" ht="12.75" customHeight="1">
      <c r="A447" s="74" t="inlineStr">
        <is>
          <t>T1556</t>
        </is>
      </c>
      <c r="B447" s="74" t="inlineStr">
        <is>
          <t>T1556.008</t>
        </is>
      </c>
      <c r="C447" s="13" t="inlineStr">
        <is>
          <t>Network Provider DLL (T1556.008)</t>
        </is>
      </c>
      <c r="D447" s="13" t="inlineStr">
        <is>
          <t>defense-impairment|persistence|credential-access</t>
        </is>
      </c>
      <c r="E447" s="13" t="inlineStr">
        <is>
          <t>File: File Creation|Module: Module Load|Process: Process Access|Windows Registry: Windows Registry Key Modification</t>
        </is>
      </c>
      <c r="F447" s="74" t="n">
        <v>4</v>
      </c>
      <c r="G447" s="72">
        <f t="array" ref="G447">SUM(IF(ISERROR(FIND(sources[data source],techniques[[#This Row],[data sources]])),0,1)*IF(sources[available]="yes",1,0))</f>
        <v/>
      </c>
      <c r="H447" s="73">
        <f t="array" ref="H447">IF(techniques[[#This Row],[technique]]=techniques[[#This Row],[id]],SUM(IF(techniques[[#This Row],[id]]=techniques[technique],1,0))-1,"")</f>
        <v/>
      </c>
      <c r="I447" s="74">
        <f t="array" ref="I447">IF(SUM(IF($C447=detections[],IF(detections[is active]="yes",1,0),0))&gt;0,SUM(IF($C447=detections[],IF(detections[is active]="yes",1,0),0)),"")</f>
        <v/>
      </c>
      <c r="J447" s="74">
        <f t="array" ref="J44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47" s="74">
        <f>IF(AND(ISNUMBER(techniques[[#This Row],[number of sub techniques]]),techniques[[#This Row],[number of sub techniques]]&gt;1),techniques[number of sub techniques],1)</f>
        <v/>
      </c>
      <c r="L447" s="72" t="n"/>
      <c r="M447" s="74">
        <f t="array" ref="M44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4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47" s="26">
        <f>IF(techniques[[#This Row],[detection rules]]&gt;=techniques[[#This Row],[expected detection rules]],1,techniques[[#This Row],[detection rules]]/techniques[[#This Row],[expected detection rules]])</f>
        <v/>
      </c>
      <c r="P44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47" s="29">
        <f>IF(ISERROR(SEARCH(techniques[[#This Row],[id]],techniques[[#This Row],[name]])),"ERROR","")</f>
        <v/>
      </c>
      <c r="S44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48" ht="12.75" customHeight="1">
      <c r="A448" s="74" t="inlineStr">
        <is>
          <t>T1556</t>
        </is>
      </c>
      <c r="B448" s="74" t="inlineStr">
        <is>
          <t>T1556.009</t>
        </is>
      </c>
      <c r="C448" s="13" t="inlineStr">
        <is>
          <t>Conditional Access Policies (T1556.009)</t>
        </is>
      </c>
      <c r="D448" s="13" t="inlineStr">
        <is>
          <t>defense-impairment|persistence|credential-access</t>
        </is>
      </c>
      <c r="E448" s="13" t="inlineStr">
        <is>
          <t>Active Directory: Active Directory Object Modification|Application Log: Application Log Content|Cloud Service: Cloud Service Modification</t>
        </is>
      </c>
      <c r="F448" s="74" t="n">
        <v>3</v>
      </c>
      <c r="G448" s="72">
        <f t="array" ref="G448">SUM(IF(ISERROR(FIND(sources[data source],techniques[[#This Row],[data sources]])),0,1)*IF(sources[available]="yes",1,0))</f>
        <v/>
      </c>
      <c r="H448" s="73">
        <f t="array" ref="H448">IF(techniques[[#This Row],[technique]]=techniques[[#This Row],[id]],SUM(IF(techniques[[#This Row],[id]]=techniques[technique],1,0))-1,"")</f>
        <v/>
      </c>
      <c r="I448" s="74">
        <f t="array" ref="I448">IF(SUM(IF($C448=detections[],IF(detections[is active]="yes",1,0),0))&gt;0,SUM(IF($C448=detections[],IF(detections[is active]="yes",1,0),0)),"")</f>
        <v/>
      </c>
      <c r="J448" s="74">
        <f t="array" ref="J44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48" s="74">
        <f>IF(AND(ISNUMBER(techniques[[#This Row],[number of sub techniques]]),techniques[[#This Row],[number of sub techniques]]&gt;1),techniques[number of sub techniques],1)</f>
        <v/>
      </c>
      <c r="L448" s="72" t="n"/>
      <c r="M448" s="74">
        <f t="array" ref="M44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4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48" s="26">
        <f>IF(techniques[[#This Row],[detection rules]]&gt;=techniques[[#This Row],[expected detection rules]],1,techniques[[#This Row],[detection rules]]/techniques[[#This Row],[expected detection rules]])</f>
        <v/>
      </c>
      <c r="P44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48" s="29">
        <f>IF(ISERROR(SEARCH(techniques[[#This Row],[id]],techniques[[#This Row],[name]])),"ERROR","")</f>
        <v/>
      </c>
      <c r="S44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49" ht="12.75" customHeight="1">
      <c r="A449" s="74" t="inlineStr">
        <is>
          <t>T1557</t>
        </is>
      </c>
      <c r="B449" s="74" t="inlineStr">
        <is>
          <t>T1557</t>
        </is>
      </c>
      <c r="C449" s="13" t="inlineStr">
        <is>
          <t>Adversary-in-the-Middle (T1557)</t>
        </is>
      </c>
      <c r="D449" s="13" t="inlineStr">
        <is>
          <t>credential-access|collection</t>
        </is>
      </c>
      <c r="E449" s="13" t="inlineStr">
        <is>
          <t>Application Log: Application Log Content|File: File Modification|Network Traffic: Network Connection Creation|Network Traffic: Network Traffic Content|Network Traffic: Network Traffic Flow|Windows Registry: Windows Registry Key Modification</t>
        </is>
      </c>
      <c r="F449" s="74" t="n">
        <v>6</v>
      </c>
      <c r="G449" s="72">
        <f t="array" ref="G449">SUM(IF(ISERROR(FIND(sources[data source],techniques[[#This Row],[data sources]])),0,1)*IF(sources[available]="yes",1,0))</f>
        <v/>
      </c>
      <c r="H449" s="73">
        <f t="array" ref="H449">IF(techniques[[#This Row],[technique]]=techniques[[#This Row],[id]],SUM(IF(techniques[[#This Row],[id]]=techniques[technique],1,0))-1,"")</f>
        <v/>
      </c>
      <c r="I449" s="74">
        <f t="array" ref="I449">IF(SUM(IF($C449=detections[],IF(detections[is active]="yes",1,0),0))&gt;0,SUM(IF($C449=detections[],IF(detections[is active]="yes",1,0),0)),"")</f>
        <v/>
      </c>
      <c r="J449" s="74">
        <f t="array" ref="J44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49" s="74">
        <f>IF(AND(ISNUMBER(techniques[[#This Row],[number of sub techniques]]),techniques[[#This Row],[number of sub techniques]]&gt;1),techniques[number of sub techniques],1)</f>
        <v/>
      </c>
      <c r="L449" s="72" t="n"/>
      <c r="M449" s="74">
        <f t="array" ref="M44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4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49" s="26">
        <f>IF(techniques[[#This Row],[detection rules]]&gt;=techniques[[#This Row],[expected detection rules]],1,techniques[[#This Row],[detection rules]]/techniques[[#This Row],[expected detection rules]])</f>
        <v/>
      </c>
      <c r="P44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49" s="29">
        <f>IF(ISERROR(SEARCH(techniques[[#This Row],[id]],techniques[[#This Row],[name]])),"ERROR","")</f>
        <v/>
      </c>
      <c r="S44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50" ht="12.75" customHeight="1">
      <c r="A450" s="74" t="inlineStr">
        <is>
          <t>T1557</t>
        </is>
      </c>
      <c r="B450" s="74" t="inlineStr">
        <is>
          <t>T1557.001</t>
        </is>
      </c>
      <c r="C450" s="13" t="inlineStr">
        <is>
          <t>Name Resolution Poisoning and SMB Relay (T1557.001)</t>
        </is>
      </c>
      <c r="D450" s="13" t="inlineStr">
        <is>
          <t>credential-access|collection</t>
        </is>
      </c>
      <c r="E450" s="13" t="inlineStr">
        <is>
          <t>Network Traffic: Network Traffic Content|Network Traffic: Network Traffic Flow|Service: Service Creation|Windows Registry: Windows Registry Key Modification</t>
        </is>
      </c>
      <c r="F450" s="74" t="n">
        <v>4</v>
      </c>
      <c r="G450" s="72">
        <f t="array" ref="G450">SUM(IF(ISERROR(FIND(sources[data source],techniques[[#This Row],[data sources]])),0,1)*IF(sources[available]="yes",1,0))</f>
        <v/>
      </c>
      <c r="H450" s="73">
        <f t="array" ref="H450">IF(techniques[[#This Row],[technique]]=techniques[[#This Row],[id]],SUM(IF(techniques[[#This Row],[id]]=techniques[technique],1,0))-1,"")</f>
        <v/>
      </c>
      <c r="I450" s="74">
        <f t="array" ref="I450">IF(SUM(IF($C450=detections[],IF(detections[is active]="yes",1,0),0))&gt;0,SUM(IF($C450=detections[],IF(detections[is active]="yes",1,0),0)),"")</f>
        <v/>
      </c>
      <c r="J450" s="74">
        <f t="array" ref="J45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50" s="74">
        <f>IF(AND(ISNUMBER(techniques[[#This Row],[number of sub techniques]]),techniques[[#This Row],[number of sub techniques]]&gt;1),techniques[number of sub techniques],1)</f>
        <v/>
      </c>
      <c r="L450" s="72" t="n"/>
      <c r="M450" s="74">
        <f t="array" ref="M45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5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50" s="26">
        <f>IF(techniques[[#This Row],[detection rules]]&gt;=techniques[[#This Row],[expected detection rules]],1,techniques[[#This Row],[detection rules]]/techniques[[#This Row],[expected detection rules]])</f>
        <v/>
      </c>
      <c r="P45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50" s="29">
        <f>IF(ISERROR(SEARCH(techniques[[#This Row],[id]],techniques[[#This Row],[name]])),"ERROR","")</f>
        <v/>
      </c>
      <c r="S45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51" ht="12.75" customHeight="1">
      <c r="A451" s="74" t="inlineStr">
        <is>
          <t>T1557</t>
        </is>
      </c>
      <c r="B451" s="74" t="inlineStr">
        <is>
          <t>T1557.002</t>
        </is>
      </c>
      <c r="C451" s="13" t="inlineStr">
        <is>
          <t>ARP Cache Poisoning (T1557.002)</t>
        </is>
      </c>
      <c r="D451" s="13" t="inlineStr">
        <is>
          <t>credential-access|collection</t>
        </is>
      </c>
      <c r="E451" s="13" t="inlineStr">
        <is>
          <t>Network Traffic: Network Connection Creation|Network Traffic: Network Traffic Content|Network Traffic: Network Traffic Flow</t>
        </is>
      </c>
      <c r="F451" s="74" t="n">
        <v>3</v>
      </c>
      <c r="G451" s="72">
        <f t="array" ref="G451">SUM(IF(ISERROR(FIND(sources[data source],techniques[[#This Row],[data sources]])),0,1)*IF(sources[available]="yes",1,0))</f>
        <v/>
      </c>
      <c r="H451" s="73">
        <f t="array" ref="H451">IF(techniques[[#This Row],[technique]]=techniques[[#This Row],[id]],SUM(IF(techniques[[#This Row],[id]]=techniques[technique],1,0))-1,"")</f>
        <v/>
      </c>
      <c r="I451" s="74">
        <f t="array" ref="I451">IF(SUM(IF($C451=detections[],IF(detections[is active]="yes",1,0),0))&gt;0,SUM(IF($C451=detections[],IF(detections[is active]="yes",1,0),0)),"")</f>
        <v/>
      </c>
      <c r="J451" s="74">
        <f t="array" ref="J45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51" s="74">
        <f>IF(AND(ISNUMBER(techniques[[#This Row],[number of sub techniques]]),techniques[[#This Row],[number of sub techniques]]&gt;1),techniques[number of sub techniques],1)</f>
        <v/>
      </c>
      <c r="L451" s="72" t="n"/>
      <c r="M451" s="74">
        <f t="array" ref="M45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5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51" s="26">
        <f>IF(techniques[[#This Row],[detection rules]]&gt;=techniques[[#This Row],[expected detection rules]],1,techniques[[#This Row],[detection rules]]/techniques[[#This Row],[expected detection rules]])</f>
        <v/>
      </c>
      <c r="P45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51" s="29">
        <f>IF(ISERROR(SEARCH(techniques[[#This Row],[id]],techniques[[#This Row],[name]])),"ERROR","")</f>
        <v/>
      </c>
      <c r="S45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52" ht="12.75" customHeight="1">
      <c r="A452" s="74" t="inlineStr">
        <is>
          <t>T1557</t>
        </is>
      </c>
      <c r="B452" s="74" t="inlineStr">
        <is>
          <t>T1557.003</t>
        </is>
      </c>
      <c r="C452" s="13" t="inlineStr">
        <is>
          <t>DHCP Spoofing (T1557.003)</t>
        </is>
      </c>
      <c r="D452" s="13" t="inlineStr">
        <is>
          <t>credential-access|collection</t>
        </is>
      </c>
      <c r="E452" s="13" t="inlineStr">
        <is>
          <t>Application Log: Application Log Content|Network Traffic: Network Traffic Content|Network Traffic: Network Traffic Flow</t>
        </is>
      </c>
      <c r="F452" s="74" t="n">
        <v>3</v>
      </c>
      <c r="G452" s="72">
        <f t="array" ref="G452">SUM(IF(ISERROR(FIND(sources[data source],techniques[[#This Row],[data sources]])),0,1)*IF(sources[available]="yes",1,0))</f>
        <v/>
      </c>
      <c r="H452" s="73">
        <f t="array" ref="H452">IF(techniques[[#This Row],[technique]]=techniques[[#This Row],[id]],SUM(IF(techniques[[#This Row],[id]]=techniques[technique],1,0))-1,"")</f>
        <v/>
      </c>
      <c r="I452" s="74">
        <f t="array" ref="I452">IF(SUM(IF($C452=detections[],IF(detections[is active]="yes",1,0),0))&gt;0,SUM(IF($C452=detections[],IF(detections[is active]="yes",1,0),0)),"")</f>
        <v/>
      </c>
      <c r="J452" s="74">
        <f t="array" ref="J45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52" s="74">
        <f>IF(AND(ISNUMBER(techniques[[#This Row],[number of sub techniques]]),techniques[[#This Row],[number of sub techniques]]&gt;1),techniques[number of sub techniques],1)</f>
        <v/>
      </c>
      <c r="L452" s="72" t="n"/>
      <c r="M452" s="74">
        <f t="array" ref="M45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5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52" s="26">
        <f>IF(techniques[[#This Row],[detection rules]]&gt;=techniques[[#This Row],[expected detection rules]],1,techniques[[#This Row],[detection rules]]/techniques[[#This Row],[expected detection rules]])</f>
        <v/>
      </c>
      <c r="P45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52" s="29">
        <f>IF(ISERROR(SEARCH(techniques[[#This Row],[id]],techniques[[#This Row],[name]])),"ERROR","")</f>
        <v/>
      </c>
      <c r="S45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53" ht="12.75" customHeight="1">
      <c r="A453" s="74" t="inlineStr">
        <is>
          <t>T1557</t>
        </is>
      </c>
      <c r="B453" s="74" t="inlineStr">
        <is>
          <t>T1557.004</t>
        </is>
      </c>
      <c r="C453" s="13" t="inlineStr">
        <is>
          <t>Evil Twin (T1557.004)</t>
        </is>
      </c>
      <c r="D453" s="13" t="inlineStr">
        <is>
          <t>credential-access|collection</t>
        </is>
      </c>
      <c r="E453" s="13" t="inlineStr">
        <is>
          <t>Application Log: Application Log Content|Network Traffic: Network Traffic Content|Network Traffic: Network Traffic Flow</t>
        </is>
      </c>
      <c r="F453" s="74" t="n">
        <v>3</v>
      </c>
      <c r="G453" s="72">
        <f t="array" ref="G453">SUM(IF(ISERROR(FIND(sources[data source],techniques[[#This Row],[data sources]])),0,1)*IF(sources[available]="yes",1,0))</f>
        <v/>
      </c>
      <c r="H453" s="73">
        <f t="array" ref="H453">IF(techniques[[#This Row],[technique]]=techniques[[#This Row],[id]],SUM(IF(techniques[[#This Row],[id]]=techniques[technique],1,0))-1,"")</f>
        <v/>
      </c>
      <c r="I453" s="74">
        <f t="array" ref="I453">IF(SUM(IF($C453=detections[],IF(detections[is active]="yes",1,0),0))&gt;0,SUM(IF($C453=detections[],IF(detections[is active]="yes",1,0),0)),"")</f>
        <v/>
      </c>
      <c r="J453" s="74">
        <f t="array" ref="J45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53" s="74">
        <f>IF(AND(ISNUMBER(techniques[[#This Row],[number of sub techniques]]),techniques[[#This Row],[number of sub techniques]]&gt;1),techniques[number of sub techniques],1)</f>
        <v/>
      </c>
      <c r="L453" s="72" t="n"/>
      <c r="M453" s="74">
        <f t="array" ref="M45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5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53" s="26">
        <f>IF(techniques[[#This Row],[detection rules]]&gt;=techniques[[#This Row],[expected detection rules]],1,techniques[[#This Row],[detection rules]]/techniques[[#This Row],[expected detection rules]])</f>
        <v/>
      </c>
      <c r="P45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53" s="29">
        <f>IF(ISERROR(SEARCH(techniques[[#This Row],[id]],techniques[[#This Row],[name]])),"ERROR","")</f>
        <v/>
      </c>
      <c r="S45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54" ht="12.75" customHeight="1">
      <c r="A454" s="74" t="inlineStr">
        <is>
          <t>T1558</t>
        </is>
      </c>
      <c r="B454" s="74" t="inlineStr">
        <is>
          <t>T1558</t>
        </is>
      </c>
      <c r="C454" s="13" t="inlineStr">
        <is>
          <t>Steal or Forge Kerberos Tickets (T1558)</t>
        </is>
      </c>
      <c r="D454" s="13" t="inlineStr">
        <is>
          <t>credential-access</t>
        </is>
      </c>
      <c r="E454" s="13" t="inlineStr">
        <is>
          <t>Active Directory: Active Directory Credential Request|File: File Access|Logon Session: Logon Session Metadata|Process: Process Access</t>
        </is>
      </c>
      <c r="F454" s="74" t="n">
        <v>4</v>
      </c>
      <c r="G454" s="72">
        <f t="array" ref="G454">SUM(IF(ISERROR(FIND(sources[data source],techniques[[#This Row],[data sources]])),0,1)*IF(sources[available]="yes",1,0))</f>
        <v/>
      </c>
      <c r="H454" s="73">
        <f t="array" ref="H454">IF(techniques[[#This Row],[technique]]=techniques[[#This Row],[id]],SUM(IF(techniques[[#This Row],[id]]=techniques[technique],1,0))-1,"")</f>
        <v/>
      </c>
      <c r="I454" s="74">
        <f t="array" ref="I454">IF(SUM(IF($C454=detections[],IF(detections[is active]="yes",1,0),0))&gt;0,SUM(IF($C454=detections[],IF(detections[is active]="yes",1,0),0)),"")</f>
        <v/>
      </c>
      <c r="J454" s="74">
        <f t="array" ref="J45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54" s="74">
        <f>IF(AND(ISNUMBER(techniques[[#This Row],[number of sub techniques]]),techniques[[#This Row],[number of sub techniques]]&gt;1),techniques[number of sub techniques],1)</f>
        <v/>
      </c>
      <c r="L454" s="72" t="n"/>
      <c r="M454" s="74">
        <f t="array" ref="M45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5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54" s="26">
        <f>IF(techniques[[#This Row],[detection rules]]&gt;=techniques[[#This Row],[expected detection rules]],1,techniques[[#This Row],[detection rules]]/techniques[[#This Row],[expected detection rules]])</f>
        <v/>
      </c>
      <c r="P45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54" s="29">
        <f>IF(ISERROR(SEARCH(techniques[[#This Row],[id]],techniques[[#This Row],[name]])),"ERROR","")</f>
        <v/>
      </c>
      <c r="S45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55" ht="12.75" customHeight="1">
      <c r="A455" s="74" t="inlineStr">
        <is>
          <t>T1558</t>
        </is>
      </c>
      <c r="B455" s="74" t="inlineStr">
        <is>
          <t>T1558.001</t>
        </is>
      </c>
      <c r="C455" s="13" t="inlineStr">
        <is>
          <t>Golden Ticket (T1558.001)</t>
        </is>
      </c>
      <c r="D455" s="13" t="inlineStr">
        <is>
          <t>credential-access</t>
        </is>
      </c>
      <c r="E455" s="13" t="inlineStr">
        <is>
          <t>Active Directory: Active Directory Credential Request|Logon Session: Logon Session Metadata|Process: Process Access</t>
        </is>
      </c>
      <c r="F455" s="74" t="n">
        <v>3</v>
      </c>
      <c r="G455" s="72">
        <f t="array" ref="G455">SUM(IF(ISERROR(FIND(sources[data source],techniques[[#This Row],[data sources]])),0,1)*IF(sources[available]="yes",1,0))</f>
        <v/>
      </c>
      <c r="H455" s="73">
        <f t="array" ref="H455">IF(techniques[[#This Row],[technique]]=techniques[[#This Row],[id]],SUM(IF(techniques[[#This Row],[id]]=techniques[technique],1,0))-1,"")</f>
        <v/>
      </c>
      <c r="I455" s="74">
        <f t="array" ref="I455">IF(SUM(IF($C455=detections[],IF(detections[is active]="yes",1,0),0))&gt;0,SUM(IF($C455=detections[],IF(detections[is active]="yes",1,0),0)),"")</f>
        <v/>
      </c>
      <c r="J455" s="74">
        <f t="array" ref="J45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55" s="74">
        <f>IF(AND(ISNUMBER(techniques[[#This Row],[number of sub techniques]]),techniques[[#This Row],[number of sub techniques]]&gt;1),techniques[number of sub techniques],1)</f>
        <v/>
      </c>
      <c r="L455" s="72" t="n"/>
      <c r="M455" s="74">
        <f t="array" ref="M45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5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55" s="26">
        <f>IF(techniques[[#This Row],[detection rules]]&gt;=techniques[[#This Row],[expected detection rules]],1,techniques[[#This Row],[detection rules]]/techniques[[#This Row],[expected detection rules]])</f>
        <v/>
      </c>
      <c r="P45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55" s="29">
        <f>IF(ISERROR(SEARCH(techniques[[#This Row],[id]],techniques[[#This Row],[name]])),"ERROR","")</f>
        <v/>
      </c>
      <c r="S45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56" ht="12.75" customHeight="1">
      <c r="A456" s="74" t="inlineStr">
        <is>
          <t>T1558</t>
        </is>
      </c>
      <c r="B456" s="74" t="inlineStr">
        <is>
          <t>T1558.002</t>
        </is>
      </c>
      <c r="C456" s="13" t="inlineStr">
        <is>
          <t>Silver Ticket (T1558.002)</t>
        </is>
      </c>
      <c r="D456" s="13" t="inlineStr">
        <is>
          <t>credential-access</t>
        </is>
      </c>
      <c r="E456" s="13" t="inlineStr">
        <is>
          <t>Active Directory: Active Directory Credential Request|Logon Session: Logon Session Metadata|Process: Process Access</t>
        </is>
      </c>
      <c r="F456" s="74" t="n">
        <v>3</v>
      </c>
      <c r="G456" s="72">
        <f t="array" ref="G456">SUM(IF(ISERROR(FIND(sources[data source],techniques[[#This Row],[data sources]])),0,1)*IF(sources[available]="yes",1,0))</f>
        <v/>
      </c>
      <c r="H456" s="73">
        <f t="array" ref="H456">IF(techniques[[#This Row],[technique]]=techniques[[#This Row],[id]],SUM(IF(techniques[[#This Row],[id]]=techniques[technique],1,0))-1,"")</f>
        <v/>
      </c>
      <c r="I456" s="74">
        <f t="array" ref="I456">IF(SUM(IF($C456=detections[],IF(detections[is active]="yes",1,0),0))&gt;0,SUM(IF($C456=detections[],IF(detections[is active]="yes",1,0),0)),"")</f>
        <v/>
      </c>
      <c r="J456" s="74">
        <f t="array" ref="J45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56" s="74">
        <f>IF(AND(ISNUMBER(techniques[[#This Row],[number of sub techniques]]),techniques[[#This Row],[number of sub techniques]]&gt;1),techniques[number of sub techniques],1)</f>
        <v/>
      </c>
      <c r="L456" s="72" t="n"/>
      <c r="M456" s="74">
        <f t="array" ref="M45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5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56" s="26">
        <f>IF(techniques[[#This Row],[detection rules]]&gt;=techniques[[#This Row],[expected detection rules]],1,techniques[[#This Row],[detection rules]]/techniques[[#This Row],[expected detection rules]])</f>
        <v/>
      </c>
      <c r="P45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56" s="29">
        <f>IF(ISERROR(SEARCH(techniques[[#This Row],[id]],techniques[[#This Row],[name]])),"ERROR","")</f>
        <v/>
      </c>
      <c r="S45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57" ht="12.75" customHeight="1">
      <c r="A457" s="74" t="inlineStr">
        <is>
          <t>T1558</t>
        </is>
      </c>
      <c r="B457" s="74" t="inlineStr">
        <is>
          <t>T1558.003</t>
        </is>
      </c>
      <c r="C457" s="13" t="inlineStr">
        <is>
          <t>Kerberoasting (T1558.003)</t>
        </is>
      </c>
      <c r="D457" s="13" t="inlineStr">
        <is>
          <t>credential-access</t>
        </is>
      </c>
      <c r="E457" s="13" t="inlineStr">
        <is>
          <t>Active Directory: Active Directory Credential Request|Logon Session: Logon Session Creation|Logon Session: Logon Session Metadata|Process: Process Access</t>
        </is>
      </c>
      <c r="F457" s="74" t="n">
        <v>4</v>
      </c>
      <c r="G457" s="72">
        <f t="array" ref="G457">SUM(IF(ISERROR(FIND(sources[data source],techniques[[#This Row],[data sources]])),0,1)*IF(sources[available]="yes",1,0))</f>
        <v/>
      </c>
      <c r="H457" s="73">
        <f t="array" ref="H457">IF(techniques[[#This Row],[technique]]=techniques[[#This Row],[id]],SUM(IF(techniques[[#This Row],[id]]=techniques[technique],1,0))-1,"")</f>
        <v/>
      </c>
      <c r="I457" s="74">
        <f t="array" ref="I457">IF(SUM(IF($C457=detections[],IF(detections[is active]="yes",1,0),0))&gt;0,SUM(IF($C457=detections[],IF(detections[is active]="yes",1,0),0)),"")</f>
        <v/>
      </c>
      <c r="J457" s="74">
        <f t="array" ref="J45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57" s="74">
        <f>IF(AND(ISNUMBER(techniques[[#This Row],[number of sub techniques]]),techniques[[#This Row],[number of sub techniques]]&gt;1),techniques[number of sub techniques],1)</f>
        <v/>
      </c>
      <c r="L457" s="72" t="n"/>
      <c r="M457" s="74">
        <f t="array" ref="M45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5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57" s="26">
        <f>IF(techniques[[#This Row],[detection rules]]&gt;=techniques[[#This Row],[expected detection rules]],1,techniques[[#This Row],[detection rules]]/techniques[[#This Row],[expected detection rules]])</f>
        <v/>
      </c>
      <c r="P45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57" s="29">
        <f>IF(ISERROR(SEARCH(techniques[[#This Row],[id]],techniques[[#This Row],[name]])),"ERROR","")</f>
        <v/>
      </c>
      <c r="S45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58" ht="12.75" customHeight="1">
      <c r="A458" s="74" t="inlineStr">
        <is>
          <t>T1558</t>
        </is>
      </c>
      <c r="B458" s="74" t="inlineStr">
        <is>
          <t>T1558.004</t>
        </is>
      </c>
      <c r="C458" s="13" t="inlineStr">
        <is>
          <t>AS-REP Roasting (T1558.004)</t>
        </is>
      </c>
      <c r="D458" s="13" t="inlineStr">
        <is>
          <t>credential-access</t>
        </is>
      </c>
      <c r="E458" s="13" t="inlineStr">
        <is>
          <t>Active Directory: Active Directory Credential Request|Process: Process Creation</t>
        </is>
      </c>
      <c r="F458" s="74" t="n">
        <v>2</v>
      </c>
      <c r="G458" s="72">
        <f t="array" ref="G458">SUM(IF(ISERROR(FIND(sources[data source],techniques[[#This Row],[data sources]])),0,1)*IF(sources[available]="yes",1,0))</f>
        <v/>
      </c>
      <c r="H458" s="73">
        <f t="array" ref="H458">IF(techniques[[#This Row],[technique]]=techniques[[#This Row],[id]],SUM(IF(techniques[[#This Row],[id]]=techniques[technique],1,0))-1,"")</f>
        <v/>
      </c>
      <c r="I458" s="74">
        <f t="array" ref="I458">IF(SUM(IF($C458=detections[],IF(detections[is active]="yes",1,0),0))&gt;0,SUM(IF($C458=detections[],IF(detections[is active]="yes",1,0),0)),"")</f>
        <v/>
      </c>
      <c r="J458" s="74">
        <f t="array" ref="J45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58" s="74">
        <f>IF(AND(ISNUMBER(techniques[[#This Row],[number of sub techniques]]),techniques[[#This Row],[number of sub techniques]]&gt;1),techniques[number of sub techniques],1)</f>
        <v/>
      </c>
      <c r="L458" s="72" t="n"/>
      <c r="M458" s="74">
        <f t="array" ref="M45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5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58" s="26">
        <f>IF(techniques[[#This Row],[detection rules]]&gt;=techniques[[#This Row],[expected detection rules]],1,techniques[[#This Row],[detection rules]]/techniques[[#This Row],[expected detection rules]])</f>
        <v/>
      </c>
      <c r="P45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58" s="29">
        <f>IF(ISERROR(SEARCH(techniques[[#This Row],[id]],techniques[[#This Row],[name]])),"ERROR","")</f>
        <v/>
      </c>
      <c r="S45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59" ht="12.75" customHeight="1">
      <c r="A459" s="74" t="inlineStr">
        <is>
          <t>T1558</t>
        </is>
      </c>
      <c r="B459" s="74" t="inlineStr">
        <is>
          <t>T1558.005</t>
        </is>
      </c>
      <c r="C459" s="13" t="inlineStr">
        <is>
          <t>Ccache Files (T1558.005)</t>
        </is>
      </c>
      <c r="D459" s="13" t="inlineStr">
        <is>
          <t>credential-access</t>
        </is>
      </c>
      <c r="E459" s="13" t="inlineStr">
        <is>
          <t>File: File Access|Process: Process Creation</t>
        </is>
      </c>
      <c r="F459" s="74" t="n">
        <v>2</v>
      </c>
      <c r="G459" s="72">
        <f t="array" ref="G459">SUM(IF(ISERROR(FIND(sources[data source],techniques[[#This Row],[data sources]])),0,1)*IF(sources[available]="yes",1,0))</f>
        <v/>
      </c>
      <c r="H459" s="73">
        <f t="array" ref="H459">IF(techniques[[#This Row],[technique]]=techniques[[#This Row],[id]],SUM(IF(techniques[[#This Row],[id]]=techniques[technique],1,0))-1,"")</f>
        <v/>
      </c>
      <c r="I459" s="74">
        <f t="array" ref="I459">IF(SUM(IF($C459=detections[],IF(detections[is active]="yes",1,0),0))&gt;0,SUM(IF($C459=detections[],IF(detections[is active]="yes",1,0),0)),"")</f>
        <v/>
      </c>
      <c r="J459" s="74">
        <f t="array" ref="J45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59" s="74">
        <f>IF(AND(ISNUMBER(techniques[[#This Row],[number of sub techniques]]),techniques[[#This Row],[number of sub techniques]]&gt;1),techniques[number of sub techniques],1)</f>
        <v/>
      </c>
      <c r="L459" s="72" t="n"/>
      <c r="M459" s="74">
        <f t="array" ref="M45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5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59" s="26">
        <f>IF(techniques[[#This Row],[detection rules]]&gt;=techniques[[#This Row],[expected detection rules]],1,techniques[[#This Row],[detection rules]]/techniques[[#This Row],[expected detection rules]])</f>
        <v/>
      </c>
      <c r="P45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59" s="29">
        <f>IF(ISERROR(SEARCH(techniques[[#This Row],[id]],techniques[[#This Row],[name]])),"ERROR","")</f>
        <v/>
      </c>
      <c r="S45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60" ht="12.75" customHeight="1">
      <c r="A460" s="74" t="inlineStr">
        <is>
          <t>T1559</t>
        </is>
      </c>
      <c r="B460" s="74" t="inlineStr">
        <is>
          <t>T1559</t>
        </is>
      </c>
      <c r="C460" s="13" t="inlineStr">
        <is>
          <t>Inter-Process Communication (T1559)</t>
        </is>
      </c>
      <c r="D460" s="13" t="inlineStr">
        <is>
          <t>execution</t>
        </is>
      </c>
      <c r="E460" s="13" t="inlineStr">
        <is>
          <t>File: File Access|Named Pipe: Named Pipe Metadata|Process: Process Access|Process: Process Creation|Script: Script Execution</t>
        </is>
      </c>
      <c r="F460" s="74" t="n">
        <v>5</v>
      </c>
      <c r="G460" s="72">
        <f t="array" ref="G460">SUM(IF(ISERROR(FIND(sources[data source],techniques[[#This Row],[data sources]])),0,1)*IF(sources[available]="yes",1,0))</f>
        <v/>
      </c>
      <c r="H460" s="73">
        <f t="array" ref="H460">IF(techniques[[#This Row],[technique]]=techniques[[#This Row],[id]],SUM(IF(techniques[[#This Row],[id]]=techniques[technique],1,0))-1,"")</f>
        <v/>
      </c>
      <c r="I460" s="74">
        <f t="array" ref="I460">IF(SUM(IF($C460=detections[],IF(detections[is active]="yes",1,0),0))&gt;0,SUM(IF($C460=detections[],IF(detections[is active]="yes",1,0),0)),"")</f>
        <v/>
      </c>
      <c r="J460" s="74">
        <f t="array" ref="J46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60" s="74">
        <f>IF(AND(ISNUMBER(techniques[[#This Row],[number of sub techniques]]),techniques[[#This Row],[number of sub techniques]]&gt;1),techniques[number of sub techniques],1)</f>
        <v/>
      </c>
      <c r="L460" s="72" t="n"/>
      <c r="M460" s="74">
        <f t="array" ref="M46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6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60" s="26">
        <f>IF(techniques[[#This Row],[detection rules]]&gt;=techniques[[#This Row],[expected detection rules]],1,techniques[[#This Row],[detection rules]]/techniques[[#This Row],[expected detection rules]])</f>
        <v/>
      </c>
      <c r="P46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60" s="29">
        <f>IF(ISERROR(SEARCH(techniques[[#This Row],[id]],techniques[[#This Row],[name]])),"ERROR","")</f>
        <v/>
      </c>
      <c r="S46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61" ht="12.75" customHeight="1">
      <c r="A461" s="74" t="inlineStr">
        <is>
          <t>T1559</t>
        </is>
      </c>
      <c r="B461" s="74" t="inlineStr">
        <is>
          <t>T1559.001</t>
        </is>
      </c>
      <c r="C461" s="13" t="inlineStr">
        <is>
          <t>Component Object Model (T1559.001)</t>
        </is>
      </c>
      <c r="D461" s="13" t="inlineStr">
        <is>
          <t>execution</t>
        </is>
      </c>
      <c r="E461" s="13" t="inlineStr">
        <is>
          <t>Module: Module Load|Process: Process Creation|Windows Registry: Windows Registry Key Access</t>
        </is>
      </c>
      <c r="F461" s="74" t="n">
        <v>3</v>
      </c>
      <c r="G461" s="72">
        <f t="array" ref="G461">SUM(IF(ISERROR(FIND(sources[data source],techniques[[#This Row],[data sources]])),0,1)*IF(sources[available]="yes",1,0))</f>
        <v/>
      </c>
      <c r="H461" s="73">
        <f t="array" ref="H461">IF(techniques[[#This Row],[technique]]=techniques[[#This Row],[id]],SUM(IF(techniques[[#This Row],[id]]=techniques[technique],1,0))-1,"")</f>
        <v/>
      </c>
      <c r="I461" s="74">
        <f t="array" ref="I461">IF(SUM(IF($C461=detections[],IF(detections[is active]="yes",1,0),0))&gt;0,SUM(IF($C461=detections[],IF(detections[is active]="yes",1,0),0)),"")</f>
        <v/>
      </c>
      <c r="J461" s="74">
        <f t="array" ref="J46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61" s="74">
        <f>IF(AND(ISNUMBER(techniques[[#This Row],[number of sub techniques]]),techniques[[#This Row],[number of sub techniques]]&gt;1),techniques[number of sub techniques],1)</f>
        <v/>
      </c>
      <c r="L461" s="72" t="n"/>
      <c r="M461" s="74">
        <f t="array" ref="M46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6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61" s="26">
        <f>IF(techniques[[#This Row],[detection rules]]&gt;=techniques[[#This Row],[expected detection rules]],1,techniques[[#This Row],[detection rules]]/techniques[[#This Row],[expected detection rules]])</f>
        <v/>
      </c>
      <c r="P46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61" s="29">
        <f>IF(ISERROR(SEARCH(techniques[[#This Row],[id]],techniques[[#This Row],[name]])),"ERROR","")</f>
        <v/>
      </c>
      <c r="S46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62" ht="12.75" customHeight="1">
      <c r="A462" s="74" t="inlineStr">
        <is>
          <t>T1559</t>
        </is>
      </c>
      <c r="B462" s="74" t="inlineStr">
        <is>
          <t>T1559.002</t>
        </is>
      </c>
      <c r="C462" s="13" t="inlineStr">
        <is>
          <t>Dynamic Data Exchange (T1559.002)</t>
        </is>
      </c>
      <c r="D462" s="13" t="inlineStr">
        <is>
          <t>execution</t>
        </is>
      </c>
      <c r="E462" s="13" t="inlineStr">
        <is>
          <t>Module: Module Load|Process: Process Creation|Windows Registry: Windows Registry Key Access</t>
        </is>
      </c>
      <c r="F462" s="74" t="n">
        <v>3</v>
      </c>
      <c r="G462" s="72">
        <f t="array" ref="G462">SUM(IF(ISERROR(FIND(sources[data source],techniques[[#This Row],[data sources]])),0,1)*IF(sources[available]="yes",1,0))</f>
        <v/>
      </c>
      <c r="H462" s="73">
        <f t="array" ref="H462">IF(techniques[[#This Row],[technique]]=techniques[[#This Row],[id]],SUM(IF(techniques[[#This Row],[id]]=techniques[technique],1,0))-1,"")</f>
        <v/>
      </c>
      <c r="I462" s="74">
        <f t="array" ref="I462">IF(SUM(IF($C462=detections[],IF(detections[is active]="yes",1,0),0))&gt;0,SUM(IF($C462=detections[],IF(detections[is active]="yes",1,0),0)),"")</f>
        <v/>
      </c>
      <c r="J462" s="74">
        <f t="array" ref="J46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62" s="74">
        <f>IF(AND(ISNUMBER(techniques[[#This Row],[number of sub techniques]]),techniques[[#This Row],[number of sub techniques]]&gt;1),techniques[number of sub techniques],1)</f>
        <v/>
      </c>
      <c r="L462" s="72" t="n"/>
      <c r="M462" s="74">
        <f t="array" ref="M46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6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62" s="26">
        <f>IF(techniques[[#This Row],[detection rules]]&gt;=techniques[[#This Row],[expected detection rules]],1,techniques[[#This Row],[detection rules]]/techniques[[#This Row],[expected detection rules]])</f>
        <v/>
      </c>
      <c r="P46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62" s="29">
        <f>IF(ISERROR(SEARCH(techniques[[#This Row],[id]],techniques[[#This Row],[name]])),"ERROR","")</f>
        <v/>
      </c>
      <c r="S46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63" ht="12.75" customHeight="1">
      <c r="A463" s="74" t="inlineStr">
        <is>
          <t>T1559</t>
        </is>
      </c>
      <c r="B463" s="74" t="inlineStr">
        <is>
          <t>T1559.003</t>
        </is>
      </c>
      <c r="C463" s="13" t="inlineStr">
        <is>
          <t>XPC Services (T1559.003)</t>
        </is>
      </c>
      <c r="D463" s="13" t="inlineStr">
        <is>
          <t>execution</t>
        </is>
      </c>
      <c r="E463" s="13" t="inlineStr">
        <is>
          <t>Named Pipe: Named Pipe Metadata|Process: Process Access|Process: Process Creation</t>
        </is>
      </c>
      <c r="F463" s="74" t="n">
        <v>3</v>
      </c>
      <c r="G463" s="72">
        <f t="array" ref="G463">SUM(IF(ISERROR(FIND(sources[data source],techniques[[#This Row],[data sources]])),0,1)*IF(sources[available]="yes",1,0))</f>
        <v/>
      </c>
      <c r="H463" s="73">
        <f t="array" ref="H463">IF(techniques[[#This Row],[technique]]=techniques[[#This Row],[id]],SUM(IF(techniques[[#This Row],[id]]=techniques[technique],1,0))-1,"")</f>
        <v/>
      </c>
      <c r="I463" s="74">
        <f t="array" ref="I463">IF(SUM(IF($C463=detections[],IF(detections[is active]="yes",1,0),0))&gt;0,SUM(IF($C463=detections[],IF(detections[is active]="yes",1,0),0)),"")</f>
        <v/>
      </c>
      <c r="J463" s="74">
        <f t="array" ref="J46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63" s="74">
        <f>IF(AND(ISNUMBER(techniques[[#This Row],[number of sub techniques]]),techniques[[#This Row],[number of sub techniques]]&gt;1),techniques[number of sub techniques],1)</f>
        <v/>
      </c>
      <c r="L463" s="72" t="n"/>
      <c r="M463" s="74">
        <f t="array" ref="M46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6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63" s="26">
        <f>IF(techniques[[#This Row],[detection rules]]&gt;=techniques[[#This Row],[expected detection rules]],1,techniques[[#This Row],[detection rules]]/techniques[[#This Row],[expected detection rules]])</f>
        <v/>
      </c>
      <c r="P46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63" s="29">
        <f>IF(ISERROR(SEARCH(techniques[[#This Row],[id]],techniques[[#This Row],[name]])),"ERROR","")</f>
        <v/>
      </c>
      <c r="S46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64" ht="12.75" customHeight="1">
      <c r="A464" s="74" t="inlineStr">
        <is>
          <t>T1560</t>
        </is>
      </c>
      <c r="B464" s="74" t="inlineStr">
        <is>
          <t>T1560</t>
        </is>
      </c>
      <c r="C464" s="13" t="inlineStr">
        <is>
          <t>Archive Collected Data (T1560)</t>
        </is>
      </c>
      <c r="D464" s="13" t="inlineStr">
        <is>
          <t>collection</t>
        </is>
      </c>
      <c r="E464" s="13" t="inlineStr">
        <is>
          <t>Command: Command Execution|File: File Creation|Module: Module Load|Process: Process Creation</t>
        </is>
      </c>
      <c r="F464" s="74" t="n">
        <v>4</v>
      </c>
      <c r="G464" s="72">
        <f t="array" ref="G464">SUM(IF(ISERROR(FIND(sources[data source],techniques[[#This Row],[data sources]])),0,1)*IF(sources[available]="yes",1,0))</f>
        <v/>
      </c>
      <c r="H464" s="73">
        <f t="array" ref="H464">IF(techniques[[#This Row],[technique]]=techniques[[#This Row],[id]],SUM(IF(techniques[[#This Row],[id]]=techniques[technique],1,0))-1,"")</f>
        <v/>
      </c>
      <c r="I464" s="74">
        <f t="array" ref="I464">IF(SUM(IF($C464=detections[],IF(detections[is active]="yes",1,0),0))&gt;0,SUM(IF($C464=detections[],IF(detections[is active]="yes",1,0),0)),"")</f>
        <v/>
      </c>
      <c r="J464" s="74">
        <f t="array" ref="J46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64" s="74">
        <f>IF(AND(ISNUMBER(techniques[[#This Row],[number of sub techniques]]),techniques[[#This Row],[number of sub techniques]]&gt;1),techniques[number of sub techniques],1)</f>
        <v/>
      </c>
      <c r="L464" s="72" t="n"/>
      <c r="M464" s="74">
        <f t="array" ref="M46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6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64" s="26">
        <f>IF(techniques[[#This Row],[detection rules]]&gt;=techniques[[#This Row],[expected detection rules]],1,techniques[[#This Row],[detection rules]]/techniques[[#This Row],[expected detection rules]])</f>
        <v/>
      </c>
      <c r="P46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64" s="29">
        <f>IF(ISERROR(SEARCH(techniques[[#This Row],[id]],techniques[[#This Row],[name]])),"ERROR","")</f>
        <v/>
      </c>
      <c r="S46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65" ht="12.75" customHeight="1">
      <c r="A465" s="74" t="inlineStr">
        <is>
          <t>T1560</t>
        </is>
      </c>
      <c r="B465" s="74" t="inlineStr">
        <is>
          <t>T1560.001</t>
        </is>
      </c>
      <c r="C465" s="13" t="inlineStr">
        <is>
          <t>Archive via Utility (T1560.001)</t>
        </is>
      </c>
      <c r="D465" s="13" t="inlineStr">
        <is>
          <t>collection</t>
        </is>
      </c>
      <c r="E465" s="13" t="inlineStr">
        <is>
          <t>Command: Command Execution|File: File Creation|Module: Module Load|Process: Process Creation</t>
        </is>
      </c>
      <c r="F465" s="74" t="n">
        <v>4</v>
      </c>
      <c r="G465" s="72">
        <f t="array" ref="G465">SUM(IF(ISERROR(FIND(sources[data source],techniques[[#This Row],[data sources]])),0,1)*IF(sources[available]="yes",1,0))</f>
        <v/>
      </c>
      <c r="H465" s="73">
        <f t="array" ref="H465">IF(techniques[[#This Row],[technique]]=techniques[[#This Row],[id]],SUM(IF(techniques[[#This Row],[id]]=techniques[technique],1,0))-1,"")</f>
        <v/>
      </c>
      <c r="I465" s="74">
        <f t="array" ref="I465">IF(SUM(IF($C465=detections[],IF(detections[is active]="yes",1,0),0))&gt;0,SUM(IF($C465=detections[],IF(detections[is active]="yes",1,0),0)),"")</f>
        <v/>
      </c>
      <c r="J465" s="74">
        <f t="array" ref="J46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65" s="74">
        <f>IF(AND(ISNUMBER(techniques[[#This Row],[number of sub techniques]]),techniques[[#This Row],[number of sub techniques]]&gt;1),techniques[number of sub techniques],1)</f>
        <v/>
      </c>
      <c r="L465" s="72" t="n"/>
      <c r="M465" s="74">
        <f t="array" ref="M46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6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65" s="26">
        <f>IF(techniques[[#This Row],[detection rules]]&gt;=techniques[[#This Row],[expected detection rules]],1,techniques[[#This Row],[detection rules]]/techniques[[#This Row],[expected detection rules]])</f>
        <v/>
      </c>
      <c r="P46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65" s="29">
        <f>IF(ISERROR(SEARCH(techniques[[#This Row],[id]],techniques[[#This Row],[name]])),"ERROR","")</f>
        <v/>
      </c>
      <c r="S46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66" ht="12.75" customHeight="1">
      <c r="A466" s="74" t="inlineStr">
        <is>
          <t>T1560</t>
        </is>
      </c>
      <c r="B466" s="74" t="inlineStr">
        <is>
          <t>T1560.002</t>
        </is>
      </c>
      <c r="C466" s="13" t="inlineStr">
        <is>
          <t>Archive via Library (T1560.002)</t>
        </is>
      </c>
      <c r="D466" s="13" t="inlineStr">
        <is>
          <t>collection</t>
        </is>
      </c>
      <c r="E466" s="13" t="inlineStr">
        <is>
          <t>Command: Command Execution|File: File Creation|Module: Module Load|Process: Process Creation</t>
        </is>
      </c>
      <c r="F466" s="74" t="n">
        <v>4</v>
      </c>
      <c r="G466" s="72">
        <f t="array" ref="G466">SUM(IF(ISERROR(FIND(sources[data source],techniques[[#This Row],[data sources]])),0,1)*IF(sources[available]="yes",1,0))</f>
        <v/>
      </c>
      <c r="H466" s="73">
        <f t="array" ref="H466">IF(techniques[[#This Row],[technique]]=techniques[[#This Row],[id]],SUM(IF(techniques[[#This Row],[id]]=techniques[technique],1,0))-1,"")</f>
        <v/>
      </c>
      <c r="I466" s="74">
        <f t="array" ref="I466">IF(SUM(IF($C466=detections[],IF(detections[is active]="yes",1,0),0))&gt;0,SUM(IF($C466=detections[],IF(detections[is active]="yes",1,0),0)),"")</f>
        <v/>
      </c>
      <c r="J466" s="74">
        <f t="array" ref="J46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66" s="74">
        <f>IF(AND(ISNUMBER(techniques[[#This Row],[number of sub techniques]]),techniques[[#This Row],[number of sub techniques]]&gt;1),techniques[number of sub techniques],1)</f>
        <v/>
      </c>
      <c r="L466" s="72" t="n"/>
      <c r="M466" s="74">
        <f t="array" ref="M46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6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66" s="26">
        <f>IF(techniques[[#This Row],[detection rules]]&gt;=techniques[[#This Row],[expected detection rules]],1,techniques[[#This Row],[detection rules]]/techniques[[#This Row],[expected detection rules]])</f>
        <v/>
      </c>
      <c r="P46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66" s="29">
        <f>IF(ISERROR(SEARCH(techniques[[#This Row],[id]],techniques[[#This Row],[name]])),"ERROR","")</f>
        <v/>
      </c>
      <c r="S46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67" ht="12.75" customHeight="1">
      <c r="A467" s="74" t="inlineStr">
        <is>
          <t>T1560</t>
        </is>
      </c>
      <c r="B467" s="74" t="inlineStr">
        <is>
          <t>T1560.003</t>
        </is>
      </c>
      <c r="C467" s="13" t="inlineStr">
        <is>
          <t>Archive via Custom Method (T1560.003)</t>
        </is>
      </c>
      <c r="D467" s="13" t="inlineStr">
        <is>
          <t>collection</t>
        </is>
      </c>
      <c r="E467" s="13" t="inlineStr">
        <is>
          <t>Command: Command Execution|File: File Creation|Process: Process Access|Process: Process Creation|Process: Process Modification</t>
        </is>
      </c>
      <c r="F467" s="74" t="n">
        <v>5</v>
      </c>
      <c r="G467" s="72">
        <f t="array" ref="G467">SUM(IF(ISERROR(FIND(sources[data source],techniques[[#This Row],[data sources]])),0,1)*IF(sources[available]="yes",1,0))</f>
        <v/>
      </c>
      <c r="H467" s="73">
        <f t="array" ref="H467">IF(techniques[[#This Row],[technique]]=techniques[[#This Row],[id]],SUM(IF(techniques[[#This Row],[id]]=techniques[technique],1,0))-1,"")</f>
        <v/>
      </c>
      <c r="I467" s="74">
        <f t="array" ref="I467">IF(SUM(IF($C467=detections[],IF(detections[is active]="yes",1,0),0))&gt;0,SUM(IF($C467=detections[],IF(detections[is active]="yes",1,0),0)),"")</f>
        <v/>
      </c>
      <c r="J467" s="74">
        <f t="array" ref="J46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67" s="74">
        <f>IF(AND(ISNUMBER(techniques[[#This Row],[number of sub techniques]]),techniques[[#This Row],[number of sub techniques]]&gt;1),techniques[number of sub techniques],1)</f>
        <v/>
      </c>
      <c r="L467" s="72" t="n"/>
      <c r="M467" s="74">
        <f t="array" ref="M46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6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67" s="26">
        <f>IF(techniques[[#This Row],[detection rules]]&gt;=techniques[[#This Row],[expected detection rules]],1,techniques[[#This Row],[detection rules]]/techniques[[#This Row],[expected detection rules]])</f>
        <v/>
      </c>
      <c r="P46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67" s="29">
        <f>IF(ISERROR(SEARCH(techniques[[#This Row],[id]],techniques[[#This Row],[name]])),"ERROR","")</f>
        <v/>
      </c>
      <c r="S46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68" ht="12.75" customHeight="1">
      <c r="A468" s="74" t="inlineStr">
        <is>
          <t>T1561</t>
        </is>
      </c>
      <c r="B468" s="74" t="inlineStr">
        <is>
          <t>T1561</t>
        </is>
      </c>
      <c r="C468" s="13" t="inlineStr">
        <is>
          <t>Disk Wipe (T1561)</t>
        </is>
      </c>
      <c r="D468" s="13" t="inlineStr">
        <is>
          <t>impact</t>
        </is>
      </c>
      <c r="E468" s="13" t="inlineStr">
        <is>
          <t>Command: Command Execution|Drive: Drive Access|Drive: Drive Modification|Driver: Driver Load|Process: Process Creation|User Account: User Account Authentication|User Account: User Account Metadata</t>
        </is>
      </c>
      <c r="F468" s="74" t="n">
        <v>7</v>
      </c>
      <c r="G468" s="72">
        <f t="array" ref="G468">SUM(IF(ISERROR(FIND(sources[data source],techniques[[#This Row],[data sources]])),0,1)*IF(sources[available]="yes",1,0))</f>
        <v/>
      </c>
      <c r="H468" s="73">
        <f t="array" ref="H468">IF(techniques[[#This Row],[technique]]=techniques[[#This Row],[id]],SUM(IF(techniques[[#This Row],[id]]=techniques[technique],1,0))-1,"")</f>
        <v/>
      </c>
      <c r="I468" s="74">
        <f t="array" ref="I468">IF(SUM(IF($C468=detections[],IF(detections[is active]="yes",1,0),0))&gt;0,SUM(IF($C468=detections[],IF(detections[is active]="yes",1,0),0)),"")</f>
        <v/>
      </c>
      <c r="J468" s="74">
        <f t="array" ref="J46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68" s="74">
        <f>IF(AND(ISNUMBER(techniques[[#This Row],[number of sub techniques]]),techniques[[#This Row],[number of sub techniques]]&gt;1),techniques[number of sub techniques],1)</f>
        <v/>
      </c>
      <c r="L468" s="72" t="n"/>
      <c r="M468" s="74">
        <f t="array" ref="M46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6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68" s="26">
        <f>IF(techniques[[#This Row],[detection rules]]&gt;=techniques[[#This Row],[expected detection rules]],1,techniques[[#This Row],[detection rules]]/techniques[[#This Row],[expected detection rules]])</f>
        <v/>
      </c>
      <c r="P46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68" s="29">
        <f>IF(ISERROR(SEARCH(techniques[[#This Row],[id]],techniques[[#This Row],[name]])),"ERROR","")</f>
        <v/>
      </c>
      <c r="S46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69" ht="12.75" customHeight="1">
      <c r="A469" s="74" t="inlineStr">
        <is>
          <t>T1561</t>
        </is>
      </c>
      <c r="B469" s="74" t="inlineStr">
        <is>
          <t>T1561.001</t>
        </is>
      </c>
      <c r="C469" s="13" t="inlineStr">
        <is>
          <t>Disk Content Wipe (T1561.001)</t>
        </is>
      </c>
      <c r="D469" s="13" t="inlineStr">
        <is>
          <t>impact</t>
        </is>
      </c>
      <c r="E469" s="13" t="inlineStr">
        <is>
          <t>Command: Command Execution|Drive: Drive Access|Drive: Drive Modification|Driver: Driver Load|Process: Process Creation|User Account: User Account Authentication|User Account: User Account Metadata</t>
        </is>
      </c>
      <c r="F469" s="74" t="n">
        <v>7</v>
      </c>
      <c r="G469" s="72">
        <f t="array" ref="G469">SUM(IF(ISERROR(FIND(sources[data source],techniques[[#This Row],[data sources]])),0,1)*IF(sources[available]="yes",1,0))</f>
        <v/>
      </c>
      <c r="H469" s="73">
        <f t="array" ref="H469">IF(techniques[[#This Row],[technique]]=techniques[[#This Row],[id]],SUM(IF(techniques[[#This Row],[id]]=techniques[technique],1,0))-1,"")</f>
        <v/>
      </c>
      <c r="I469" s="74">
        <f t="array" ref="I469">IF(SUM(IF($C469=detections[],IF(detections[is active]="yes",1,0),0))&gt;0,SUM(IF($C469=detections[],IF(detections[is active]="yes",1,0),0)),"")</f>
        <v/>
      </c>
      <c r="J469" s="74">
        <f t="array" ref="J46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69" s="74">
        <f>IF(AND(ISNUMBER(techniques[[#This Row],[number of sub techniques]]),techniques[[#This Row],[number of sub techniques]]&gt;1),techniques[number of sub techniques],1)</f>
        <v/>
      </c>
      <c r="L469" s="72" t="n"/>
      <c r="M469" s="74">
        <f t="array" ref="M46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6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69" s="26">
        <f>IF(techniques[[#This Row],[detection rules]]&gt;=techniques[[#This Row],[expected detection rules]],1,techniques[[#This Row],[detection rules]]/techniques[[#This Row],[expected detection rules]])</f>
        <v/>
      </c>
      <c r="P46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69" s="29">
        <f>IF(ISERROR(SEARCH(techniques[[#This Row],[id]],techniques[[#This Row],[name]])),"ERROR","")</f>
        <v/>
      </c>
      <c r="S46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70" ht="12.75" customHeight="1">
      <c r="A470" s="74" t="inlineStr">
        <is>
          <t>T1561</t>
        </is>
      </c>
      <c r="B470" s="74" t="inlineStr">
        <is>
          <t>T1561.002</t>
        </is>
      </c>
      <c r="C470" s="13" t="inlineStr">
        <is>
          <t>Disk Structure Wipe (T1561.002)</t>
        </is>
      </c>
      <c r="D470" s="13" t="inlineStr">
        <is>
          <t>impact</t>
        </is>
      </c>
      <c r="E470" s="13" t="inlineStr">
        <is>
          <t>Command: Command Execution|Drive: Drive Access|Drive: Drive Modification|Driver: Driver Load|Process: Process Creation|User Account: User Account Authentication|User Account: User Account Metadata</t>
        </is>
      </c>
      <c r="F470" s="74" t="n">
        <v>7</v>
      </c>
      <c r="G470" s="72">
        <f t="array" ref="G470">SUM(IF(ISERROR(FIND(sources[data source],techniques[[#This Row],[data sources]])),0,1)*IF(sources[available]="yes",1,0))</f>
        <v/>
      </c>
      <c r="H470" s="73">
        <f t="array" ref="H470">IF(techniques[[#This Row],[technique]]=techniques[[#This Row],[id]],SUM(IF(techniques[[#This Row],[id]]=techniques[technique],1,0))-1,"")</f>
        <v/>
      </c>
      <c r="I470" s="74">
        <f t="array" ref="I470">IF(SUM(IF($C470=detections[],IF(detections[is active]="yes",1,0),0))&gt;0,SUM(IF($C470=detections[],IF(detections[is active]="yes",1,0),0)),"")</f>
        <v/>
      </c>
      <c r="J470" s="74">
        <f t="array" ref="J47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70" s="74">
        <f>IF(AND(ISNUMBER(techniques[[#This Row],[number of sub techniques]]),techniques[[#This Row],[number of sub techniques]]&gt;1),techniques[number of sub techniques],1)</f>
        <v/>
      </c>
      <c r="L470" s="72" t="n"/>
      <c r="M470" s="74">
        <f t="array" ref="M47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7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70" s="26">
        <f>IF(techniques[[#This Row],[detection rules]]&gt;=techniques[[#This Row],[expected detection rules]],1,techniques[[#This Row],[detection rules]]/techniques[[#This Row],[expected detection rules]])</f>
        <v/>
      </c>
      <c r="P47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70" s="29">
        <f>IF(ISERROR(SEARCH(techniques[[#This Row],[id]],techniques[[#This Row],[name]])),"ERROR","")</f>
        <v/>
      </c>
      <c r="S47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71" ht="12.75" customHeight="1">
      <c r="A471" s="74" t="inlineStr">
        <is>
          <t>T1563</t>
        </is>
      </c>
      <c r="B471" s="74" t="inlineStr">
        <is>
          <t>T1563</t>
        </is>
      </c>
      <c r="C471" s="13" t="inlineStr">
        <is>
          <t>Remote Service Session Hijacking (T1563)</t>
        </is>
      </c>
      <c r="D471" s="13" t="inlineStr">
        <is>
          <t>lateral-movement</t>
        </is>
      </c>
      <c r="E471" s="13" t="inlineStr">
        <is>
          <t>Command: Command Execution|Logon Session: Logon Session Creation|Network Traffic: Network Connection Creation|Network Traffic: Network Traffic Content|Network Traffic: Network Traffic Flow|Process: Process Creation</t>
        </is>
      </c>
      <c r="F471" s="74" t="n">
        <v>6</v>
      </c>
      <c r="G471" s="72">
        <f t="array" ref="G471">SUM(IF(ISERROR(FIND(sources[data source],techniques[[#This Row],[data sources]])),0,1)*IF(sources[available]="yes",1,0))</f>
        <v/>
      </c>
      <c r="H471" s="73">
        <f t="array" ref="H471">IF(techniques[[#This Row],[technique]]=techniques[[#This Row],[id]],SUM(IF(techniques[[#This Row],[id]]=techniques[technique],1,0))-1,"")</f>
        <v/>
      </c>
      <c r="I471" s="74">
        <f t="array" ref="I471">IF(SUM(IF($C471=detections[],IF(detections[is active]="yes",1,0),0))&gt;0,SUM(IF($C471=detections[],IF(detections[is active]="yes",1,0),0)),"")</f>
        <v/>
      </c>
      <c r="J471" s="74">
        <f t="array" ref="J47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71" s="74">
        <f>IF(AND(ISNUMBER(techniques[[#This Row],[number of sub techniques]]),techniques[[#This Row],[number of sub techniques]]&gt;1),techniques[number of sub techniques],1)</f>
        <v/>
      </c>
      <c r="L471" s="72" t="n"/>
      <c r="M471" s="74">
        <f t="array" ref="M47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7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71" s="26">
        <f>IF(techniques[[#This Row],[detection rules]]&gt;=techniques[[#This Row],[expected detection rules]],1,techniques[[#This Row],[detection rules]]/techniques[[#This Row],[expected detection rules]])</f>
        <v/>
      </c>
      <c r="P47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71" s="29">
        <f>IF(ISERROR(SEARCH(techniques[[#This Row],[id]],techniques[[#This Row],[name]])),"ERROR","")</f>
        <v/>
      </c>
      <c r="S47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72" ht="12.75" customHeight="1">
      <c r="A472" s="74" t="inlineStr">
        <is>
          <t>T1563</t>
        </is>
      </c>
      <c r="B472" s="74" t="inlineStr">
        <is>
          <t>T1563.001</t>
        </is>
      </c>
      <c r="C472" s="13" t="inlineStr">
        <is>
          <t>SSH Hijacking (T1563.001)</t>
        </is>
      </c>
      <c r="D472" s="13" t="inlineStr">
        <is>
          <t>lateral-movement</t>
        </is>
      </c>
      <c r="E472" s="13" t="inlineStr">
        <is>
          <t>Logon Session: Logon Session Creation|Network Traffic: Network Connection Creation|Process: Process Creation|Process: Process Metadata</t>
        </is>
      </c>
      <c r="F472" s="74" t="n">
        <v>4</v>
      </c>
      <c r="G472" s="72">
        <f t="array" ref="G472">SUM(IF(ISERROR(FIND(sources[data source],techniques[[#This Row],[data sources]])),0,1)*IF(sources[available]="yes",1,0))</f>
        <v/>
      </c>
      <c r="H472" s="73">
        <f t="array" ref="H472">IF(techniques[[#This Row],[technique]]=techniques[[#This Row],[id]],SUM(IF(techniques[[#This Row],[id]]=techniques[technique],1,0))-1,"")</f>
        <v/>
      </c>
      <c r="I472" s="74">
        <f t="array" ref="I472">IF(SUM(IF($C472=detections[],IF(detections[is active]="yes",1,0),0))&gt;0,SUM(IF($C472=detections[],IF(detections[is active]="yes",1,0),0)),"")</f>
        <v/>
      </c>
      <c r="J472" s="74">
        <f t="array" ref="J47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72" s="74">
        <f>IF(AND(ISNUMBER(techniques[[#This Row],[number of sub techniques]]),techniques[[#This Row],[number of sub techniques]]&gt;1),techniques[number of sub techniques],1)</f>
        <v/>
      </c>
      <c r="L472" s="72" t="n"/>
      <c r="M472" s="74">
        <f t="array" ref="M47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7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72" s="26">
        <f>IF(techniques[[#This Row],[detection rules]]&gt;=techniques[[#This Row],[expected detection rules]],1,techniques[[#This Row],[detection rules]]/techniques[[#This Row],[expected detection rules]])</f>
        <v/>
      </c>
      <c r="P47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72" s="29">
        <f>IF(ISERROR(SEARCH(techniques[[#This Row],[id]],techniques[[#This Row],[name]])),"ERROR","")</f>
        <v/>
      </c>
      <c r="S47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73" ht="12.75" customHeight="1">
      <c r="A473" s="74" t="inlineStr">
        <is>
          <t>T1563</t>
        </is>
      </c>
      <c r="B473" s="74" t="inlineStr">
        <is>
          <t>T1563.002</t>
        </is>
      </c>
      <c r="C473" s="13" t="inlineStr">
        <is>
          <t>RDP Hijacking (T1563.002)</t>
        </is>
      </c>
      <c r="D473" s="13" t="inlineStr">
        <is>
          <t>lateral-movement</t>
        </is>
      </c>
      <c r="E473" s="13" t="inlineStr">
        <is>
          <t>Logon Session: Logon Session Creation|Network Traffic: Network Connection Creation|Process: Process Creation|Service: Service Creation</t>
        </is>
      </c>
      <c r="F473" s="74" t="n">
        <v>4</v>
      </c>
      <c r="G473" s="72">
        <f t="array" ref="G473">SUM(IF(ISERROR(FIND(sources[data source],techniques[[#This Row],[data sources]])),0,1)*IF(sources[available]="yes",1,0))</f>
        <v/>
      </c>
      <c r="H473" s="73">
        <f t="array" ref="H473">IF(techniques[[#This Row],[technique]]=techniques[[#This Row],[id]],SUM(IF(techniques[[#This Row],[id]]=techniques[technique],1,0))-1,"")</f>
        <v/>
      </c>
      <c r="I473" s="74">
        <f t="array" ref="I473">IF(SUM(IF($C473=detections[],IF(detections[is active]="yes",1,0),0))&gt;0,SUM(IF($C473=detections[],IF(detections[is active]="yes",1,0),0)),"")</f>
        <v/>
      </c>
      <c r="J473" s="74">
        <f t="array" ref="J47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73" s="74">
        <f>IF(AND(ISNUMBER(techniques[[#This Row],[number of sub techniques]]),techniques[[#This Row],[number of sub techniques]]&gt;1),techniques[number of sub techniques],1)</f>
        <v/>
      </c>
      <c r="L473" s="72" t="n"/>
      <c r="M473" s="74">
        <f t="array" ref="M47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7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73" s="26">
        <f>IF(techniques[[#This Row],[detection rules]]&gt;=techniques[[#This Row],[expected detection rules]],1,techniques[[#This Row],[detection rules]]/techniques[[#This Row],[expected detection rules]])</f>
        <v/>
      </c>
      <c r="P47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73" s="29">
        <f>IF(ISERROR(SEARCH(techniques[[#This Row],[id]],techniques[[#This Row],[name]])),"ERROR","")</f>
        <v/>
      </c>
      <c r="S47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74" ht="12.75" customHeight="1">
      <c r="A474" s="74" t="inlineStr">
        <is>
          <t>T1564</t>
        </is>
      </c>
      <c r="B474" s="74" t="inlineStr">
        <is>
          <t>T1564</t>
        </is>
      </c>
      <c r="C474" s="13" t="inlineStr">
        <is>
          <t>Hide Artifacts (T1564)</t>
        </is>
      </c>
      <c r="D474" s="13" t="inlineStr">
        <is>
          <t>stealth</t>
        </is>
      </c>
      <c r="E474" s="13" t="inlineStr">
        <is>
          <t>Application Log: Application Log Content|Command: Command Execution|File: File Creation|File: File Metadata|Process: Process Creation|Windows Registry: Windows Registry Key Modification</t>
        </is>
      </c>
      <c r="F474" s="74" t="n">
        <v>6</v>
      </c>
      <c r="G474" s="72">
        <f t="array" ref="G474">SUM(IF(ISERROR(FIND(sources[data source],techniques[[#This Row],[data sources]])),0,1)*IF(sources[available]="yes",1,0))</f>
        <v/>
      </c>
      <c r="H474" s="73">
        <f t="array" ref="H474">IF(techniques[[#This Row],[technique]]=techniques[[#This Row],[id]],SUM(IF(techniques[[#This Row],[id]]=techniques[technique],1,0))-1,"")</f>
        <v/>
      </c>
      <c r="I474" s="74">
        <f t="array" ref="I474">IF(SUM(IF($C474=detections[],IF(detections[is active]="yes",1,0),0))&gt;0,SUM(IF($C474=detections[],IF(detections[is active]="yes",1,0),0)),"")</f>
        <v/>
      </c>
      <c r="J474" s="74">
        <f t="array" ref="J47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74" s="74">
        <f>IF(AND(ISNUMBER(techniques[[#This Row],[number of sub techniques]]),techniques[[#This Row],[number of sub techniques]]&gt;1),techniques[number of sub techniques],1)</f>
        <v/>
      </c>
      <c r="L474" s="72" t="n"/>
      <c r="M474" s="74">
        <f t="array" ref="M47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7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74" s="26">
        <f>IF(techniques[[#This Row],[detection rules]]&gt;=techniques[[#This Row],[expected detection rules]],1,techniques[[#This Row],[detection rules]]/techniques[[#This Row],[expected detection rules]])</f>
        <v/>
      </c>
      <c r="P47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74" s="29">
        <f>IF(ISERROR(SEARCH(techniques[[#This Row],[id]],techniques[[#This Row],[name]])),"ERROR","")</f>
        <v/>
      </c>
      <c r="S47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75" ht="12.75" customHeight="1">
      <c r="A475" s="74" t="inlineStr">
        <is>
          <t>T1564</t>
        </is>
      </c>
      <c r="B475" s="74" t="inlineStr">
        <is>
          <t>T1564.001</t>
        </is>
      </c>
      <c r="C475" s="13" t="inlineStr">
        <is>
          <t>Hidden Files and Directories (T1564.001)</t>
        </is>
      </c>
      <c r="D475" s="13" t="inlineStr">
        <is>
          <t>stealth</t>
        </is>
      </c>
      <c r="E475" s="13" t="inlineStr">
        <is>
          <t>Command: Command Execution|File: File Creation|File: File Metadata|Process: Process Creation</t>
        </is>
      </c>
      <c r="F475" s="74" t="n">
        <v>4</v>
      </c>
      <c r="G475" s="72">
        <f t="array" ref="G475">SUM(IF(ISERROR(FIND(sources[data source],techniques[[#This Row],[data sources]])),0,1)*IF(sources[available]="yes",1,0))</f>
        <v/>
      </c>
      <c r="H475" s="73">
        <f t="array" ref="H475">IF(techniques[[#This Row],[technique]]=techniques[[#This Row],[id]],SUM(IF(techniques[[#This Row],[id]]=techniques[technique],1,0))-1,"")</f>
        <v/>
      </c>
      <c r="I475" s="74">
        <f t="array" ref="I475">IF(SUM(IF($C475=detections[],IF(detections[is active]="yes",1,0),0))&gt;0,SUM(IF($C475=detections[],IF(detections[is active]="yes",1,0),0)),"")</f>
        <v/>
      </c>
      <c r="J475" s="74">
        <f t="array" ref="J47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75" s="74">
        <f>IF(AND(ISNUMBER(techniques[[#This Row],[number of sub techniques]]),techniques[[#This Row],[number of sub techniques]]&gt;1),techniques[number of sub techniques],1)</f>
        <v/>
      </c>
      <c r="L475" s="72" t="n"/>
      <c r="M475" s="74">
        <f t="array" ref="M47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7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75" s="26">
        <f>IF(techniques[[#This Row],[detection rules]]&gt;=techniques[[#This Row],[expected detection rules]],1,techniques[[#This Row],[detection rules]]/techniques[[#This Row],[expected detection rules]])</f>
        <v/>
      </c>
      <c r="P47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75" s="29">
        <f>IF(ISERROR(SEARCH(techniques[[#This Row],[id]],techniques[[#This Row],[name]])),"ERROR","")</f>
        <v/>
      </c>
      <c r="S47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76" ht="12.75" customHeight="1">
      <c r="A476" s="74" t="inlineStr">
        <is>
          <t>T1564</t>
        </is>
      </c>
      <c r="B476" s="74" t="inlineStr">
        <is>
          <t>T1564.002</t>
        </is>
      </c>
      <c r="C476" s="13" t="inlineStr">
        <is>
          <t>Hidden Users (T1564.002)</t>
        </is>
      </c>
      <c r="D476" s="13" t="inlineStr">
        <is>
          <t>stealth</t>
        </is>
      </c>
      <c r="E476" s="13" t="inlineStr">
        <is>
          <t>Command: Command Execution|File: File Modification|User Account: User Account Creation|User Account: User Account Metadata|Windows Registry: Windows Registry Key Modification</t>
        </is>
      </c>
      <c r="F476" s="74" t="n">
        <v>5</v>
      </c>
      <c r="G476" s="72">
        <f t="array" ref="G476">SUM(IF(ISERROR(FIND(sources[data source],techniques[[#This Row],[data sources]])),0,1)*IF(sources[available]="yes",1,0))</f>
        <v/>
      </c>
      <c r="H476" s="73">
        <f t="array" ref="H476">IF(techniques[[#This Row],[technique]]=techniques[[#This Row],[id]],SUM(IF(techniques[[#This Row],[id]]=techniques[technique],1,0))-1,"")</f>
        <v/>
      </c>
      <c r="I476" s="74">
        <f t="array" ref="I476">IF(SUM(IF($C476=detections[],IF(detections[is active]="yes",1,0),0))&gt;0,SUM(IF($C476=detections[],IF(detections[is active]="yes",1,0),0)),"")</f>
        <v/>
      </c>
      <c r="J476" s="74">
        <f t="array" ref="J47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76" s="74">
        <f>IF(AND(ISNUMBER(techniques[[#This Row],[number of sub techniques]]),techniques[[#This Row],[number of sub techniques]]&gt;1),techniques[number of sub techniques],1)</f>
        <v/>
      </c>
      <c r="L476" s="72" t="n"/>
      <c r="M476" s="74">
        <f t="array" ref="M47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7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76" s="26">
        <f>IF(techniques[[#This Row],[detection rules]]&gt;=techniques[[#This Row],[expected detection rules]],1,techniques[[#This Row],[detection rules]]/techniques[[#This Row],[expected detection rules]])</f>
        <v/>
      </c>
      <c r="P47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76" s="29">
        <f>IF(ISERROR(SEARCH(techniques[[#This Row],[id]],techniques[[#This Row],[name]])),"ERROR","")</f>
        <v/>
      </c>
      <c r="S47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77" ht="12.75" customHeight="1">
      <c r="A477" s="74" t="inlineStr">
        <is>
          <t>T1564</t>
        </is>
      </c>
      <c r="B477" s="74" t="inlineStr">
        <is>
          <t>T1564.003</t>
        </is>
      </c>
      <c r="C477" s="13" t="inlineStr">
        <is>
          <t>Hidden Window (T1564.003)</t>
        </is>
      </c>
      <c r="D477" s="13" t="inlineStr">
        <is>
          <t>stealth</t>
        </is>
      </c>
      <c r="E477" s="13" t="inlineStr">
        <is>
          <t>Command: Command Execution|File: File Modification|Process: Process Creation|Process: Process Metadata|Windows Registry: Windows Registry Key Modification</t>
        </is>
      </c>
      <c r="F477" s="74" t="n">
        <v>5</v>
      </c>
      <c r="G477" s="72">
        <f t="array" ref="G477">SUM(IF(ISERROR(FIND(sources[data source],techniques[[#This Row],[data sources]])),0,1)*IF(sources[available]="yes",1,0))</f>
        <v/>
      </c>
      <c r="H477" s="73">
        <f t="array" ref="H477">IF(techniques[[#This Row],[technique]]=techniques[[#This Row],[id]],SUM(IF(techniques[[#This Row],[id]]=techniques[technique],1,0))-1,"")</f>
        <v/>
      </c>
      <c r="I477" s="74">
        <f t="array" ref="I477">IF(SUM(IF($C477=detections[],IF(detections[is active]="yes",1,0),0))&gt;0,SUM(IF($C477=detections[],IF(detections[is active]="yes",1,0),0)),"")</f>
        <v/>
      </c>
      <c r="J477" s="74">
        <f t="array" ref="J47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77" s="74">
        <f>IF(AND(ISNUMBER(techniques[[#This Row],[number of sub techniques]]),techniques[[#This Row],[number of sub techniques]]&gt;1),techniques[number of sub techniques],1)</f>
        <v/>
      </c>
      <c r="L477" s="72" t="n"/>
      <c r="M477" s="74">
        <f t="array" ref="M47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7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77" s="26">
        <f>IF(techniques[[#This Row],[detection rules]]&gt;=techniques[[#This Row],[expected detection rules]],1,techniques[[#This Row],[detection rules]]/techniques[[#This Row],[expected detection rules]])</f>
        <v/>
      </c>
      <c r="P47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77" s="29">
        <f>IF(ISERROR(SEARCH(techniques[[#This Row],[id]],techniques[[#This Row],[name]])),"ERROR","")</f>
        <v/>
      </c>
      <c r="S47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78" ht="12.75" customHeight="1">
      <c r="A478" s="74" t="inlineStr">
        <is>
          <t>T1564</t>
        </is>
      </c>
      <c r="B478" s="74" t="inlineStr">
        <is>
          <t>T1564.004</t>
        </is>
      </c>
      <c r="C478" s="13" t="inlineStr">
        <is>
          <t>NTFS File Attributes (T1564.004)</t>
        </is>
      </c>
      <c r="D478" s="13" t="inlineStr">
        <is>
          <t>stealth</t>
        </is>
      </c>
      <c r="E478" s="13" t="inlineStr">
        <is>
          <t>File: File Creation|File: File Metadata|Process: OS API Execution|Process: Process Creation</t>
        </is>
      </c>
      <c r="F478" s="74" t="n">
        <v>4</v>
      </c>
      <c r="G478" s="72">
        <f t="array" ref="G478">SUM(IF(ISERROR(FIND(sources[data source],techniques[[#This Row],[data sources]])),0,1)*IF(sources[available]="yes",1,0))</f>
        <v/>
      </c>
      <c r="H478" s="73">
        <f t="array" ref="H478">IF(techniques[[#This Row],[technique]]=techniques[[#This Row],[id]],SUM(IF(techniques[[#This Row],[id]]=techniques[technique],1,0))-1,"")</f>
        <v/>
      </c>
      <c r="I478" s="74">
        <f t="array" ref="I478">IF(SUM(IF($C478=detections[],IF(detections[is active]="yes",1,0),0))&gt;0,SUM(IF($C478=detections[],IF(detections[is active]="yes",1,0),0)),"")</f>
        <v/>
      </c>
      <c r="J478" s="74">
        <f t="array" ref="J47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78" s="74">
        <f>IF(AND(ISNUMBER(techniques[[#This Row],[number of sub techniques]]),techniques[[#This Row],[number of sub techniques]]&gt;1),techniques[number of sub techniques],1)</f>
        <v/>
      </c>
      <c r="L478" s="72" t="n"/>
      <c r="M478" s="74">
        <f t="array" ref="M47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7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78" s="26">
        <f>IF(techniques[[#This Row],[detection rules]]&gt;=techniques[[#This Row],[expected detection rules]],1,techniques[[#This Row],[detection rules]]/techniques[[#This Row],[expected detection rules]])</f>
        <v/>
      </c>
      <c r="P47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78" s="29">
        <f>IF(ISERROR(SEARCH(techniques[[#This Row],[id]],techniques[[#This Row],[name]])),"ERROR","")</f>
        <v/>
      </c>
      <c r="S47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79" ht="12.75" customHeight="1">
      <c r="A479" s="74" t="inlineStr">
        <is>
          <t>T1564</t>
        </is>
      </c>
      <c r="B479" s="74" t="inlineStr">
        <is>
          <t>T1564.005</t>
        </is>
      </c>
      <c r="C479" s="13" t="inlineStr">
        <is>
          <t>Hidden File System (T1564.005)</t>
        </is>
      </c>
      <c r="D479" s="13" t="inlineStr">
        <is>
          <t>stealth</t>
        </is>
      </c>
      <c r="E479" s="13" t="inlineStr">
        <is>
          <t>Command: Command Execution|File: File Modification|Firmware: Firmware Modification|Process: Process Creation|Windows Registry: Windows Registry Key Modification</t>
        </is>
      </c>
      <c r="F479" s="74" t="n">
        <v>5</v>
      </c>
      <c r="G479" s="72">
        <f t="array" ref="G479">SUM(IF(ISERROR(FIND(sources[data source],techniques[[#This Row],[data sources]])),0,1)*IF(sources[available]="yes",1,0))</f>
        <v/>
      </c>
      <c r="H479" s="73">
        <f t="array" ref="H479">IF(techniques[[#This Row],[technique]]=techniques[[#This Row],[id]],SUM(IF(techniques[[#This Row],[id]]=techniques[technique],1,0))-1,"")</f>
        <v/>
      </c>
      <c r="I479" s="74">
        <f t="array" ref="I479">IF(SUM(IF($C479=detections[],IF(detections[is active]="yes",1,0),0))&gt;0,SUM(IF($C479=detections[],IF(detections[is active]="yes",1,0),0)),"")</f>
        <v/>
      </c>
      <c r="J479" s="74">
        <f t="array" ref="J47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79" s="74">
        <f>IF(AND(ISNUMBER(techniques[[#This Row],[number of sub techniques]]),techniques[[#This Row],[number of sub techniques]]&gt;1),techniques[number of sub techniques],1)</f>
        <v/>
      </c>
      <c r="L479" s="72" t="n"/>
      <c r="M479" s="74">
        <f t="array" ref="M47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7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79" s="26">
        <f>IF(techniques[[#This Row],[detection rules]]&gt;=techniques[[#This Row],[expected detection rules]],1,techniques[[#This Row],[detection rules]]/techniques[[#This Row],[expected detection rules]])</f>
        <v/>
      </c>
      <c r="P47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79" s="29">
        <f>IF(ISERROR(SEARCH(techniques[[#This Row],[id]],techniques[[#This Row],[name]])),"ERROR","")</f>
        <v/>
      </c>
      <c r="S47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80" ht="12.75" customHeight="1">
      <c r="A480" s="74" t="inlineStr">
        <is>
          <t>T1564</t>
        </is>
      </c>
      <c r="B480" s="74" t="inlineStr">
        <is>
          <t>T1564.006</t>
        </is>
      </c>
      <c r="C480" s="13" t="inlineStr">
        <is>
          <t>Run Virtual Instance (T1564.006)</t>
        </is>
      </c>
      <c r="D480" s="13" t="inlineStr">
        <is>
          <t>stealth</t>
        </is>
      </c>
      <c r="E480" s="13" t="inlineStr">
        <is>
          <t>Command: Command Execution|File: File Creation|File: File Modification|Image: Image Metadata|Process: Process Creation|Service: Service Creation|Windows Registry: Windows Registry Key Modification</t>
        </is>
      </c>
      <c r="F480" s="74" t="n">
        <v>7</v>
      </c>
      <c r="G480" s="72">
        <f t="array" ref="G480">SUM(IF(ISERROR(FIND(sources[data source],techniques[[#This Row],[data sources]])),0,1)*IF(sources[available]="yes",1,0))</f>
        <v/>
      </c>
      <c r="H480" s="73">
        <f t="array" ref="H480">IF(techniques[[#This Row],[technique]]=techniques[[#This Row],[id]],SUM(IF(techniques[[#This Row],[id]]=techniques[technique],1,0))-1,"")</f>
        <v/>
      </c>
      <c r="I480" s="74">
        <f t="array" ref="I480">IF(SUM(IF($C480=detections[],IF(detections[is active]="yes",1,0),0))&gt;0,SUM(IF($C480=detections[],IF(detections[is active]="yes",1,0),0)),"")</f>
        <v/>
      </c>
      <c r="J480" s="74">
        <f t="array" ref="J48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80" s="74">
        <f>IF(AND(ISNUMBER(techniques[[#This Row],[number of sub techniques]]),techniques[[#This Row],[number of sub techniques]]&gt;1),techniques[number of sub techniques],1)</f>
        <v/>
      </c>
      <c r="L480" s="72" t="n"/>
      <c r="M480" s="74">
        <f t="array" ref="M48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8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80" s="26">
        <f>IF(techniques[[#This Row],[detection rules]]&gt;=techniques[[#This Row],[expected detection rules]],1,techniques[[#This Row],[detection rules]]/techniques[[#This Row],[expected detection rules]])</f>
        <v/>
      </c>
      <c r="P48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80" s="29">
        <f>IF(ISERROR(SEARCH(techniques[[#This Row],[id]],techniques[[#This Row],[name]])),"ERROR","")</f>
        <v/>
      </c>
      <c r="S48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81" ht="12.75" customHeight="1">
      <c r="A481" s="74" t="inlineStr">
        <is>
          <t>T1564</t>
        </is>
      </c>
      <c r="B481" s="74" t="inlineStr">
        <is>
          <t>T1564.007</t>
        </is>
      </c>
      <c r="C481" s="13" t="inlineStr">
        <is>
          <t>VBA Stomping (T1564.007)</t>
        </is>
      </c>
      <c r="D481" s="13" t="inlineStr">
        <is>
          <t>stealth</t>
        </is>
      </c>
      <c r="E481" s="13" t="inlineStr">
        <is>
          <t>File: File Creation|File: File Metadata|Process: Process Creation</t>
        </is>
      </c>
      <c r="F481" s="74" t="n">
        <v>3</v>
      </c>
      <c r="G481" s="72">
        <f t="array" ref="G481">SUM(IF(ISERROR(FIND(sources[data source],techniques[[#This Row],[data sources]])),0,1)*IF(sources[available]="yes",1,0))</f>
        <v/>
      </c>
      <c r="H481" s="73">
        <f t="array" ref="H481">IF(techniques[[#This Row],[technique]]=techniques[[#This Row],[id]],SUM(IF(techniques[[#This Row],[id]]=techniques[technique],1,0))-1,"")</f>
        <v/>
      </c>
      <c r="I481" s="74">
        <f t="array" ref="I481">IF(SUM(IF($C481=detections[],IF(detections[is active]="yes",1,0),0))&gt;0,SUM(IF($C481=detections[],IF(detections[is active]="yes",1,0),0)),"")</f>
        <v/>
      </c>
      <c r="J481" s="74">
        <f t="array" ref="J48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81" s="74">
        <f>IF(AND(ISNUMBER(techniques[[#This Row],[number of sub techniques]]),techniques[[#This Row],[number of sub techniques]]&gt;1),techniques[number of sub techniques],1)</f>
        <v/>
      </c>
      <c r="L481" s="72" t="n"/>
      <c r="M481" s="74">
        <f t="array" ref="M48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8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81" s="26">
        <f>IF(techniques[[#This Row],[detection rules]]&gt;=techniques[[#This Row],[expected detection rules]],1,techniques[[#This Row],[detection rules]]/techniques[[#This Row],[expected detection rules]])</f>
        <v/>
      </c>
      <c r="P48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81" s="29">
        <f>IF(ISERROR(SEARCH(techniques[[#This Row],[id]],techniques[[#This Row],[name]])),"ERROR","")</f>
        <v/>
      </c>
      <c r="S48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82" ht="12.75" customHeight="1">
      <c r="A482" s="74" t="inlineStr">
        <is>
          <t>T1564</t>
        </is>
      </c>
      <c r="B482" s="74" t="inlineStr">
        <is>
          <t>T1564.008</t>
        </is>
      </c>
      <c r="C482" s="13" t="inlineStr">
        <is>
          <t>Email Hiding Rules (T1564.008)</t>
        </is>
      </c>
      <c r="D482" s="13" t="inlineStr">
        <is>
          <t>stealth</t>
        </is>
      </c>
      <c r="E482" s="13" t="inlineStr">
        <is>
          <t>Application Log: Application Log Content|Command: Command Execution|File: File Modification|Process: Process Creation</t>
        </is>
      </c>
      <c r="F482" s="74" t="n">
        <v>4</v>
      </c>
      <c r="G482" s="72">
        <f t="array" ref="G482">SUM(IF(ISERROR(FIND(sources[data source],techniques[[#This Row],[data sources]])),0,1)*IF(sources[available]="yes",1,0))</f>
        <v/>
      </c>
      <c r="H482" s="73">
        <f t="array" ref="H482">IF(techniques[[#This Row],[technique]]=techniques[[#This Row],[id]],SUM(IF(techniques[[#This Row],[id]]=techniques[technique],1,0))-1,"")</f>
        <v/>
      </c>
      <c r="I482" s="74">
        <f t="array" ref="I482">IF(SUM(IF($C482=detections[],IF(detections[is active]="yes",1,0),0))&gt;0,SUM(IF($C482=detections[],IF(detections[is active]="yes",1,0),0)),"")</f>
        <v/>
      </c>
      <c r="J482" s="74">
        <f t="array" ref="J48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82" s="74">
        <f>IF(AND(ISNUMBER(techniques[[#This Row],[number of sub techniques]]),techniques[[#This Row],[number of sub techniques]]&gt;1),techniques[number of sub techniques],1)</f>
        <v/>
      </c>
      <c r="L482" s="72" t="n"/>
      <c r="M482" s="74">
        <f t="array" ref="M48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8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82" s="26">
        <f>IF(techniques[[#This Row],[detection rules]]&gt;=techniques[[#This Row],[expected detection rules]],1,techniques[[#This Row],[detection rules]]/techniques[[#This Row],[expected detection rules]])</f>
        <v/>
      </c>
      <c r="P48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82" s="29">
        <f>IF(ISERROR(SEARCH(techniques[[#This Row],[id]],techniques[[#This Row],[name]])),"ERROR","")</f>
        <v/>
      </c>
      <c r="S48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83" ht="12.75" customHeight="1">
      <c r="A483" s="74" t="inlineStr">
        <is>
          <t>T1564</t>
        </is>
      </c>
      <c r="B483" s="74" t="inlineStr">
        <is>
          <t>T1564.009</t>
        </is>
      </c>
      <c r="C483" s="13" t="inlineStr">
        <is>
          <t>Resource Forking (T1564.009)</t>
        </is>
      </c>
      <c r="D483" s="13" t="inlineStr">
        <is>
          <t>stealth</t>
        </is>
      </c>
      <c r="E483" s="13" t="inlineStr">
        <is>
          <t>Command: Command Execution|File: File Metadata|Process: Process Creation</t>
        </is>
      </c>
      <c r="F483" s="74" t="n">
        <v>3</v>
      </c>
      <c r="G483" s="72">
        <f t="array" ref="G483">SUM(IF(ISERROR(FIND(sources[data source],techniques[[#This Row],[data sources]])),0,1)*IF(sources[available]="yes",1,0))</f>
        <v/>
      </c>
      <c r="H483" s="73">
        <f t="array" ref="H483">IF(techniques[[#This Row],[technique]]=techniques[[#This Row],[id]],SUM(IF(techniques[[#This Row],[id]]=techniques[technique],1,0))-1,"")</f>
        <v/>
      </c>
      <c r="I483" s="74">
        <f t="array" ref="I483">IF(SUM(IF($C483=detections[],IF(detections[is active]="yes",1,0),0))&gt;0,SUM(IF($C483=detections[],IF(detections[is active]="yes",1,0),0)),"")</f>
        <v/>
      </c>
      <c r="J483" s="74">
        <f t="array" ref="J48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83" s="74">
        <f>IF(AND(ISNUMBER(techniques[[#This Row],[number of sub techniques]]),techniques[[#This Row],[number of sub techniques]]&gt;1),techniques[number of sub techniques],1)</f>
        <v/>
      </c>
      <c r="L483" s="72" t="n"/>
      <c r="M483" s="74">
        <f t="array" ref="M48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8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83" s="26">
        <f>IF(techniques[[#This Row],[detection rules]]&gt;=techniques[[#This Row],[expected detection rules]],1,techniques[[#This Row],[detection rules]]/techniques[[#This Row],[expected detection rules]])</f>
        <v/>
      </c>
      <c r="P48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83" s="29">
        <f>IF(ISERROR(SEARCH(techniques[[#This Row],[id]],techniques[[#This Row],[name]])),"ERROR","")</f>
        <v/>
      </c>
      <c r="S48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84" ht="12.75" customHeight="1">
      <c r="A484" s="74" t="inlineStr">
        <is>
          <t>T1564</t>
        </is>
      </c>
      <c r="B484" s="74" t="inlineStr">
        <is>
          <t>T1564.010</t>
        </is>
      </c>
      <c r="C484" s="13" t="inlineStr">
        <is>
          <t>Process Argument Spoofing (T1564.010)</t>
        </is>
      </c>
      <c r="D484" s="13" t="inlineStr">
        <is>
          <t>stealth</t>
        </is>
      </c>
      <c r="E484" s="13" t="inlineStr">
        <is>
          <t>Process: Process Access|Process: Process Creation</t>
        </is>
      </c>
      <c r="F484" s="74" t="n">
        <v>2</v>
      </c>
      <c r="G484" s="72">
        <f t="array" ref="G484">SUM(IF(ISERROR(FIND(sources[data source],techniques[[#This Row],[data sources]])),0,1)*IF(sources[available]="yes",1,0))</f>
        <v/>
      </c>
      <c r="H484" s="73">
        <f t="array" ref="H484">IF(techniques[[#This Row],[technique]]=techniques[[#This Row],[id]],SUM(IF(techniques[[#This Row],[id]]=techniques[technique],1,0))-1,"")</f>
        <v/>
      </c>
      <c r="I484" s="74">
        <f t="array" ref="I484">IF(SUM(IF($C484=detections[],IF(detections[is active]="yes",1,0),0))&gt;0,SUM(IF($C484=detections[],IF(detections[is active]="yes",1,0),0)),"")</f>
        <v/>
      </c>
      <c r="J484" s="74">
        <f t="array" ref="J48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84" s="74">
        <f>IF(AND(ISNUMBER(techniques[[#This Row],[number of sub techniques]]),techniques[[#This Row],[number of sub techniques]]&gt;1),techniques[number of sub techniques],1)</f>
        <v/>
      </c>
      <c r="L484" s="72" t="n"/>
      <c r="M484" s="74">
        <f t="array" ref="M48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8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84" s="26">
        <f>IF(techniques[[#This Row],[detection rules]]&gt;=techniques[[#This Row],[expected detection rules]],1,techniques[[#This Row],[detection rules]]/techniques[[#This Row],[expected detection rules]])</f>
        <v/>
      </c>
      <c r="P48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84" s="29">
        <f>IF(ISERROR(SEARCH(techniques[[#This Row],[id]],techniques[[#This Row],[name]])),"ERROR","")</f>
        <v/>
      </c>
      <c r="S48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85" ht="12.75" customHeight="1">
      <c r="A485" s="74" t="inlineStr">
        <is>
          <t>T1564</t>
        </is>
      </c>
      <c r="B485" s="74" t="inlineStr">
        <is>
          <t>T1564.011</t>
        </is>
      </c>
      <c r="C485" s="13" t="inlineStr">
        <is>
          <t>Ignore Process Interrupts (T1564.011)</t>
        </is>
      </c>
      <c r="D485" s="13" t="inlineStr">
        <is>
          <t>stealth</t>
        </is>
      </c>
      <c r="E485" s="13" t="inlineStr">
        <is>
          <t>Command: Command Execution|Process: Process Creation</t>
        </is>
      </c>
      <c r="F485" s="74" t="n">
        <v>2</v>
      </c>
      <c r="G485" s="72">
        <f t="array" ref="G485">SUM(IF(ISERROR(FIND(sources[data source],techniques[[#This Row],[data sources]])),0,1)*IF(sources[available]="yes",1,0))</f>
        <v/>
      </c>
      <c r="H485" s="73">
        <f t="array" ref="H485">IF(techniques[[#This Row],[technique]]=techniques[[#This Row],[id]],SUM(IF(techniques[[#This Row],[id]]=techniques[technique],1,0))-1,"")</f>
        <v/>
      </c>
      <c r="I485" s="74">
        <f t="array" ref="I485">IF(SUM(IF($C485=detections[],IF(detections[is active]="yes",1,0),0))&gt;0,SUM(IF($C485=detections[],IF(detections[is active]="yes",1,0),0)),"")</f>
        <v/>
      </c>
      <c r="J485" s="74">
        <f t="array" ref="J48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85" s="74">
        <f>IF(AND(ISNUMBER(techniques[[#This Row],[number of sub techniques]]),techniques[[#This Row],[number of sub techniques]]&gt;1),techniques[number of sub techniques],1)</f>
        <v/>
      </c>
      <c r="L485" s="72" t="n"/>
      <c r="M485" s="74">
        <f t="array" ref="M48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8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85" s="26">
        <f>IF(techniques[[#This Row],[detection rules]]&gt;=techniques[[#This Row],[expected detection rules]],1,techniques[[#This Row],[detection rules]]/techniques[[#This Row],[expected detection rules]])</f>
        <v/>
      </c>
      <c r="P48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85" s="29">
        <f>IF(ISERROR(SEARCH(techniques[[#This Row],[id]],techniques[[#This Row],[name]])),"ERROR","")</f>
        <v/>
      </c>
      <c r="S48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86" ht="12.75" customHeight="1">
      <c r="A486" s="74" t="inlineStr">
        <is>
          <t>T1564</t>
        </is>
      </c>
      <c r="B486" s="74" t="inlineStr">
        <is>
          <t>T1564.012</t>
        </is>
      </c>
      <c r="C486" s="13" t="inlineStr">
        <is>
          <t>File/Path Exclusions (T1564.012)</t>
        </is>
      </c>
      <c r="D486" s="13" t="inlineStr">
        <is>
          <t>stealth</t>
        </is>
      </c>
      <c r="E486" s="13" t="inlineStr">
        <is>
          <t>File: File Access|File: File Creation|File: File Metadata|Process: Process Creation</t>
        </is>
      </c>
      <c r="F486" s="74" t="n">
        <v>4</v>
      </c>
      <c r="G486" s="72">
        <f t="array" ref="G486">SUM(IF(ISERROR(FIND(sources[data source],techniques[[#This Row],[data sources]])),0,1)*IF(sources[available]="yes",1,0))</f>
        <v/>
      </c>
      <c r="H486" s="73">
        <f t="array" ref="H486">IF(techniques[[#This Row],[technique]]=techniques[[#This Row],[id]],SUM(IF(techniques[[#This Row],[id]]=techniques[technique],1,0))-1,"")</f>
        <v/>
      </c>
      <c r="I486" s="74">
        <f t="array" ref="I486">IF(SUM(IF($C486=detections[],IF(detections[is active]="yes",1,0),0))&gt;0,SUM(IF($C486=detections[],IF(detections[is active]="yes",1,0),0)),"")</f>
        <v/>
      </c>
      <c r="J486" s="74">
        <f t="array" ref="J48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86" s="74">
        <f>IF(AND(ISNUMBER(techniques[[#This Row],[number of sub techniques]]),techniques[[#This Row],[number of sub techniques]]&gt;1),techniques[number of sub techniques],1)</f>
        <v/>
      </c>
      <c r="L486" s="72" t="n"/>
      <c r="M486" s="74">
        <f t="array" ref="M48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8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86" s="26">
        <f>IF(techniques[[#This Row],[detection rules]]&gt;=techniques[[#This Row],[expected detection rules]],1,techniques[[#This Row],[detection rules]]/techniques[[#This Row],[expected detection rules]])</f>
        <v/>
      </c>
      <c r="P48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86" s="29">
        <f>IF(ISERROR(SEARCH(techniques[[#This Row],[id]],techniques[[#This Row],[name]])),"ERROR","")</f>
        <v/>
      </c>
      <c r="S48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87" ht="12.75" customHeight="1">
      <c r="A487" s="74" t="inlineStr">
        <is>
          <t>T1564</t>
        </is>
      </c>
      <c r="B487" s="74" t="inlineStr">
        <is>
          <t>T1564.013</t>
        </is>
      </c>
      <c r="C487" s="13" t="inlineStr">
        <is>
          <t>Bind Mounts (T1564.013)</t>
        </is>
      </c>
      <c r="D487" s="13" t="inlineStr">
        <is>
          <t>stealth</t>
        </is>
      </c>
      <c r="E487" s="13" t="inlineStr">
        <is>
          <t>File: File Creation|Process: OS API Execution|Process: Process Metadata</t>
        </is>
      </c>
      <c r="F487" s="74" t="n">
        <v>3</v>
      </c>
      <c r="G487" s="72">
        <f t="array" ref="G487">SUM(IF(ISERROR(FIND(sources[data source],techniques[[#This Row],[data sources]])),0,1)*IF(sources[available]="yes",1,0))</f>
        <v/>
      </c>
      <c r="H487" s="73">
        <f t="array" ref="H487">IF(techniques[[#This Row],[technique]]=techniques[[#This Row],[id]],SUM(IF(techniques[[#This Row],[id]]=techniques[technique],1,0))-1,"")</f>
        <v/>
      </c>
      <c r="I487" s="74">
        <f t="array" ref="I487">IF(SUM(IF($C487=detections[],IF(detections[is active]="yes",1,0),0))&gt;0,SUM(IF($C487=detections[],IF(detections[is active]="yes",1,0),0)),"")</f>
        <v/>
      </c>
      <c r="J487" s="74">
        <f t="array" ref="J48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87" s="74">
        <f>IF(AND(ISNUMBER(techniques[[#This Row],[number of sub techniques]]),techniques[[#This Row],[number of sub techniques]]&gt;1),techniques[number of sub techniques],1)</f>
        <v/>
      </c>
      <c r="L487" s="72" t="n"/>
      <c r="M487" s="74">
        <f t="array" ref="M48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8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87" s="26">
        <f>IF(techniques[[#This Row],[detection rules]]&gt;=techniques[[#This Row],[expected detection rules]],1,techniques[[#This Row],[detection rules]]/techniques[[#This Row],[expected detection rules]])</f>
        <v/>
      </c>
      <c r="P48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87" s="29">
        <f>IF(ISERROR(SEARCH(techniques[[#This Row],[id]],techniques[[#This Row],[name]])),"ERROR","")</f>
        <v/>
      </c>
      <c r="S48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88" ht="12.75" customHeight="1">
      <c r="A488" s="74" t="inlineStr">
        <is>
          <t>T1564</t>
        </is>
      </c>
      <c r="B488" s="74" t="inlineStr">
        <is>
          <t>T1564.014</t>
        </is>
      </c>
      <c r="C488" s="13" t="inlineStr">
        <is>
          <t>Extended Attributes (T1564.014)</t>
        </is>
      </c>
      <c r="D488" s="13" t="inlineStr">
        <is>
          <t>stealth</t>
        </is>
      </c>
      <c r="E488" s="13" t="inlineStr">
        <is>
          <t>Command: Command Execution|File: File Metadata</t>
        </is>
      </c>
      <c r="F488" s="74" t="n">
        <v>2</v>
      </c>
      <c r="G488" s="72">
        <f t="array" ref="G488">SUM(IF(ISERROR(FIND(sources[data source],techniques[[#This Row],[data sources]])),0,1)*IF(sources[available]="yes",1,0))</f>
        <v/>
      </c>
      <c r="H488" s="73">
        <f t="array" ref="H488">IF(techniques[[#This Row],[technique]]=techniques[[#This Row],[id]],SUM(IF(techniques[[#This Row],[id]]=techniques[technique],1,0))-1,"")</f>
        <v/>
      </c>
      <c r="I488" s="74">
        <f t="array" ref="I488">IF(SUM(IF($C488=detections[],IF(detections[is active]="yes",1,0),0))&gt;0,SUM(IF($C488=detections[],IF(detections[is active]="yes",1,0),0)),"")</f>
        <v/>
      </c>
      <c r="J488" s="74">
        <f t="array" ref="J48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88" s="74">
        <f>IF(AND(ISNUMBER(techniques[[#This Row],[number of sub techniques]]),techniques[[#This Row],[number of sub techniques]]&gt;1),techniques[number of sub techniques],1)</f>
        <v/>
      </c>
      <c r="L488" s="72" t="n"/>
      <c r="M488" s="74">
        <f t="array" ref="M48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8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88" s="26">
        <f>IF(techniques[[#This Row],[detection rules]]&gt;=techniques[[#This Row],[expected detection rules]],1,techniques[[#This Row],[detection rules]]/techniques[[#This Row],[expected detection rules]])</f>
        <v/>
      </c>
      <c r="P48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88" s="29">
        <f>IF(ISERROR(SEARCH(techniques[[#This Row],[id]],techniques[[#This Row],[name]])),"ERROR","")</f>
        <v/>
      </c>
      <c r="S48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89" ht="12.75" customHeight="1">
      <c r="A489" s="74" t="inlineStr">
        <is>
          <t>T1565</t>
        </is>
      </c>
      <c r="B489" s="74" t="inlineStr">
        <is>
          <t>T1565</t>
        </is>
      </c>
      <c r="C489" s="13" t="inlineStr">
        <is>
          <t>Data Manipulation (T1565)</t>
        </is>
      </c>
      <c r="D489" s="13" t="inlineStr">
        <is>
          <t>impact</t>
        </is>
      </c>
      <c r="E489" s="13" t="inlineStr">
        <is>
          <t>File: File Access|File: File Creation|File: File Metadata|File: File Modification|Network Traffic: Network Traffic Content|Process: OS API Execution</t>
        </is>
      </c>
      <c r="F489" s="74" t="n">
        <v>6</v>
      </c>
      <c r="G489" s="72">
        <f t="array" ref="G489">SUM(IF(ISERROR(FIND(sources[data source],techniques[[#This Row],[data sources]])),0,1)*IF(sources[available]="yes",1,0))</f>
        <v/>
      </c>
      <c r="H489" s="73">
        <f t="array" ref="H489">IF(techniques[[#This Row],[technique]]=techniques[[#This Row],[id]],SUM(IF(techniques[[#This Row],[id]]=techniques[technique],1,0))-1,"")</f>
        <v/>
      </c>
      <c r="I489" s="74">
        <f t="array" ref="I489">IF(SUM(IF($C489=detections[],IF(detections[is active]="yes",1,0),0))&gt;0,SUM(IF($C489=detections[],IF(detections[is active]="yes",1,0),0)),"")</f>
        <v/>
      </c>
      <c r="J489" s="74">
        <f t="array" ref="J48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89" s="74">
        <f>IF(AND(ISNUMBER(techniques[[#This Row],[number of sub techniques]]),techniques[[#This Row],[number of sub techniques]]&gt;1),techniques[number of sub techniques],1)</f>
        <v/>
      </c>
      <c r="L489" s="72" t="n"/>
      <c r="M489" s="74">
        <f t="array" ref="M48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8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89" s="26">
        <f>IF(techniques[[#This Row],[detection rules]]&gt;=techniques[[#This Row],[expected detection rules]],1,techniques[[#This Row],[detection rules]]/techniques[[#This Row],[expected detection rules]])</f>
        <v/>
      </c>
      <c r="P48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89" s="29">
        <f>IF(ISERROR(SEARCH(techniques[[#This Row],[id]],techniques[[#This Row],[name]])),"ERROR","")</f>
        <v/>
      </c>
      <c r="S48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90" ht="12.75" customHeight="1">
      <c r="A490" s="74" t="inlineStr">
        <is>
          <t>T1565</t>
        </is>
      </c>
      <c r="B490" s="74" t="inlineStr">
        <is>
          <t>T1565.001</t>
        </is>
      </c>
      <c r="C490" s="13" t="inlineStr">
        <is>
          <t>Stored Data Manipulation (T1565.001)</t>
        </is>
      </c>
      <c r="D490" s="13" t="inlineStr">
        <is>
          <t>impact</t>
        </is>
      </c>
      <c r="E490" s="13" t="inlineStr">
        <is>
          <t>File: File Creation|File: File Deletion|File: File Metadata|File: File Modification</t>
        </is>
      </c>
      <c r="F490" s="74" t="n">
        <v>4</v>
      </c>
      <c r="G490" s="72">
        <f t="array" ref="G490">SUM(IF(ISERROR(FIND(sources[data source],techniques[[#This Row],[data sources]])),0,1)*IF(sources[available]="yes",1,0))</f>
        <v/>
      </c>
      <c r="H490" s="73">
        <f t="array" ref="H490">IF(techniques[[#This Row],[technique]]=techniques[[#This Row],[id]],SUM(IF(techniques[[#This Row],[id]]=techniques[technique],1,0))-1,"")</f>
        <v/>
      </c>
      <c r="I490" s="74">
        <f t="array" ref="I490">IF(SUM(IF($C490=detections[],IF(detections[is active]="yes",1,0),0))&gt;0,SUM(IF($C490=detections[],IF(detections[is active]="yes",1,0),0)),"")</f>
        <v/>
      </c>
      <c r="J490" s="74">
        <f t="array" ref="J49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90" s="74">
        <f>IF(AND(ISNUMBER(techniques[[#This Row],[number of sub techniques]]),techniques[[#This Row],[number of sub techniques]]&gt;1),techniques[number of sub techniques],1)</f>
        <v/>
      </c>
      <c r="L490" s="72" t="n"/>
      <c r="M490" s="74">
        <f t="array" ref="M49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9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90" s="26">
        <f>IF(techniques[[#This Row],[detection rules]]&gt;=techniques[[#This Row],[expected detection rules]],1,techniques[[#This Row],[detection rules]]/techniques[[#This Row],[expected detection rules]])</f>
        <v/>
      </c>
      <c r="P49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90" s="29">
        <f>IF(ISERROR(SEARCH(techniques[[#This Row],[id]],techniques[[#This Row],[name]])),"ERROR","")</f>
        <v/>
      </c>
      <c r="S49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91" ht="12.75" customHeight="1">
      <c r="A491" s="74" t="inlineStr">
        <is>
          <t>T1565</t>
        </is>
      </c>
      <c r="B491" s="74" t="inlineStr">
        <is>
          <t>T1565.002</t>
        </is>
      </c>
      <c r="C491" s="13" t="inlineStr">
        <is>
          <t>Transmitted Data Manipulation (T1565.002)</t>
        </is>
      </c>
      <c r="D491" s="13" t="inlineStr">
        <is>
          <t>impact</t>
        </is>
      </c>
      <c r="E491" s="13" t="inlineStr">
        <is>
          <t>File: File Metadata|Network Traffic: Network Connection Creation|Network Traffic: Network Traffic Content|Network Traffic: Network Traffic Flow|Process: OS API Execution</t>
        </is>
      </c>
      <c r="F491" s="74" t="n">
        <v>5</v>
      </c>
      <c r="G491" s="72">
        <f t="array" ref="G491">SUM(IF(ISERROR(FIND(sources[data source],techniques[[#This Row],[data sources]])),0,1)*IF(sources[available]="yes",1,0))</f>
        <v/>
      </c>
      <c r="H491" s="73">
        <f t="array" ref="H491">IF(techniques[[#This Row],[technique]]=techniques[[#This Row],[id]],SUM(IF(techniques[[#This Row],[id]]=techniques[technique],1,0))-1,"")</f>
        <v/>
      </c>
      <c r="I491" s="74">
        <f t="array" ref="I491">IF(SUM(IF($C491=detections[],IF(detections[is active]="yes",1,0),0))&gt;0,SUM(IF($C491=detections[],IF(detections[is active]="yes",1,0),0)),"")</f>
        <v/>
      </c>
      <c r="J491" s="74">
        <f t="array" ref="J49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91" s="74">
        <f>IF(AND(ISNUMBER(techniques[[#This Row],[number of sub techniques]]),techniques[[#This Row],[number of sub techniques]]&gt;1),techniques[number of sub techniques],1)</f>
        <v/>
      </c>
      <c r="L491" s="72" t="n"/>
      <c r="M491" s="74">
        <f t="array" ref="M49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9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91" s="26">
        <f>IF(techniques[[#This Row],[detection rules]]&gt;=techniques[[#This Row],[expected detection rules]],1,techniques[[#This Row],[detection rules]]/techniques[[#This Row],[expected detection rules]])</f>
        <v/>
      </c>
      <c r="P49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91" s="29">
        <f>IF(ISERROR(SEARCH(techniques[[#This Row],[id]],techniques[[#This Row],[name]])),"ERROR","")</f>
        <v/>
      </c>
      <c r="S49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92" ht="12.75" customHeight="1">
      <c r="A492" s="74" t="inlineStr">
        <is>
          <t>T1565</t>
        </is>
      </c>
      <c r="B492" s="74" t="inlineStr">
        <is>
          <t>T1565.003</t>
        </is>
      </c>
      <c r="C492" s="13" t="inlineStr">
        <is>
          <t>Runtime Data Manipulation (T1565.003)</t>
        </is>
      </c>
      <c r="D492" s="13" t="inlineStr">
        <is>
          <t>impact</t>
        </is>
      </c>
      <c r="E492" s="13" t="inlineStr">
        <is>
          <t>File: File Creation|File: File Metadata|File: File Modification|Process: OS API Execution|Windows Registry: Windows Registry Key Modification</t>
        </is>
      </c>
      <c r="F492" s="74" t="n">
        <v>5</v>
      </c>
      <c r="G492" s="72">
        <f t="array" ref="G492">SUM(IF(ISERROR(FIND(sources[data source],techniques[[#This Row],[data sources]])),0,1)*IF(sources[available]="yes",1,0))</f>
        <v/>
      </c>
      <c r="H492" s="73">
        <f t="array" ref="H492">IF(techniques[[#This Row],[technique]]=techniques[[#This Row],[id]],SUM(IF(techniques[[#This Row],[id]]=techniques[technique],1,0))-1,"")</f>
        <v/>
      </c>
      <c r="I492" s="74">
        <f t="array" ref="I492">IF(SUM(IF($C492=detections[],IF(detections[is active]="yes",1,0),0))&gt;0,SUM(IF($C492=detections[],IF(detections[is active]="yes",1,0),0)),"")</f>
        <v/>
      </c>
      <c r="J492" s="74">
        <f t="array" ref="J49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92" s="74">
        <f>IF(AND(ISNUMBER(techniques[[#This Row],[number of sub techniques]]),techniques[[#This Row],[number of sub techniques]]&gt;1),techniques[number of sub techniques],1)</f>
        <v/>
      </c>
      <c r="L492" s="72" t="n"/>
      <c r="M492" s="74">
        <f t="array" ref="M49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9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92" s="26">
        <f>IF(techniques[[#This Row],[detection rules]]&gt;=techniques[[#This Row],[expected detection rules]],1,techniques[[#This Row],[detection rules]]/techniques[[#This Row],[expected detection rules]])</f>
        <v/>
      </c>
      <c r="P49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92" s="29">
        <f>IF(ISERROR(SEARCH(techniques[[#This Row],[id]],techniques[[#This Row],[name]])),"ERROR","")</f>
        <v/>
      </c>
      <c r="S49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93" ht="12.75" customHeight="1">
      <c r="A493" s="74" t="inlineStr">
        <is>
          <t>T1566</t>
        </is>
      </c>
      <c r="B493" s="74" t="inlineStr">
        <is>
          <t>T1566</t>
        </is>
      </c>
      <c r="C493" s="13" t="inlineStr">
        <is>
          <t>Phishing (T1566)</t>
        </is>
      </c>
      <c r="D493" s="13" t="inlineStr">
        <is>
          <t>initial-access</t>
        </is>
      </c>
      <c r="E493" s="13" t="inlineStr">
        <is>
          <t>Application Log: Application Log Content|File: File Creation|Logon Session: Logon Session Creation|Process: Process Creation</t>
        </is>
      </c>
      <c r="F493" s="74" t="n">
        <v>4</v>
      </c>
      <c r="G493" s="72">
        <f t="array" ref="G493">SUM(IF(ISERROR(FIND(sources[data source],techniques[[#This Row],[data sources]])),0,1)*IF(sources[available]="yes",1,0))</f>
        <v/>
      </c>
      <c r="H493" s="73">
        <f t="array" ref="H493">IF(techniques[[#This Row],[technique]]=techniques[[#This Row],[id]],SUM(IF(techniques[[#This Row],[id]]=techniques[technique],1,0))-1,"")</f>
        <v/>
      </c>
      <c r="I493" s="74">
        <f t="array" ref="I493">IF(SUM(IF($C493=detections[],IF(detections[is active]="yes",1,0),0))&gt;0,SUM(IF($C493=detections[],IF(detections[is active]="yes",1,0),0)),"")</f>
        <v/>
      </c>
      <c r="J493" s="74">
        <f t="array" ref="J49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93" s="74">
        <f>IF(AND(ISNUMBER(techniques[[#This Row],[number of sub techniques]]),techniques[[#This Row],[number of sub techniques]]&gt;1),techniques[number of sub techniques],1)</f>
        <v/>
      </c>
      <c r="L493" s="72" t="n"/>
      <c r="M493" s="74">
        <f t="array" ref="M49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9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93" s="26">
        <f>IF(techniques[[#This Row],[detection rules]]&gt;=techniques[[#This Row],[expected detection rules]],1,techniques[[#This Row],[detection rules]]/techniques[[#This Row],[expected detection rules]])</f>
        <v/>
      </c>
      <c r="P49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93" s="29">
        <f>IF(ISERROR(SEARCH(techniques[[#This Row],[id]],techniques[[#This Row],[name]])),"ERROR","")</f>
        <v/>
      </c>
      <c r="S49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94" ht="12.75" customHeight="1">
      <c r="A494" s="74" t="inlineStr">
        <is>
          <t>T1566</t>
        </is>
      </c>
      <c r="B494" s="74" t="inlineStr">
        <is>
          <t>T1566.001</t>
        </is>
      </c>
      <c r="C494" s="13" t="inlineStr">
        <is>
          <t>Spearphishing Attachment (T1566.001)</t>
        </is>
      </c>
      <c r="D494" s="13" t="inlineStr">
        <is>
          <t>initial-access</t>
        </is>
      </c>
      <c r="E494" s="13" t="inlineStr">
        <is>
          <t>Application Log: Application Log Content|File: File Creation|Network Traffic: Network Connection Creation|Network Traffic: Network Traffic Flow|Process: Process Creation</t>
        </is>
      </c>
      <c r="F494" s="74" t="n">
        <v>5</v>
      </c>
      <c r="G494" s="72">
        <f t="array" ref="G494">SUM(IF(ISERROR(FIND(sources[data source],techniques[[#This Row],[data sources]])),0,1)*IF(sources[available]="yes",1,0))</f>
        <v/>
      </c>
      <c r="H494" s="73">
        <f t="array" ref="H494">IF(techniques[[#This Row],[technique]]=techniques[[#This Row],[id]],SUM(IF(techniques[[#This Row],[id]]=techniques[technique],1,0))-1,"")</f>
        <v/>
      </c>
      <c r="I494" s="74">
        <f t="array" ref="I494">IF(SUM(IF($C494=detections[],IF(detections[is active]="yes",1,0),0))&gt;0,SUM(IF($C494=detections[],IF(detections[is active]="yes",1,0),0)),"")</f>
        <v/>
      </c>
      <c r="J494" s="74">
        <f t="array" ref="J49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94" s="74">
        <f>IF(AND(ISNUMBER(techniques[[#This Row],[number of sub techniques]]),techniques[[#This Row],[number of sub techniques]]&gt;1),techniques[number of sub techniques],1)</f>
        <v/>
      </c>
      <c r="L494" s="72" t="n"/>
      <c r="M494" s="74">
        <f t="array" ref="M49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9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94" s="26">
        <f>IF(techniques[[#This Row],[detection rules]]&gt;=techniques[[#This Row],[expected detection rules]],1,techniques[[#This Row],[detection rules]]/techniques[[#This Row],[expected detection rules]])</f>
        <v/>
      </c>
      <c r="P49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94" s="29">
        <f>IF(ISERROR(SEARCH(techniques[[#This Row],[id]],techniques[[#This Row],[name]])),"ERROR","")</f>
        <v/>
      </c>
      <c r="S49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95" ht="12.75" customHeight="1">
      <c r="A495" s="74" t="inlineStr">
        <is>
          <t>T1566</t>
        </is>
      </c>
      <c r="B495" s="74" t="inlineStr">
        <is>
          <t>T1566.002</t>
        </is>
      </c>
      <c r="C495" s="13" t="inlineStr">
        <is>
          <t>Spearphishing Link (T1566.002)</t>
        </is>
      </c>
      <c r="D495" s="13" t="inlineStr">
        <is>
          <t>initial-access</t>
        </is>
      </c>
      <c r="E495" s="13" t="inlineStr">
        <is>
          <t>Application Log: Application Log Content|Network Traffic: Network Connection Creation|Network Traffic: Network Traffic Content|Network Traffic: Network Traffic Flow|Process: Process Creation</t>
        </is>
      </c>
      <c r="F495" s="74" t="n">
        <v>5</v>
      </c>
      <c r="G495" s="72">
        <f t="array" ref="G495">SUM(IF(ISERROR(FIND(sources[data source],techniques[[#This Row],[data sources]])),0,1)*IF(sources[available]="yes",1,0))</f>
        <v/>
      </c>
      <c r="H495" s="73">
        <f t="array" ref="H495">IF(techniques[[#This Row],[technique]]=techniques[[#This Row],[id]],SUM(IF(techniques[[#This Row],[id]]=techniques[technique],1,0))-1,"")</f>
        <v/>
      </c>
      <c r="I495" s="74">
        <f t="array" ref="I495">IF(SUM(IF($C495=detections[],IF(detections[is active]="yes",1,0),0))&gt;0,SUM(IF($C495=detections[],IF(detections[is active]="yes",1,0),0)),"")</f>
        <v/>
      </c>
      <c r="J495" s="74">
        <f t="array" ref="J49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95" s="74">
        <f>IF(AND(ISNUMBER(techniques[[#This Row],[number of sub techniques]]),techniques[[#This Row],[number of sub techniques]]&gt;1),techniques[number of sub techniques],1)</f>
        <v/>
      </c>
      <c r="L495" s="72" t="n"/>
      <c r="M495" s="74">
        <f t="array" ref="M49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9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95" s="26">
        <f>IF(techniques[[#This Row],[detection rules]]&gt;=techniques[[#This Row],[expected detection rules]],1,techniques[[#This Row],[detection rules]]/techniques[[#This Row],[expected detection rules]])</f>
        <v/>
      </c>
      <c r="P49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95" s="29">
        <f>IF(ISERROR(SEARCH(techniques[[#This Row],[id]],techniques[[#This Row],[name]])),"ERROR","")</f>
        <v/>
      </c>
      <c r="S49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96" ht="12.75" customHeight="1">
      <c r="A496" s="74" t="inlineStr">
        <is>
          <t>T1566</t>
        </is>
      </c>
      <c r="B496" s="74" t="inlineStr">
        <is>
          <t>T1566.003</t>
        </is>
      </c>
      <c r="C496" s="13" t="inlineStr">
        <is>
          <t>Spearphishing via Service (T1566.003)</t>
        </is>
      </c>
      <c r="D496" s="13" t="inlineStr">
        <is>
          <t>initial-access</t>
        </is>
      </c>
      <c r="E496" s="13" t="inlineStr">
        <is>
          <t>Application Log: Application Log Content|File: File Creation|Network Traffic: Network Connection Creation|Network Traffic: Network Traffic Content|Network Traffic: Network Traffic Flow|Process: Process Creation</t>
        </is>
      </c>
      <c r="F496" s="74" t="n">
        <v>6</v>
      </c>
      <c r="G496" s="72">
        <f t="array" ref="G496">SUM(IF(ISERROR(FIND(sources[data source],techniques[[#This Row],[data sources]])),0,1)*IF(sources[available]="yes",1,0))</f>
        <v/>
      </c>
      <c r="H496" s="73">
        <f t="array" ref="H496">IF(techniques[[#This Row],[technique]]=techniques[[#This Row],[id]],SUM(IF(techniques[[#This Row],[id]]=techniques[technique],1,0))-1,"")</f>
        <v/>
      </c>
      <c r="I496" s="74">
        <f t="array" ref="I496">IF(SUM(IF($C496=detections[],IF(detections[is active]="yes",1,0),0))&gt;0,SUM(IF($C496=detections[],IF(detections[is active]="yes",1,0),0)),"")</f>
        <v/>
      </c>
      <c r="J496" s="74">
        <f t="array" ref="J49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96" s="74">
        <f>IF(AND(ISNUMBER(techniques[[#This Row],[number of sub techniques]]),techniques[[#This Row],[number of sub techniques]]&gt;1),techniques[number of sub techniques],1)</f>
        <v/>
      </c>
      <c r="L496" s="72" t="n"/>
      <c r="M496" s="74">
        <f t="array" ref="M49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9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96" s="26">
        <f>IF(techniques[[#This Row],[detection rules]]&gt;=techniques[[#This Row],[expected detection rules]],1,techniques[[#This Row],[detection rules]]/techniques[[#This Row],[expected detection rules]])</f>
        <v/>
      </c>
      <c r="P49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96" s="29">
        <f>IF(ISERROR(SEARCH(techniques[[#This Row],[id]],techniques[[#This Row],[name]])),"ERROR","")</f>
        <v/>
      </c>
      <c r="S49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97" ht="12.75" customHeight="1">
      <c r="A497" s="74" t="inlineStr">
        <is>
          <t>T1566</t>
        </is>
      </c>
      <c r="B497" s="74" t="inlineStr">
        <is>
          <t>T1566.004</t>
        </is>
      </c>
      <c r="C497" s="13" t="inlineStr">
        <is>
          <t>Spearphishing Voice (T1566.004)</t>
        </is>
      </c>
      <c r="D497" s="13" t="inlineStr">
        <is>
          <t>initial-access</t>
        </is>
      </c>
      <c r="E497" s="13" t="inlineStr">
        <is>
          <t>Application Log: Application Log Content</t>
        </is>
      </c>
      <c r="F497" s="74" t="n">
        <v>1</v>
      </c>
      <c r="G497" s="72">
        <f t="array" ref="G497">SUM(IF(ISERROR(FIND(sources[data source],techniques[[#This Row],[data sources]])),0,1)*IF(sources[available]="yes",1,0))</f>
        <v/>
      </c>
      <c r="H497" s="73">
        <f t="array" ref="H497">IF(techniques[[#This Row],[technique]]=techniques[[#This Row],[id]],SUM(IF(techniques[[#This Row],[id]]=techniques[technique],1,0))-1,"")</f>
        <v/>
      </c>
      <c r="I497" s="74">
        <f t="array" ref="I497">IF(SUM(IF($C497=detections[],IF(detections[is active]="yes",1,0),0))&gt;0,SUM(IF($C497=detections[],IF(detections[is active]="yes",1,0),0)),"")</f>
        <v/>
      </c>
      <c r="J497" s="74">
        <f t="array" ref="J49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97" s="74">
        <f>IF(AND(ISNUMBER(techniques[[#This Row],[number of sub techniques]]),techniques[[#This Row],[number of sub techniques]]&gt;1),techniques[number of sub techniques],1)</f>
        <v/>
      </c>
      <c r="L497" s="72" t="n"/>
      <c r="M497" s="74">
        <f t="array" ref="M49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9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97" s="26">
        <f>IF(techniques[[#This Row],[detection rules]]&gt;=techniques[[#This Row],[expected detection rules]],1,techniques[[#This Row],[detection rules]]/techniques[[#This Row],[expected detection rules]])</f>
        <v/>
      </c>
      <c r="P49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97" s="29">
        <f>IF(ISERROR(SEARCH(techniques[[#This Row],[id]],techniques[[#This Row],[name]])),"ERROR","")</f>
        <v/>
      </c>
      <c r="S49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98" ht="12.75" customHeight="1">
      <c r="A498" s="74" t="inlineStr">
        <is>
          <t>T1567</t>
        </is>
      </c>
      <c r="B498" s="74" t="inlineStr">
        <is>
          <t>T1567</t>
        </is>
      </c>
      <c r="C498" s="13" t="inlineStr">
        <is>
          <t>Exfiltration Over Web Service (T1567)</t>
        </is>
      </c>
      <c r="D498" s="13" t="inlineStr">
        <is>
          <t>exfiltration</t>
        </is>
      </c>
      <c r="E498" s="13" t="inlineStr">
        <is>
          <t>Application Log: Application Log Content|Command: Command Execution|File: File Access|File: File Creation|Network Traffic: Network Connection Creation|Network Traffic: Network Traffic Content|Network Traffic: Network Traffic Flow|Process: Process Creation</t>
        </is>
      </c>
      <c r="F498" s="74" t="n">
        <v>8</v>
      </c>
      <c r="G498" s="72">
        <f t="array" ref="G498">SUM(IF(ISERROR(FIND(sources[data source],techniques[[#This Row],[data sources]])),0,1)*IF(sources[available]="yes",1,0))</f>
        <v/>
      </c>
      <c r="H498" s="73">
        <f t="array" ref="H498">IF(techniques[[#This Row],[technique]]=techniques[[#This Row],[id]],SUM(IF(techniques[[#This Row],[id]]=techniques[technique],1,0))-1,"")</f>
        <v/>
      </c>
      <c r="I498" s="74">
        <f t="array" ref="I498">IF(SUM(IF($C498=detections[],IF(detections[is active]="yes",1,0),0))&gt;0,SUM(IF($C498=detections[],IF(detections[is active]="yes",1,0),0)),"")</f>
        <v/>
      </c>
      <c r="J498" s="74">
        <f t="array" ref="J49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98" s="74">
        <f>IF(AND(ISNUMBER(techniques[[#This Row],[number of sub techniques]]),techniques[[#This Row],[number of sub techniques]]&gt;1),techniques[number of sub techniques],1)</f>
        <v/>
      </c>
      <c r="L498" s="72" t="n"/>
      <c r="M498" s="74">
        <f t="array" ref="M49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9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98" s="26">
        <f>IF(techniques[[#This Row],[detection rules]]&gt;=techniques[[#This Row],[expected detection rules]],1,techniques[[#This Row],[detection rules]]/techniques[[#This Row],[expected detection rules]])</f>
        <v/>
      </c>
      <c r="P49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98" s="29">
        <f>IF(ISERROR(SEARCH(techniques[[#This Row],[id]],techniques[[#This Row],[name]])),"ERROR","")</f>
        <v/>
      </c>
      <c r="S49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499" ht="12.75" customHeight="1">
      <c r="A499" s="74" t="inlineStr">
        <is>
          <t>T1567</t>
        </is>
      </c>
      <c r="B499" s="74" t="inlineStr">
        <is>
          <t>T1567.001</t>
        </is>
      </c>
      <c r="C499" s="13" t="inlineStr">
        <is>
          <t>Exfiltration to Code Repository (T1567.001)</t>
        </is>
      </c>
      <c r="D499" s="13" t="inlineStr">
        <is>
          <t>exfiltration</t>
        </is>
      </c>
      <c r="E499" s="13" t="inlineStr">
        <is>
          <t>Command: Command Execution|File: File Access|Network Traffic: Network Connection Creation|Network Traffic: Network Traffic Content|Network Traffic: Network Traffic Flow|Process: Process Creation</t>
        </is>
      </c>
      <c r="F499" s="74" t="n">
        <v>6</v>
      </c>
      <c r="G499" s="72">
        <f t="array" ref="G499">SUM(IF(ISERROR(FIND(sources[data source],techniques[[#This Row],[data sources]])),0,1)*IF(sources[available]="yes",1,0))</f>
        <v/>
      </c>
      <c r="H499" s="73">
        <f t="array" ref="H499">IF(techniques[[#This Row],[technique]]=techniques[[#This Row],[id]],SUM(IF(techniques[[#This Row],[id]]=techniques[technique],1,0))-1,"")</f>
        <v/>
      </c>
      <c r="I499" s="74">
        <f t="array" ref="I499">IF(SUM(IF($C499=detections[],IF(detections[is active]="yes",1,0),0))&gt;0,SUM(IF($C499=detections[],IF(detections[is active]="yes",1,0),0)),"")</f>
        <v/>
      </c>
      <c r="J499" s="74">
        <f t="array" ref="J49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499" s="74">
        <f>IF(AND(ISNUMBER(techniques[[#This Row],[number of sub techniques]]),techniques[[#This Row],[number of sub techniques]]&gt;1),techniques[number of sub techniques],1)</f>
        <v/>
      </c>
      <c r="L499" s="72" t="n"/>
      <c r="M499" s="74">
        <f t="array" ref="M49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49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499" s="26">
        <f>IF(techniques[[#This Row],[detection rules]]&gt;=techniques[[#This Row],[expected detection rules]],1,techniques[[#This Row],[detection rules]]/techniques[[#This Row],[expected detection rules]])</f>
        <v/>
      </c>
      <c r="P49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499" s="29">
        <f>IF(ISERROR(SEARCH(techniques[[#This Row],[id]],techniques[[#This Row],[name]])),"ERROR","")</f>
        <v/>
      </c>
      <c r="S49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00" ht="12.75" customHeight="1">
      <c r="A500" s="74" t="inlineStr">
        <is>
          <t>T1567</t>
        </is>
      </c>
      <c r="B500" s="74" t="inlineStr">
        <is>
          <t>T1567.002</t>
        </is>
      </c>
      <c r="C500" s="13" t="inlineStr">
        <is>
          <t>Exfiltration to Cloud Storage (T1567.002)</t>
        </is>
      </c>
      <c r="D500" s="13" t="inlineStr">
        <is>
          <t>exfiltration</t>
        </is>
      </c>
      <c r="E500" s="13" t="inlineStr">
        <is>
          <t>Command: Command Execution|File: File Access|Network Traffic: Network Connection Creation|Network Traffic: Network Traffic Content|Network Traffic: Network Traffic Flow|Process: Process Creation</t>
        </is>
      </c>
      <c r="F500" s="74" t="n">
        <v>6</v>
      </c>
      <c r="G500" s="72">
        <f t="array" ref="G500">SUM(IF(ISERROR(FIND(sources[data source],techniques[[#This Row],[data sources]])),0,1)*IF(sources[available]="yes",1,0))</f>
        <v/>
      </c>
      <c r="H500" s="73">
        <f t="array" ref="H500">IF(techniques[[#This Row],[technique]]=techniques[[#This Row],[id]],SUM(IF(techniques[[#This Row],[id]]=techniques[technique],1,0))-1,"")</f>
        <v/>
      </c>
      <c r="I500" s="74">
        <f t="array" ref="I500">IF(SUM(IF($C500=detections[],IF(detections[is active]="yes",1,0),0))&gt;0,SUM(IF($C500=detections[],IF(detections[is active]="yes",1,0),0)),"")</f>
        <v/>
      </c>
      <c r="J500" s="74">
        <f t="array" ref="J50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00" s="74">
        <f>IF(AND(ISNUMBER(techniques[[#This Row],[number of sub techniques]]),techniques[[#This Row],[number of sub techniques]]&gt;1),techniques[number of sub techniques],1)</f>
        <v/>
      </c>
      <c r="L500" s="72" t="n"/>
      <c r="M500" s="74">
        <f t="array" ref="M50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0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00" s="26">
        <f>IF(techniques[[#This Row],[detection rules]]&gt;=techniques[[#This Row],[expected detection rules]],1,techniques[[#This Row],[detection rules]]/techniques[[#This Row],[expected detection rules]])</f>
        <v/>
      </c>
      <c r="P50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00" s="29">
        <f>IF(ISERROR(SEARCH(techniques[[#This Row],[id]],techniques[[#This Row],[name]])),"ERROR","")</f>
        <v/>
      </c>
      <c r="S50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01" ht="12.75" customHeight="1">
      <c r="A501" s="74" t="inlineStr">
        <is>
          <t>T1567</t>
        </is>
      </c>
      <c r="B501" s="74" t="inlineStr">
        <is>
          <t>T1567.003</t>
        </is>
      </c>
      <c r="C501" s="13" t="inlineStr">
        <is>
          <t>Exfiltration to Text Storage Sites (T1567.003)</t>
        </is>
      </c>
      <c r="D501" s="13" t="inlineStr">
        <is>
          <t>exfiltration</t>
        </is>
      </c>
      <c r="E501" s="13" t="inlineStr">
        <is>
          <t>Command: Command Execution|File: File Access|Network Traffic: Network Connection Creation|Network Traffic: Network Traffic Content|Network Traffic: Network Traffic Flow|Process: Process Creation</t>
        </is>
      </c>
      <c r="F501" s="74" t="n">
        <v>6</v>
      </c>
      <c r="G501" s="72">
        <f t="array" ref="G501">SUM(IF(ISERROR(FIND(sources[data source],techniques[[#This Row],[data sources]])),0,1)*IF(sources[available]="yes",1,0))</f>
        <v/>
      </c>
      <c r="H501" s="73">
        <f t="array" ref="H501">IF(techniques[[#This Row],[technique]]=techniques[[#This Row],[id]],SUM(IF(techniques[[#This Row],[id]]=techniques[technique],1,0))-1,"")</f>
        <v/>
      </c>
      <c r="I501" s="74">
        <f t="array" ref="I501">IF(SUM(IF($C501=detections[],IF(detections[is active]="yes",1,0),0))&gt;0,SUM(IF($C501=detections[],IF(detections[is active]="yes",1,0),0)),"")</f>
        <v/>
      </c>
      <c r="J501" s="74">
        <f t="array" ref="J50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01" s="74">
        <f>IF(AND(ISNUMBER(techniques[[#This Row],[number of sub techniques]]),techniques[[#This Row],[number of sub techniques]]&gt;1),techniques[number of sub techniques],1)</f>
        <v/>
      </c>
      <c r="L501" s="72" t="n"/>
      <c r="M501" s="74">
        <f t="array" ref="M50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0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01" s="26">
        <f>IF(techniques[[#This Row],[detection rules]]&gt;=techniques[[#This Row],[expected detection rules]],1,techniques[[#This Row],[detection rules]]/techniques[[#This Row],[expected detection rules]])</f>
        <v/>
      </c>
      <c r="P50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01" s="29">
        <f>IF(ISERROR(SEARCH(techniques[[#This Row],[id]],techniques[[#This Row],[name]])),"ERROR","")</f>
        <v/>
      </c>
      <c r="S50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02" ht="12.75" customHeight="1">
      <c r="A502" s="74" t="inlineStr">
        <is>
          <t>T1567</t>
        </is>
      </c>
      <c r="B502" s="74" t="inlineStr">
        <is>
          <t>T1567.004</t>
        </is>
      </c>
      <c r="C502" s="13" t="inlineStr">
        <is>
          <t>Exfiltration Over Webhook (T1567.004)</t>
        </is>
      </c>
      <c r="D502" s="13" t="inlineStr">
        <is>
          <t>exfiltration</t>
        </is>
      </c>
      <c r="E502" s="13" t="inlineStr">
        <is>
          <t>Application Log: Application Log Content|Command: Command Execution|File: File Access|Network Traffic: Network Connection Creation|Network Traffic: Network Traffic Content|Network Traffic: Network Traffic Flow|Process: Process Creation</t>
        </is>
      </c>
      <c r="F502" s="74" t="n">
        <v>7</v>
      </c>
      <c r="G502" s="72">
        <f t="array" ref="G502">SUM(IF(ISERROR(FIND(sources[data source],techniques[[#This Row],[data sources]])),0,1)*IF(sources[available]="yes",1,0))</f>
        <v/>
      </c>
      <c r="H502" s="73">
        <f t="array" ref="H502">IF(techniques[[#This Row],[technique]]=techniques[[#This Row],[id]],SUM(IF(techniques[[#This Row],[id]]=techniques[technique],1,0))-1,"")</f>
        <v/>
      </c>
      <c r="I502" s="74">
        <f t="array" ref="I502">IF(SUM(IF($C502=detections[],IF(detections[is active]="yes",1,0),0))&gt;0,SUM(IF($C502=detections[],IF(detections[is active]="yes",1,0),0)),"")</f>
        <v/>
      </c>
      <c r="J502" s="74">
        <f t="array" ref="J50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02" s="74">
        <f>IF(AND(ISNUMBER(techniques[[#This Row],[number of sub techniques]]),techniques[[#This Row],[number of sub techniques]]&gt;1),techniques[number of sub techniques],1)</f>
        <v/>
      </c>
      <c r="L502" s="72" t="n"/>
      <c r="M502" s="74">
        <f t="array" ref="M50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0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02" s="26">
        <f>IF(techniques[[#This Row],[detection rules]]&gt;=techniques[[#This Row],[expected detection rules]],1,techniques[[#This Row],[detection rules]]/techniques[[#This Row],[expected detection rules]])</f>
        <v/>
      </c>
      <c r="P50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02" s="29">
        <f>IF(ISERROR(SEARCH(techniques[[#This Row],[id]],techniques[[#This Row],[name]])),"ERROR","")</f>
        <v/>
      </c>
      <c r="S50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03" ht="12.75" customHeight="1">
      <c r="A503" s="74" t="inlineStr">
        <is>
          <t>T1568</t>
        </is>
      </c>
      <c r="B503" s="74" t="inlineStr">
        <is>
          <t>T1568</t>
        </is>
      </c>
      <c r="C503" s="13" t="inlineStr">
        <is>
          <t>Dynamic Resolution (T1568)</t>
        </is>
      </c>
      <c r="D503" s="13" t="inlineStr">
        <is>
          <t>command-and-control</t>
        </is>
      </c>
      <c r="E503" s="13" t="inlineStr">
        <is>
          <t>Network Traffic: Network Connection Creation|Network Traffic: Network Traffic Content|Network Traffic: Network Traffic Flow|Process: Process Creation</t>
        </is>
      </c>
      <c r="F503" s="74" t="n">
        <v>4</v>
      </c>
      <c r="G503" s="72">
        <f t="array" ref="G503">SUM(IF(ISERROR(FIND(sources[data source],techniques[[#This Row],[data sources]])),0,1)*IF(sources[available]="yes",1,0))</f>
        <v/>
      </c>
      <c r="H503" s="73">
        <f t="array" ref="H503">IF(techniques[[#This Row],[technique]]=techniques[[#This Row],[id]],SUM(IF(techniques[[#This Row],[id]]=techniques[technique],1,0))-1,"")</f>
        <v/>
      </c>
      <c r="I503" s="74">
        <f t="array" ref="I503">IF(SUM(IF($C503=detections[],IF(detections[is active]="yes",1,0),0))&gt;0,SUM(IF($C503=detections[],IF(detections[is active]="yes",1,0),0)),"")</f>
        <v/>
      </c>
      <c r="J503" s="74">
        <f t="array" ref="J50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03" s="74">
        <f>IF(AND(ISNUMBER(techniques[[#This Row],[number of sub techniques]]),techniques[[#This Row],[number of sub techniques]]&gt;1),techniques[number of sub techniques],1)</f>
        <v/>
      </c>
      <c r="L503" s="72" t="n"/>
      <c r="M503" s="74">
        <f t="array" ref="M50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0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03" s="26">
        <f>IF(techniques[[#This Row],[detection rules]]&gt;=techniques[[#This Row],[expected detection rules]],1,techniques[[#This Row],[detection rules]]/techniques[[#This Row],[expected detection rules]])</f>
        <v/>
      </c>
      <c r="P50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03" s="29">
        <f>IF(ISERROR(SEARCH(techniques[[#This Row],[id]],techniques[[#This Row],[name]])),"ERROR","")</f>
        <v/>
      </c>
      <c r="S50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04" ht="12.75" customHeight="1">
      <c r="A504" s="74" t="inlineStr">
        <is>
          <t>T1568</t>
        </is>
      </c>
      <c r="B504" s="74" t="inlineStr">
        <is>
          <t>T1568.001</t>
        </is>
      </c>
      <c r="C504" s="13" t="inlineStr">
        <is>
          <t>Fast Flux DNS (T1568.001)</t>
        </is>
      </c>
      <c r="D504" s="13" t="inlineStr">
        <is>
          <t>command-and-control</t>
        </is>
      </c>
      <c r="E504" s="13" t="inlineStr">
        <is>
          <t>Network Traffic: Network Connection Creation|Network Traffic: Network Traffic Flow|Process: Process Creation</t>
        </is>
      </c>
      <c r="F504" s="74" t="n">
        <v>3</v>
      </c>
      <c r="G504" s="72">
        <f t="array" ref="G504">SUM(IF(ISERROR(FIND(sources[data source],techniques[[#This Row],[data sources]])),0,1)*IF(sources[available]="yes",1,0))</f>
        <v/>
      </c>
      <c r="H504" s="73">
        <f t="array" ref="H504">IF(techniques[[#This Row],[technique]]=techniques[[#This Row],[id]],SUM(IF(techniques[[#This Row],[id]]=techniques[technique],1,0))-1,"")</f>
        <v/>
      </c>
      <c r="I504" s="74">
        <f t="array" ref="I504">IF(SUM(IF($C504=detections[],IF(detections[is active]="yes",1,0),0))&gt;0,SUM(IF($C504=detections[],IF(detections[is active]="yes",1,0),0)),"")</f>
        <v/>
      </c>
      <c r="J504" s="74">
        <f t="array" ref="J50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04" s="74">
        <f>IF(AND(ISNUMBER(techniques[[#This Row],[number of sub techniques]]),techniques[[#This Row],[number of sub techniques]]&gt;1),techniques[number of sub techniques],1)</f>
        <v/>
      </c>
      <c r="L504" s="72" t="n"/>
      <c r="M504" s="74">
        <f t="array" ref="M50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0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04" s="26">
        <f>IF(techniques[[#This Row],[detection rules]]&gt;=techniques[[#This Row],[expected detection rules]],1,techniques[[#This Row],[detection rules]]/techniques[[#This Row],[expected detection rules]])</f>
        <v/>
      </c>
      <c r="P50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04" s="29">
        <f>IF(ISERROR(SEARCH(techniques[[#This Row],[id]],techniques[[#This Row],[name]])),"ERROR","")</f>
        <v/>
      </c>
      <c r="S50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05" ht="12.75" customHeight="1">
      <c r="A505" s="74" t="inlineStr">
        <is>
          <t>T1568</t>
        </is>
      </c>
      <c r="B505" s="74" t="inlineStr">
        <is>
          <t>T1568.002</t>
        </is>
      </c>
      <c r="C505" s="13" t="inlineStr">
        <is>
          <t>Domain Generation Algorithms (T1568.002)</t>
        </is>
      </c>
      <c r="D505" s="13" t="inlineStr">
        <is>
          <t>command-and-control</t>
        </is>
      </c>
      <c r="E505" s="13" t="inlineStr">
        <is>
          <t>Network Traffic: Network Connection Creation|Network Traffic: Network Traffic Content|Network Traffic: Network Traffic Flow|Process: Process Creation</t>
        </is>
      </c>
      <c r="F505" s="74" t="n">
        <v>4</v>
      </c>
      <c r="G505" s="72">
        <f t="array" ref="G505">SUM(IF(ISERROR(FIND(sources[data source],techniques[[#This Row],[data sources]])),0,1)*IF(sources[available]="yes",1,0))</f>
        <v/>
      </c>
      <c r="H505" s="73">
        <f t="array" ref="H505">IF(techniques[[#This Row],[technique]]=techniques[[#This Row],[id]],SUM(IF(techniques[[#This Row],[id]]=techniques[technique],1,0))-1,"")</f>
        <v/>
      </c>
      <c r="I505" s="74">
        <f t="array" ref="I505">IF(SUM(IF($C505=detections[],IF(detections[is active]="yes",1,0),0))&gt;0,SUM(IF($C505=detections[],IF(detections[is active]="yes",1,0),0)),"")</f>
        <v/>
      </c>
      <c r="J505" s="74">
        <f t="array" ref="J50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05" s="74">
        <f>IF(AND(ISNUMBER(techniques[[#This Row],[number of sub techniques]]),techniques[[#This Row],[number of sub techniques]]&gt;1),techniques[number of sub techniques],1)</f>
        <v/>
      </c>
      <c r="L505" s="72" t="n"/>
      <c r="M505" s="74">
        <f t="array" ref="M50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0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05" s="26">
        <f>IF(techniques[[#This Row],[detection rules]]&gt;=techniques[[#This Row],[expected detection rules]],1,techniques[[#This Row],[detection rules]]/techniques[[#This Row],[expected detection rules]])</f>
        <v/>
      </c>
      <c r="P50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05" s="29">
        <f>IF(ISERROR(SEARCH(techniques[[#This Row],[id]],techniques[[#This Row],[name]])),"ERROR","")</f>
        <v/>
      </c>
      <c r="S50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06" ht="12.75" customHeight="1">
      <c r="A506" s="74" t="inlineStr">
        <is>
          <t>T1568</t>
        </is>
      </c>
      <c r="B506" s="74" t="inlineStr">
        <is>
          <t>T1568.003</t>
        </is>
      </c>
      <c r="C506" s="13" t="inlineStr">
        <is>
          <t>DNS Calculation (T1568.003)</t>
        </is>
      </c>
      <c r="D506" s="13" t="inlineStr">
        <is>
          <t>command-and-control</t>
        </is>
      </c>
      <c r="E506" s="13" t="inlineStr">
        <is>
          <t>Network Traffic: Network Connection Creation|Network Traffic: Network Traffic Content|Network Traffic: Network Traffic Flow|Process: Process Creation</t>
        </is>
      </c>
      <c r="F506" s="74" t="n">
        <v>4</v>
      </c>
      <c r="G506" s="72">
        <f t="array" ref="G506">SUM(IF(ISERROR(FIND(sources[data source],techniques[[#This Row],[data sources]])),0,1)*IF(sources[available]="yes",1,0))</f>
        <v/>
      </c>
      <c r="H506" s="73">
        <f t="array" ref="H506">IF(techniques[[#This Row],[technique]]=techniques[[#This Row],[id]],SUM(IF(techniques[[#This Row],[id]]=techniques[technique],1,0))-1,"")</f>
        <v/>
      </c>
      <c r="I506" s="74">
        <f t="array" ref="I506">IF(SUM(IF($C506=detections[],IF(detections[is active]="yes",1,0),0))&gt;0,SUM(IF($C506=detections[],IF(detections[is active]="yes",1,0),0)),"")</f>
        <v/>
      </c>
      <c r="J506" s="74">
        <f t="array" ref="J50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06" s="74">
        <f>IF(AND(ISNUMBER(techniques[[#This Row],[number of sub techniques]]),techniques[[#This Row],[number of sub techniques]]&gt;1),techniques[number of sub techniques],1)</f>
        <v/>
      </c>
      <c r="L506" s="72" t="n"/>
      <c r="M506" s="74">
        <f t="array" ref="M50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0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06" s="26">
        <f>IF(techniques[[#This Row],[detection rules]]&gt;=techniques[[#This Row],[expected detection rules]],1,techniques[[#This Row],[detection rules]]/techniques[[#This Row],[expected detection rules]])</f>
        <v/>
      </c>
      <c r="P50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06" s="29">
        <f>IF(ISERROR(SEARCH(techniques[[#This Row],[id]],techniques[[#This Row],[name]])),"ERROR","")</f>
        <v/>
      </c>
      <c r="S50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07" ht="12.75" customHeight="1">
      <c r="A507" s="74" t="inlineStr">
        <is>
          <t>T1569</t>
        </is>
      </c>
      <c r="B507" s="74" t="inlineStr">
        <is>
          <t>T1569</t>
        </is>
      </c>
      <c r="C507" s="13" t="inlineStr">
        <is>
          <t>System Services (T1569)</t>
        </is>
      </c>
      <c r="D507" s="13" t="inlineStr">
        <is>
          <t>execution</t>
        </is>
      </c>
      <c r="E507" s="13" t="inlineStr">
        <is>
          <t>File: File Modification|Process: Process Creation|Service: Service Creation|Windows Registry: Windows Registry Key Modification</t>
        </is>
      </c>
      <c r="F507" s="74" t="n">
        <v>4</v>
      </c>
      <c r="G507" s="72">
        <f t="array" ref="G507">SUM(IF(ISERROR(FIND(sources[data source],techniques[[#This Row],[data sources]])),0,1)*IF(sources[available]="yes",1,0))</f>
        <v/>
      </c>
      <c r="H507" s="73">
        <f t="array" ref="H507">IF(techniques[[#This Row],[technique]]=techniques[[#This Row],[id]],SUM(IF(techniques[[#This Row],[id]]=techniques[technique],1,0))-1,"")</f>
        <v/>
      </c>
      <c r="I507" s="74">
        <f t="array" ref="I507">IF(SUM(IF($C507=detections[],IF(detections[is active]="yes",1,0),0))&gt;0,SUM(IF($C507=detections[],IF(detections[is active]="yes",1,0),0)),"")</f>
        <v/>
      </c>
      <c r="J507" s="74">
        <f t="array" ref="J50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07" s="74">
        <f>IF(AND(ISNUMBER(techniques[[#This Row],[number of sub techniques]]),techniques[[#This Row],[number of sub techniques]]&gt;1),techniques[number of sub techniques],1)</f>
        <v/>
      </c>
      <c r="L507" s="72" t="n"/>
      <c r="M507" s="74">
        <f t="array" ref="M50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0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07" s="26">
        <f>IF(techniques[[#This Row],[detection rules]]&gt;=techniques[[#This Row],[expected detection rules]],1,techniques[[#This Row],[detection rules]]/techniques[[#This Row],[expected detection rules]])</f>
        <v/>
      </c>
      <c r="P50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07" s="29">
        <f>IF(ISERROR(SEARCH(techniques[[#This Row],[id]],techniques[[#This Row],[name]])),"ERROR","")</f>
        <v/>
      </c>
      <c r="S50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08" ht="12.75" customHeight="1">
      <c r="A508" s="74" t="inlineStr">
        <is>
          <t>T1569</t>
        </is>
      </c>
      <c r="B508" s="74" t="inlineStr">
        <is>
          <t>T1569.001</t>
        </is>
      </c>
      <c r="C508" s="13" t="inlineStr">
        <is>
          <t>Launchctl (T1569.001)</t>
        </is>
      </c>
      <c r="D508" s="13" t="inlineStr">
        <is>
          <t>execution</t>
        </is>
      </c>
      <c r="E508" s="13" t="inlineStr">
        <is>
          <t>Command: Command Execution|File: File Modification|Process: Process Creation|Service: Service Creation</t>
        </is>
      </c>
      <c r="F508" s="74" t="n">
        <v>4</v>
      </c>
      <c r="G508" s="72">
        <f t="array" ref="G508">SUM(IF(ISERROR(FIND(sources[data source],techniques[[#This Row],[data sources]])),0,1)*IF(sources[available]="yes",1,0))</f>
        <v/>
      </c>
      <c r="H508" s="73">
        <f t="array" ref="H508">IF(techniques[[#This Row],[technique]]=techniques[[#This Row],[id]],SUM(IF(techniques[[#This Row],[id]]=techniques[technique],1,0))-1,"")</f>
        <v/>
      </c>
      <c r="I508" s="74">
        <f t="array" ref="I508">IF(SUM(IF($C508=detections[],IF(detections[is active]="yes",1,0),0))&gt;0,SUM(IF($C508=detections[],IF(detections[is active]="yes",1,0),0)),"")</f>
        <v/>
      </c>
      <c r="J508" s="74">
        <f t="array" ref="J50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08" s="74">
        <f>IF(AND(ISNUMBER(techniques[[#This Row],[number of sub techniques]]),techniques[[#This Row],[number of sub techniques]]&gt;1),techniques[number of sub techniques],1)</f>
        <v/>
      </c>
      <c r="L508" s="72" t="n"/>
      <c r="M508" s="74">
        <f t="array" ref="M50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0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08" s="26">
        <f>IF(techniques[[#This Row],[detection rules]]&gt;=techniques[[#This Row],[expected detection rules]],1,techniques[[#This Row],[detection rules]]/techniques[[#This Row],[expected detection rules]])</f>
        <v/>
      </c>
      <c r="P50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08" s="29">
        <f>IF(ISERROR(SEARCH(techniques[[#This Row],[id]],techniques[[#This Row],[name]])),"ERROR","")</f>
        <v/>
      </c>
      <c r="S50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09" ht="12.75" customHeight="1">
      <c r="A509" s="74" t="inlineStr">
        <is>
          <t>T1569</t>
        </is>
      </c>
      <c r="B509" s="74" t="inlineStr">
        <is>
          <t>T1569.002</t>
        </is>
      </c>
      <c r="C509" s="13" t="inlineStr">
        <is>
          <t>Service Execution (T1569.002)</t>
        </is>
      </c>
      <c r="D509" s="13" t="inlineStr">
        <is>
          <t>execution</t>
        </is>
      </c>
      <c r="E509" s="13" t="inlineStr">
        <is>
          <t>Network Traffic: Network Connection Creation|Process: Process Creation|Service: Service Creation|Windows Registry: Windows Registry Key Modification</t>
        </is>
      </c>
      <c r="F509" s="74" t="n">
        <v>4</v>
      </c>
      <c r="G509" s="72">
        <f t="array" ref="G509">SUM(IF(ISERROR(FIND(sources[data source],techniques[[#This Row],[data sources]])),0,1)*IF(sources[available]="yes",1,0))</f>
        <v/>
      </c>
      <c r="H509" s="73">
        <f t="array" ref="H509">IF(techniques[[#This Row],[technique]]=techniques[[#This Row],[id]],SUM(IF(techniques[[#This Row],[id]]=techniques[technique],1,0))-1,"")</f>
        <v/>
      </c>
      <c r="I509" s="74">
        <f t="array" ref="I509">IF(SUM(IF($C509=detections[],IF(detections[is active]="yes",1,0),0))&gt;0,SUM(IF($C509=detections[],IF(detections[is active]="yes",1,0),0)),"")</f>
        <v/>
      </c>
      <c r="J509" s="74">
        <f t="array" ref="J50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09" s="74">
        <f>IF(AND(ISNUMBER(techniques[[#This Row],[number of sub techniques]]),techniques[[#This Row],[number of sub techniques]]&gt;1),techniques[number of sub techniques],1)</f>
        <v/>
      </c>
      <c r="L509" s="72" t="n"/>
      <c r="M509" s="74">
        <f t="array" ref="M50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0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09" s="26">
        <f>IF(techniques[[#This Row],[detection rules]]&gt;=techniques[[#This Row],[expected detection rules]],1,techniques[[#This Row],[detection rules]]/techniques[[#This Row],[expected detection rules]])</f>
        <v/>
      </c>
      <c r="P50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09" s="29">
        <f>IF(ISERROR(SEARCH(techniques[[#This Row],[id]],techniques[[#This Row],[name]])),"ERROR","")</f>
        <v/>
      </c>
      <c r="S50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10" ht="12.75" customHeight="1">
      <c r="A510" s="74" t="inlineStr">
        <is>
          <t>T1569</t>
        </is>
      </c>
      <c r="B510" s="74" t="inlineStr">
        <is>
          <t>T1569.003</t>
        </is>
      </c>
      <c r="C510" s="13" t="inlineStr">
        <is>
          <t>Systemctl (T1569.003)</t>
        </is>
      </c>
      <c r="D510" s="13" t="inlineStr">
        <is>
          <t>execution</t>
        </is>
      </c>
      <c r="E510" s="13" t="inlineStr">
        <is>
          <t>Command: Command Execution|File: File Modification|Process: Process Creation|Service: Service Creation</t>
        </is>
      </c>
      <c r="F510" s="74" t="n">
        <v>4</v>
      </c>
      <c r="G510" s="72">
        <f t="array" ref="G510">SUM(IF(ISERROR(FIND(sources[data source],techniques[[#This Row],[data sources]])),0,1)*IF(sources[available]="yes",1,0))</f>
        <v/>
      </c>
      <c r="H510" s="73">
        <f t="array" ref="H510">IF(techniques[[#This Row],[technique]]=techniques[[#This Row],[id]],SUM(IF(techniques[[#This Row],[id]]=techniques[technique],1,0))-1,"")</f>
        <v/>
      </c>
      <c r="I510" s="74">
        <f t="array" ref="I510">IF(SUM(IF($C510=detections[],IF(detections[is active]="yes",1,0),0))&gt;0,SUM(IF($C510=detections[],IF(detections[is active]="yes",1,0),0)),"")</f>
        <v/>
      </c>
      <c r="J510" s="74">
        <f t="array" ref="J51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10" s="74">
        <f>IF(AND(ISNUMBER(techniques[[#This Row],[number of sub techniques]]),techniques[[#This Row],[number of sub techniques]]&gt;1),techniques[number of sub techniques],1)</f>
        <v/>
      </c>
      <c r="L510" s="72" t="n"/>
      <c r="M510" s="74">
        <f t="array" ref="M51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1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10" s="26">
        <f>IF(techniques[[#This Row],[detection rules]]&gt;=techniques[[#This Row],[expected detection rules]],1,techniques[[#This Row],[detection rules]]/techniques[[#This Row],[expected detection rules]])</f>
        <v/>
      </c>
      <c r="P51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10" s="29">
        <f>IF(ISERROR(SEARCH(techniques[[#This Row],[id]],techniques[[#This Row],[name]])),"ERROR","")</f>
        <v/>
      </c>
      <c r="S51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11" ht="12.75" customHeight="1">
      <c r="A511" s="74" t="inlineStr">
        <is>
          <t>T1570</t>
        </is>
      </c>
      <c r="B511" s="74" t="inlineStr">
        <is>
          <t>T1570</t>
        </is>
      </c>
      <c r="C511" s="13" t="inlineStr">
        <is>
          <t>Lateral Tool Transfer (T1570)</t>
        </is>
      </c>
      <c r="D511" s="13" t="inlineStr">
        <is>
          <t>lateral-movement</t>
        </is>
      </c>
      <c r="E511" s="13" t="inlineStr">
        <is>
          <t>Command: Command Execution|File: File Creation|File: File Metadata|Network Share: Network Share Access|Process: Process Creation</t>
        </is>
      </c>
      <c r="F511" s="74" t="n">
        <v>5</v>
      </c>
      <c r="G511" s="72">
        <f t="array" ref="G511">SUM(IF(ISERROR(FIND(sources[data source],techniques[[#This Row],[data sources]])),0,1)*IF(sources[available]="yes",1,0))</f>
        <v/>
      </c>
      <c r="H511" s="73">
        <f t="array" ref="H511">IF(techniques[[#This Row],[technique]]=techniques[[#This Row],[id]],SUM(IF(techniques[[#This Row],[id]]=techniques[technique],1,0))-1,"")</f>
        <v/>
      </c>
      <c r="I511" s="74">
        <f t="array" ref="I511">IF(SUM(IF($C511=detections[],IF(detections[is active]="yes",1,0),0))&gt;0,SUM(IF($C511=detections[],IF(detections[is active]="yes",1,0),0)),"")</f>
        <v/>
      </c>
      <c r="J511" s="74">
        <f t="array" ref="J51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11" s="74">
        <f>IF(AND(ISNUMBER(techniques[[#This Row],[number of sub techniques]]),techniques[[#This Row],[number of sub techniques]]&gt;1),techniques[number of sub techniques],1)</f>
        <v/>
      </c>
      <c r="L511" s="72" t="n"/>
      <c r="M511" s="74">
        <f t="array" ref="M51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1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11" s="26">
        <f>IF(techniques[[#This Row],[detection rules]]&gt;=techniques[[#This Row],[expected detection rules]],1,techniques[[#This Row],[detection rules]]/techniques[[#This Row],[expected detection rules]])</f>
        <v/>
      </c>
      <c r="P51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11" s="29">
        <f>IF(ISERROR(SEARCH(techniques[[#This Row],[id]],techniques[[#This Row],[name]])),"ERROR","")</f>
        <v/>
      </c>
      <c r="S51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12" ht="12.75" customHeight="1">
      <c r="A512" s="74" t="inlineStr">
        <is>
          <t>T1571</t>
        </is>
      </c>
      <c r="B512" s="74" t="inlineStr">
        <is>
          <t>T1571</t>
        </is>
      </c>
      <c r="C512" s="13" t="inlineStr">
        <is>
          <t>Non-Standard Port (T1571)</t>
        </is>
      </c>
      <c r="D512" s="13" t="inlineStr">
        <is>
          <t>command-and-control</t>
        </is>
      </c>
      <c r="E512" s="13" t="inlineStr">
        <is>
          <t>Application Log: Application Log Content|Network Traffic: Network Connection Creation|Network Traffic: Network Traffic Content|Network Traffic: Network Traffic Flow|Process: Process Creation</t>
        </is>
      </c>
      <c r="F512" s="74" t="n">
        <v>5</v>
      </c>
      <c r="G512" s="72">
        <f t="array" ref="G512">SUM(IF(ISERROR(FIND(sources[data source],techniques[[#This Row],[data sources]])),0,1)*IF(sources[available]="yes",1,0))</f>
        <v/>
      </c>
      <c r="H512" s="73">
        <f t="array" ref="H512">IF(techniques[[#This Row],[technique]]=techniques[[#This Row],[id]],SUM(IF(techniques[[#This Row],[id]]=techniques[technique],1,0))-1,"")</f>
        <v/>
      </c>
      <c r="I512" s="74">
        <f t="array" ref="I512">IF(SUM(IF($C512=detections[],IF(detections[is active]="yes",1,0),0))&gt;0,SUM(IF($C512=detections[],IF(detections[is active]="yes",1,0),0)),"")</f>
        <v/>
      </c>
      <c r="J512" s="74">
        <f t="array" ref="J51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12" s="74">
        <f>IF(AND(ISNUMBER(techniques[[#This Row],[number of sub techniques]]),techniques[[#This Row],[number of sub techniques]]&gt;1),techniques[number of sub techniques],1)</f>
        <v/>
      </c>
      <c r="L512" s="72" t="n"/>
      <c r="M512" s="74">
        <f t="array" ref="M51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1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12" s="26">
        <f>IF(techniques[[#This Row],[detection rules]]&gt;=techniques[[#This Row],[expected detection rules]],1,techniques[[#This Row],[detection rules]]/techniques[[#This Row],[expected detection rules]])</f>
        <v/>
      </c>
      <c r="P51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12" s="29">
        <f>IF(ISERROR(SEARCH(techniques[[#This Row],[id]],techniques[[#This Row],[name]])),"ERROR","")</f>
        <v/>
      </c>
      <c r="S51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13" ht="12.75" customHeight="1">
      <c r="A513" s="74" t="inlineStr">
        <is>
          <t>T1572</t>
        </is>
      </c>
      <c r="B513" s="74" t="inlineStr">
        <is>
          <t>T1572</t>
        </is>
      </c>
      <c r="C513" s="13" t="inlineStr">
        <is>
          <t>Protocol Tunneling (T1572)</t>
        </is>
      </c>
      <c r="D513" s="13" t="inlineStr">
        <is>
          <t>command-and-control</t>
        </is>
      </c>
      <c r="E513" s="13" t="inlineStr">
        <is>
          <t>Application Log: Application Log Content|Network Traffic: Network Connection Creation|Network Traffic: Network Traffic Content|Network Traffic: Network Traffic Flow|Process: Process Creation</t>
        </is>
      </c>
      <c r="F513" s="74" t="n">
        <v>5</v>
      </c>
      <c r="G513" s="72">
        <f t="array" ref="G513">SUM(IF(ISERROR(FIND(sources[data source],techniques[[#This Row],[data sources]])),0,1)*IF(sources[available]="yes",1,0))</f>
        <v/>
      </c>
      <c r="H513" s="73">
        <f t="array" ref="H513">IF(techniques[[#This Row],[technique]]=techniques[[#This Row],[id]],SUM(IF(techniques[[#This Row],[id]]=techniques[technique],1,0))-1,"")</f>
        <v/>
      </c>
      <c r="I513" s="74">
        <f t="array" ref="I513">IF(SUM(IF($C513=detections[],IF(detections[is active]="yes",1,0),0))&gt;0,SUM(IF($C513=detections[],IF(detections[is active]="yes",1,0),0)),"")</f>
        <v/>
      </c>
      <c r="J513" s="74">
        <f t="array" ref="J51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13" s="74">
        <f>IF(AND(ISNUMBER(techniques[[#This Row],[number of sub techniques]]),techniques[[#This Row],[number of sub techniques]]&gt;1),techniques[number of sub techniques],1)</f>
        <v/>
      </c>
      <c r="L513" s="72" t="n"/>
      <c r="M513" s="74">
        <f t="array" ref="M51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1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13" s="26">
        <f>IF(techniques[[#This Row],[detection rules]]&gt;=techniques[[#This Row],[expected detection rules]],1,techniques[[#This Row],[detection rules]]/techniques[[#This Row],[expected detection rules]])</f>
        <v/>
      </c>
      <c r="P51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13" s="29">
        <f>IF(ISERROR(SEARCH(techniques[[#This Row],[id]],techniques[[#This Row],[name]])),"ERROR","")</f>
        <v/>
      </c>
      <c r="S51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14" ht="12.75" customHeight="1">
      <c r="A514" s="74" t="inlineStr">
        <is>
          <t>T1573</t>
        </is>
      </c>
      <c r="B514" s="74" t="inlineStr">
        <is>
          <t>T1573</t>
        </is>
      </c>
      <c r="C514" s="13" t="inlineStr">
        <is>
          <t>Encrypted Channel (T1573)</t>
        </is>
      </c>
      <c r="D514" s="13" t="inlineStr">
        <is>
          <t>command-and-control</t>
        </is>
      </c>
      <c r="E514" s="13" t="inlineStr">
        <is>
          <t>Application Log: Application Log Content|Module: Module Load|Network Traffic: Network Connection Creation|Network Traffic: Network Traffic Content|Network Traffic: Network Traffic Flow|Process: Process Creation</t>
        </is>
      </c>
      <c r="F514" s="74" t="n">
        <v>6</v>
      </c>
      <c r="G514" s="72">
        <f t="array" ref="G514">SUM(IF(ISERROR(FIND(sources[data source],techniques[[#This Row],[data sources]])),0,1)*IF(sources[available]="yes",1,0))</f>
        <v/>
      </c>
      <c r="H514" s="73">
        <f t="array" ref="H514">IF(techniques[[#This Row],[technique]]=techniques[[#This Row],[id]],SUM(IF(techniques[[#This Row],[id]]=techniques[technique],1,0))-1,"")</f>
        <v/>
      </c>
      <c r="I514" s="74">
        <f t="array" ref="I514">IF(SUM(IF($C514=detections[],IF(detections[is active]="yes",1,0),0))&gt;0,SUM(IF($C514=detections[],IF(detections[is active]="yes",1,0),0)),"")</f>
        <v/>
      </c>
      <c r="J514" s="74">
        <f t="array" ref="J51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14" s="74">
        <f>IF(AND(ISNUMBER(techniques[[#This Row],[number of sub techniques]]),techniques[[#This Row],[number of sub techniques]]&gt;1),techniques[number of sub techniques],1)</f>
        <v/>
      </c>
      <c r="L514" s="72" t="n"/>
      <c r="M514" s="74">
        <f t="array" ref="M51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1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14" s="26">
        <f>IF(techniques[[#This Row],[detection rules]]&gt;=techniques[[#This Row],[expected detection rules]],1,techniques[[#This Row],[detection rules]]/techniques[[#This Row],[expected detection rules]])</f>
        <v/>
      </c>
      <c r="P51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14" s="29">
        <f>IF(ISERROR(SEARCH(techniques[[#This Row],[id]],techniques[[#This Row],[name]])),"ERROR","")</f>
        <v/>
      </c>
      <c r="S51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15" ht="12.75" customHeight="1">
      <c r="A515" s="74" t="inlineStr">
        <is>
          <t>T1573</t>
        </is>
      </c>
      <c r="B515" s="74" t="inlineStr">
        <is>
          <t>T1573.001</t>
        </is>
      </c>
      <c r="C515" s="13" t="inlineStr">
        <is>
          <t>Symmetric Cryptography (T1573.001)</t>
        </is>
      </c>
      <c r="D515" s="13" t="inlineStr">
        <is>
          <t>command-and-control</t>
        </is>
      </c>
      <c r="E515" s="13" t="inlineStr">
        <is>
          <t>Application Log: Application Log Content|Module: Module Load|Network Traffic: Network Connection Creation|Network Traffic: Network Traffic Content|Network Traffic: Network Traffic Flow|Process: Process Creation</t>
        </is>
      </c>
      <c r="F515" s="74" t="n">
        <v>6</v>
      </c>
      <c r="G515" s="72">
        <f t="array" ref="G515">SUM(IF(ISERROR(FIND(sources[data source],techniques[[#This Row],[data sources]])),0,1)*IF(sources[available]="yes",1,0))</f>
        <v/>
      </c>
      <c r="H515" s="73">
        <f t="array" ref="H515">IF(techniques[[#This Row],[technique]]=techniques[[#This Row],[id]],SUM(IF(techniques[[#This Row],[id]]=techniques[technique],1,0))-1,"")</f>
        <v/>
      </c>
      <c r="I515" s="74">
        <f t="array" ref="I515">IF(SUM(IF($C515=detections[],IF(detections[is active]="yes",1,0),0))&gt;0,SUM(IF($C515=detections[],IF(detections[is active]="yes",1,0),0)),"")</f>
        <v/>
      </c>
      <c r="J515" s="74">
        <f t="array" ref="J51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15" s="74">
        <f>IF(AND(ISNUMBER(techniques[[#This Row],[number of sub techniques]]),techniques[[#This Row],[number of sub techniques]]&gt;1),techniques[number of sub techniques],1)</f>
        <v/>
      </c>
      <c r="L515" s="72" t="n"/>
      <c r="M515" s="74">
        <f t="array" ref="M51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1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15" s="26">
        <f>IF(techniques[[#This Row],[detection rules]]&gt;=techniques[[#This Row],[expected detection rules]],1,techniques[[#This Row],[detection rules]]/techniques[[#This Row],[expected detection rules]])</f>
        <v/>
      </c>
      <c r="P51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15" s="29">
        <f>IF(ISERROR(SEARCH(techniques[[#This Row],[id]],techniques[[#This Row],[name]])),"ERROR","")</f>
        <v/>
      </c>
      <c r="S51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16" ht="12.75" customHeight="1">
      <c r="A516" s="74" t="inlineStr">
        <is>
          <t>T1573</t>
        </is>
      </c>
      <c r="B516" s="74" t="inlineStr">
        <is>
          <t>T1573.002</t>
        </is>
      </c>
      <c r="C516" s="13" t="inlineStr">
        <is>
          <t>Asymmetric Cryptography (T1573.002)</t>
        </is>
      </c>
      <c r="D516" s="13" t="inlineStr">
        <is>
          <t>command-and-control</t>
        </is>
      </c>
      <c r="E516" s="13" t="inlineStr">
        <is>
          <t>Application Log: Application Log Content|Module: Module Load|Network Traffic: Network Connection Creation|Network Traffic: Network Traffic Content|Network Traffic: Network Traffic Flow|Process: Process Creation</t>
        </is>
      </c>
      <c r="F516" s="74" t="n">
        <v>6</v>
      </c>
      <c r="G516" s="72">
        <f t="array" ref="G516">SUM(IF(ISERROR(FIND(sources[data source],techniques[[#This Row],[data sources]])),0,1)*IF(sources[available]="yes",1,0))</f>
        <v/>
      </c>
      <c r="H516" s="73">
        <f t="array" ref="H516">IF(techniques[[#This Row],[technique]]=techniques[[#This Row],[id]],SUM(IF(techniques[[#This Row],[id]]=techniques[technique],1,0))-1,"")</f>
        <v/>
      </c>
      <c r="I516" s="74">
        <f t="array" ref="I516">IF(SUM(IF($C516=detections[],IF(detections[is active]="yes",1,0),0))&gt;0,SUM(IF($C516=detections[],IF(detections[is active]="yes",1,0),0)),"")</f>
        <v/>
      </c>
      <c r="J516" s="74">
        <f t="array" ref="J51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16" s="74">
        <f>IF(AND(ISNUMBER(techniques[[#This Row],[number of sub techniques]]),techniques[[#This Row],[number of sub techniques]]&gt;1),techniques[number of sub techniques],1)</f>
        <v/>
      </c>
      <c r="L516" s="72" t="n"/>
      <c r="M516" s="74">
        <f t="array" ref="M51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1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16" s="26">
        <f>IF(techniques[[#This Row],[detection rules]]&gt;=techniques[[#This Row],[expected detection rules]],1,techniques[[#This Row],[detection rules]]/techniques[[#This Row],[expected detection rules]])</f>
        <v/>
      </c>
      <c r="P51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16" s="29">
        <f>IF(ISERROR(SEARCH(techniques[[#This Row],[id]],techniques[[#This Row],[name]])),"ERROR","")</f>
        <v/>
      </c>
      <c r="S51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17" ht="12.75" customHeight="1">
      <c r="A517" s="74" t="inlineStr">
        <is>
          <t>T1574</t>
        </is>
      </c>
      <c r="B517" s="74" t="inlineStr">
        <is>
          <t>T1574</t>
        </is>
      </c>
      <c r="C517" s="13" t="inlineStr">
        <is>
          <t>Hijack Execution Flow (T1574)</t>
        </is>
      </c>
      <c r="D517" s="13" t="inlineStr">
        <is>
          <t>stealth|execution</t>
        </is>
      </c>
      <c r="E517" s="13" t="inlineStr">
        <is>
          <t>File: File Creation|File: File Modification|Module: Module Load|Process: Process Creation|Service: Service Metadata|Windows Registry: Windows Registry Key Modification</t>
        </is>
      </c>
      <c r="F517" s="74" t="n">
        <v>6</v>
      </c>
      <c r="G517" s="72">
        <f t="array" ref="G517">SUM(IF(ISERROR(FIND(sources[data source],techniques[[#This Row],[data sources]])),0,1)*IF(sources[available]="yes",1,0))</f>
        <v/>
      </c>
      <c r="H517" s="73">
        <f t="array" ref="H517">IF(techniques[[#This Row],[technique]]=techniques[[#This Row],[id]],SUM(IF(techniques[[#This Row],[id]]=techniques[technique],1,0))-1,"")</f>
        <v/>
      </c>
      <c r="I517" s="74">
        <f t="array" ref="I517">IF(SUM(IF($C517=detections[],IF(detections[is active]="yes",1,0),0))&gt;0,SUM(IF($C517=detections[],IF(detections[is active]="yes",1,0),0)),"")</f>
        <v/>
      </c>
      <c r="J517" s="74">
        <f t="array" ref="J51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17" s="74">
        <f>IF(AND(ISNUMBER(techniques[[#This Row],[number of sub techniques]]),techniques[[#This Row],[number of sub techniques]]&gt;1),techniques[number of sub techniques],1)</f>
        <v/>
      </c>
      <c r="L517" s="72" t="n"/>
      <c r="M517" s="74">
        <f t="array" ref="M51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1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17" s="26">
        <f>IF(techniques[[#This Row],[detection rules]]&gt;=techniques[[#This Row],[expected detection rules]],1,techniques[[#This Row],[detection rules]]/techniques[[#This Row],[expected detection rules]])</f>
        <v/>
      </c>
      <c r="P51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17" s="29">
        <f>IF(ISERROR(SEARCH(techniques[[#This Row],[id]],techniques[[#This Row],[name]])),"ERROR","")</f>
        <v/>
      </c>
      <c r="S51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18" ht="12.75" customHeight="1">
      <c r="A518" s="74" t="inlineStr">
        <is>
          <t>T1574</t>
        </is>
      </c>
      <c r="B518" s="74" t="inlineStr">
        <is>
          <t>T1574.001</t>
        </is>
      </c>
      <c r="C518" s="13" t="inlineStr">
        <is>
          <t>DLL (T1574.001)</t>
        </is>
      </c>
      <c r="D518" s="13" t="inlineStr">
        <is>
          <t>stealth|execution</t>
        </is>
      </c>
      <c r="E518" s="13" t="inlineStr">
        <is>
          <t>File: File Creation|File: File Metadata|Module: Module Load|Process: Process Creation|Windows Registry: Windows Registry Key Modification</t>
        </is>
      </c>
      <c r="F518" s="74" t="n">
        <v>5</v>
      </c>
      <c r="G518" s="72">
        <f t="array" ref="G518">SUM(IF(ISERROR(FIND(sources[data source],techniques[[#This Row],[data sources]])),0,1)*IF(sources[available]="yes",1,0))</f>
        <v/>
      </c>
      <c r="H518" s="73">
        <f t="array" ref="H518">IF(techniques[[#This Row],[technique]]=techniques[[#This Row],[id]],SUM(IF(techniques[[#This Row],[id]]=techniques[technique],1,0))-1,"")</f>
        <v/>
      </c>
      <c r="I518" s="74">
        <f t="array" ref="I518">IF(SUM(IF($C518=detections[],IF(detections[is active]="yes",1,0),0))&gt;0,SUM(IF($C518=detections[],IF(detections[is active]="yes",1,0),0)),"")</f>
        <v/>
      </c>
      <c r="J518" s="74">
        <f t="array" ref="J51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18" s="74">
        <f>IF(AND(ISNUMBER(techniques[[#This Row],[number of sub techniques]]),techniques[[#This Row],[number of sub techniques]]&gt;1),techniques[number of sub techniques],1)</f>
        <v/>
      </c>
      <c r="L518" s="72" t="n"/>
      <c r="M518" s="74">
        <f t="array" ref="M51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1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18" s="26">
        <f>IF(techniques[[#This Row],[detection rules]]&gt;=techniques[[#This Row],[expected detection rules]],1,techniques[[#This Row],[detection rules]]/techniques[[#This Row],[expected detection rules]])</f>
        <v/>
      </c>
      <c r="P51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18" s="29">
        <f>IF(ISERROR(SEARCH(techniques[[#This Row],[id]],techniques[[#This Row],[name]])),"ERROR","")</f>
        <v/>
      </c>
      <c r="S51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19" ht="12.75" customHeight="1">
      <c r="A519" s="74" t="inlineStr">
        <is>
          <t>T1574</t>
        </is>
      </c>
      <c r="B519" s="74" t="inlineStr">
        <is>
          <t>T1574.004</t>
        </is>
      </c>
      <c r="C519" s="13" t="inlineStr">
        <is>
          <t>Dylib Hijacking (T1574.004)</t>
        </is>
      </c>
      <c r="D519" s="13" t="inlineStr">
        <is>
          <t>stealth|execution</t>
        </is>
      </c>
      <c r="E519" s="13" t="inlineStr">
        <is>
          <t>File: File Creation|File: File Modification|Module: Module Load</t>
        </is>
      </c>
      <c r="F519" s="74" t="n">
        <v>3</v>
      </c>
      <c r="G519" s="72">
        <f t="array" ref="G519">SUM(IF(ISERROR(FIND(sources[data source],techniques[[#This Row],[data sources]])),0,1)*IF(sources[available]="yes",1,0))</f>
        <v/>
      </c>
      <c r="H519" s="73">
        <f t="array" ref="H519">IF(techniques[[#This Row],[technique]]=techniques[[#This Row],[id]],SUM(IF(techniques[[#This Row],[id]]=techniques[technique],1,0))-1,"")</f>
        <v/>
      </c>
      <c r="I519" s="74">
        <f t="array" ref="I519">IF(SUM(IF($C519=detections[],IF(detections[is active]="yes",1,0),0))&gt;0,SUM(IF($C519=detections[],IF(detections[is active]="yes",1,0),0)),"")</f>
        <v/>
      </c>
      <c r="J519" s="74">
        <f t="array" ref="J51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19" s="74">
        <f>IF(AND(ISNUMBER(techniques[[#This Row],[number of sub techniques]]),techniques[[#This Row],[number of sub techniques]]&gt;1),techniques[number of sub techniques],1)</f>
        <v/>
      </c>
      <c r="L519" s="72" t="n"/>
      <c r="M519" s="74">
        <f t="array" ref="M51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1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19" s="26">
        <f>IF(techniques[[#This Row],[detection rules]]&gt;=techniques[[#This Row],[expected detection rules]],1,techniques[[#This Row],[detection rules]]/techniques[[#This Row],[expected detection rules]])</f>
        <v/>
      </c>
      <c r="P51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19" s="29">
        <f>IF(ISERROR(SEARCH(techniques[[#This Row],[id]],techniques[[#This Row],[name]])),"ERROR","")</f>
        <v/>
      </c>
      <c r="S51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20" ht="12.75" customHeight="1">
      <c r="A520" s="74" t="inlineStr">
        <is>
          <t>T1574</t>
        </is>
      </c>
      <c r="B520" s="74" t="inlineStr">
        <is>
          <t>T1574.005</t>
        </is>
      </c>
      <c r="C520" s="13" t="inlineStr">
        <is>
          <t>Executable Installer File Permissions Weakness (T1574.005)</t>
        </is>
      </c>
      <c r="D520" s="13" t="inlineStr">
        <is>
          <t>stealth|execution</t>
        </is>
      </c>
      <c r="E520" s="13" t="inlineStr">
        <is>
          <t>File: File Creation|File: File Metadata|Module: Module Load|Process: Process Creation</t>
        </is>
      </c>
      <c r="F520" s="74" t="n">
        <v>4</v>
      </c>
      <c r="G520" s="72">
        <f t="array" ref="G520">SUM(IF(ISERROR(FIND(sources[data source],techniques[[#This Row],[data sources]])),0,1)*IF(sources[available]="yes",1,0))</f>
        <v/>
      </c>
      <c r="H520" s="73">
        <f t="array" ref="H520">IF(techniques[[#This Row],[technique]]=techniques[[#This Row],[id]],SUM(IF(techniques[[#This Row],[id]]=techniques[technique],1,0))-1,"")</f>
        <v/>
      </c>
      <c r="I520" s="74">
        <f t="array" ref="I520">IF(SUM(IF($C520=detections[],IF(detections[is active]="yes",1,0),0))&gt;0,SUM(IF($C520=detections[],IF(detections[is active]="yes",1,0),0)),"")</f>
        <v/>
      </c>
      <c r="J520" s="74">
        <f t="array" ref="J52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20" s="74">
        <f>IF(AND(ISNUMBER(techniques[[#This Row],[number of sub techniques]]),techniques[[#This Row],[number of sub techniques]]&gt;1),techniques[number of sub techniques],1)</f>
        <v/>
      </c>
      <c r="L520" s="72" t="n"/>
      <c r="M520" s="74">
        <f t="array" ref="M52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2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20" s="26">
        <f>IF(techniques[[#This Row],[detection rules]]&gt;=techniques[[#This Row],[expected detection rules]],1,techniques[[#This Row],[detection rules]]/techniques[[#This Row],[expected detection rules]])</f>
        <v/>
      </c>
      <c r="P52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20" s="29">
        <f>IF(ISERROR(SEARCH(techniques[[#This Row],[id]],techniques[[#This Row],[name]])),"ERROR","")</f>
        <v/>
      </c>
      <c r="S52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21" ht="12.75" customHeight="1">
      <c r="A521" s="74" t="inlineStr">
        <is>
          <t>T1574</t>
        </is>
      </c>
      <c r="B521" s="74" t="inlineStr">
        <is>
          <t>T1574.006</t>
        </is>
      </c>
      <c r="C521" s="13" t="inlineStr">
        <is>
          <t>Dynamic Linker Hijacking (T1574.006)</t>
        </is>
      </c>
      <c r="D521" s="13" t="inlineStr">
        <is>
          <t>stealth|execution</t>
        </is>
      </c>
      <c r="E521" s="13" t="inlineStr">
        <is>
          <t>File: File Creation|File: File Modification|Module: Module Load|Process: Process Creation|Process: Process Metadata</t>
        </is>
      </c>
      <c r="F521" s="74" t="n">
        <v>5</v>
      </c>
      <c r="G521" s="72">
        <f t="array" ref="G521">SUM(IF(ISERROR(FIND(sources[data source],techniques[[#This Row],[data sources]])),0,1)*IF(sources[available]="yes",1,0))</f>
        <v/>
      </c>
      <c r="H521" s="73">
        <f t="array" ref="H521">IF(techniques[[#This Row],[technique]]=techniques[[#This Row],[id]],SUM(IF(techniques[[#This Row],[id]]=techniques[technique],1,0))-1,"")</f>
        <v/>
      </c>
      <c r="I521" s="74">
        <f t="array" ref="I521">IF(SUM(IF($C521=detections[],IF(detections[is active]="yes",1,0),0))&gt;0,SUM(IF($C521=detections[],IF(detections[is active]="yes",1,0),0)),"")</f>
        <v/>
      </c>
      <c r="J521" s="74">
        <f t="array" ref="J52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21" s="74">
        <f>IF(AND(ISNUMBER(techniques[[#This Row],[number of sub techniques]]),techniques[[#This Row],[number of sub techniques]]&gt;1),techniques[number of sub techniques],1)</f>
        <v/>
      </c>
      <c r="L521" s="72" t="n"/>
      <c r="M521" s="74">
        <f t="array" ref="M52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2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21" s="26">
        <f>IF(techniques[[#This Row],[detection rules]]&gt;=techniques[[#This Row],[expected detection rules]],1,techniques[[#This Row],[detection rules]]/techniques[[#This Row],[expected detection rules]])</f>
        <v/>
      </c>
      <c r="P52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21" s="29">
        <f>IF(ISERROR(SEARCH(techniques[[#This Row],[id]],techniques[[#This Row],[name]])),"ERROR","")</f>
        <v/>
      </c>
      <c r="S52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22" ht="12.75" customHeight="1">
      <c r="A522" s="74" t="inlineStr">
        <is>
          <t>T1574</t>
        </is>
      </c>
      <c r="B522" s="74" t="inlineStr">
        <is>
          <t>T1574.007</t>
        </is>
      </c>
      <c r="C522" s="13" t="inlineStr">
        <is>
          <t>Path Interception by PATH Environment Variable (T1574.007)</t>
        </is>
      </c>
      <c r="D522" s="13" t="inlineStr">
        <is>
          <t>stealth|execution</t>
        </is>
      </c>
      <c r="E522" s="13" t="inlineStr">
        <is>
          <t>File: File Creation|File: File Modification|Process: Process Creation|Windows Registry: Windows Registry Key Modification</t>
        </is>
      </c>
      <c r="F522" s="74" t="n">
        <v>4</v>
      </c>
      <c r="G522" s="72">
        <f t="array" ref="G522">SUM(IF(ISERROR(FIND(sources[data source],techniques[[#This Row],[data sources]])),0,1)*IF(sources[available]="yes",1,0))</f>
        <v/>
      </c>
      <c r="H522" s="73">
        <f t="array" ref="H522">IF(techniques[[#This Row],[technique]]=techniques[[#This Row],[id]],SUM(IF(techniques[[#This Row],[id]]=techniques[technique],1,0))-1,"")</f>
        <v/>
      </c>
      <c r="I522" s="74">
        <f t="array" ref="I522">IF(SUM(IF($C522=detections[],IF(detections[is active]="yes",1,0),0))&gt;0,SUM(IF($C522=detections[],IF(detections[is active]="yes",1,0),0)),"")</f>
        <v/>
      </c>
      <c r="J522" s="74">
        <f t="array" ref="J52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22" s="74">
        <f>IF(AND(ISNUMBER(techniques[[#This Row],[number of sub techniques]]),techniques[[#This Row],[number of sub techniques]]&gt;1),techniques[number of sub techniques],1)</f>
        <v/>
      </c>
      <c r="L522" s="72" t="n"/>
      <c r="M522" s="74">
        <f t="array" ref="M52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2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22" s="26">
        <f>IF(techniques[[#This Row],[detection rules]]&gt;=techniques[[#This Row],[expected detection rules]],1,techniques[[#This Row],[detection rules]]/techniques[[#This Row],[expected detection rules]])</f>
        <v/>
      </c>
      <c r="P52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22" s="29">
        <f>IF(ISERROR(SEARCH(techniques[[#This Row],[id]],techniques[[#This Row],[name]])),"ERROR","")</f>
        <v/>
      </c>
      <c r="S52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23" ht="12.75" customHeight="1">
      <c r="A523" s="74" t="inlineStr">
        <is>
          <t>T1574</t>
        </is>
      </c>
      <c r="B523" s="74" t="inlineStr">
        <is>
          <t>T1574.008</t>
        </is>
      </c>
      <c r="C523" s="13" t="inlineStr">
        <is>
          <t>Path Interception by Search Order Hijacking (T1574.008)</t>
        </is>
      </c>
      <c r="D523" s="13" t="inlineStr">
        <is>
          <t>stealth|execution</t>
        </is>
      </c>
      <c r="E523" s="13" t="inlineStr">
        <is>
          <t>File: File Creation|File: File Metadata|Process: Process Creation</t>
        </is>
      </c>
      <c r="F523" s="74" t="n">
        <v>3</v>
      </c>
      <c r="G523" s="72">
        <f t="array" ref="G523">SUM(IF(ISERROR(FIND(sources[data source],techniques[[#This Row],[data sources]])),0,1)*IF(sources[available]="yes",1,0))</f>
        <v/>
      </c>
      <c r="H523" s="73">
        <f t="array" ref="H523">IF(techniques[[#This Row],[technique]]=techniques[[#This Row],[id]],SUM(IF(techniques[[#This Row],[id]]=techniques[technique],1,0))-1,"")</f>
        <v/>
      </c>
      <c r="I523" s="74">
        <f t="array" ref="I523">IF(SUM(IF($C523=detections[],IF(detections[is active]="yes",1,0),0))&gt;0,SUM(IF($C523=detections[],IF(detections[is active]="yes",1,0),0)),"")</f>
        <v/>
      </c>
      <c r="J523" s="74">
        <f t="array" ref="J52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23" s="74">
        <f>IF(AND(ISNUMBER(techniques[[#This Row],[number of sub techniques]]),techniques[[#This Row],[number of sub techniques]]&gt;1),techniques[number of sub techniques],1)</f>
        <v/>
      </c>
      <c r="L523" s="72" t="n"/>
      <c r="M523" s="74">
        <f t="array" ref="M52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2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23" s="26">
        <f>IF(techniques[[#This Row],[detection rules]]&gt;=techniques[[#This Row],[expected detection rules]],1,techniques[[#This Row],[detection rules]]/techniques[[#This Row],[expected detection rules]])</f>
        <v/>
      </c>
      <c r="P52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23" s="29">
        <f>IF(ISERROR(SEARCH(techniques[[#This Row],[id]],techniques[[#This Row],[name]])),"ERROR","")</f>
        <v/>
      </c>
      <c r="S52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24" ht="12.75" customHeight="1">
      <c r="A524" s="74" t="inlineStr">
        <is>
          <t>T1574</t>
        </is>
      </c>
      <c r="B524" s="74" t="inlineStr">
        <is>
          <t>T1574.009</t>
        </is>
      </c>
      <c r="C524" s="13" t="inlineStr">
        <is>
          <t>Path Interception by Unquoted Path (T1574.009)</t>
        </is>
      </c>
      <c r="D524" s="13" t="inlineStr">
        <is>
          <t>stealth|execution</t>
        </is>
      </c>
      <c r="E524" s="13" t="inlineStr">
        <is>
          <t>File: File Creation|File: File Metadata|Process: Process Creation|Windows Registry: Windows Registry Key Modification</t>
        </is>
      </c>
      <c r="F524" s="74" t="n">
        <v>4</v>
      </c>
      <c r="G524" s="72">
        <f t="array" ref="G524">SUM(IF(ISERROR(FIND(sources[data source],techniques[[#This Row],[data sources]])),0,1)*IF(sources[available]="yes",1,0))</f>
        <v/>
      </c>
      <c r="H524" s="73">
        <f t="array" ref="H524">IF(techniques[[#This Row],[technique]]=techniques[[#This Row],[id]],SUM(IF(techniques[[#This Row],[id]]=techniques[technique],1,0))-1,"")</f>
        <v/>
      </c>
      <c r="I524" s="74">
        <f t="array" ref="I524">IF(SUM(IF($C524=detections[],IF(detections[is active]="yes",1,0),0))&gt;0,SUM(IF($C524=detections[],IF(detections[is active]="yes",1,0),0)),"")</f>
        <v/>
      </c>
      <c r="J524" s="74">
        <f t="array" ref="J52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24" s="74">
        <f>IF(AND(ISNUMBER(techniques[[#This Row],[number of sub techniques]]),techniques[[#This Row],[number of sub techniques]]&gt;1),techniques[number of sub techniques],1)</f>
        <v/>
      </c>
      <c r="L524" s="72" t="n"/>
      <c r="M524" s="74">
        <f t="array" ref="M52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2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24" s="26">
        <f>IF(techniques[[#This Row],[detection rules]]&gt;=techniques[[#This Row],[expected detection rules]],1,techniques[[#This Row],[detection rules]]/techniques[[#This Row],[expected detection rules]])</f>
        <v/>
      </c>
      <c r="P52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24" s="29">
        <f>IF(ISERROR(SEARCH(techniques[[#This Row],[id]],techniques[[#This Row],[name]])),"ERROR","")</f>
        <v/>
      </c>
      <c r="S52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25" ht="12.75" customHeight="1">
      <c r="A525" s="74" t="inlineStr">
        <is>
          <t>T1574</t>
        </is>
      </c>
      <c r="B525" s="74" t="inlineStr">
        <is>
          <t>T1574.010</t>
        </is>
      </c>
      <c r="C525" s="13" t="inlineStr">
        <is>
          <t>Services File Permissions Weakness (T1574.010)</t>
        </is>
      </c>
      <c r="D525" s="13" t="inlineStr">
        <is>
          <t>stealth|execution</t>
        </is>
      </c>
      <c r="E525" s="13" t="inlineStr">
        <is>
          <t>File: File Creation|File: File Metadata|Process: Process Creation|Service: Service Creation</t>
        </is>
      </c>
      <c r="F525" s="74" t="n">
        <v>4</v>
      </c>
      <c r="G525" s="72">
        <f t="array" ref="G525">SUM(IF(ISERROR(FIND(sources[data source],techniques[[#This Row],[data sources]])),0,1)*IF(sources[available]="yes",1,0))</f>
        <v/>
      </c>
      <c r="H525" s="73">
        <f t="array" ref="H525">IF(techniques[[#This Row],[technique]]=techniques[[#This Row],[id]],SUM(IF(techniques[[#This Row],[id]]=techniques[technique],1,0))-1,"")</f>
        <v/>
      </c>
      <c r="I525" s="74">
        <f t="array" ref="I525">IF(SUM(IF($C525=detections[],IF(detections[is active]="yes",1,0),0))&gt;0,SUM(IF($C525=detections[],IF(detections[is active]="yes",1,0),0)),"")</f>
        <v/>
      </c>
      <c r="J525" s="74">
        <f t="array" ref="J52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25" s="74">
        <f>IF(AND(ISNUMBER(techniques[[#This Row],[number of sub techniques]]),techniques[[#This Row],[number of sub techniques]]&gt;1),techniques[number of sub techniques],1)</f>
        <v/>
      </c>
      <c r="L525" s="72" t="n"/>
      <c r="M525" s="74">
        <f t="array" ref="M52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2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25" s="26">
        <f>IF(techniques[[#This Row],[detection rules]]&gt;=techniques[[#This Row],[expected detection rules]],1,techniques[[#This Row],[detection rules]]/techniques[[#This Row],[expected detection rules]])</f>
        <v/>
      </c>
      <c r="P52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25" s="29">
        <f>IF(ISERROR(SEARCH(techniques[[#This Row],[id]],techniques[[#This Row],[name]])),"ERROR","")</f>
        <v/>
      </c>
      <c r="S52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26" ht="12.75" customHeight="1">
      <c r="A526" s="74" t="inlineStr">
        <is>
          <t>T1574</t>
        </is>
      </c>
      <c r="B526" s="74" t="inlineStr">
        <is>
          <t>T1574.011</t>
        </is>
      </c>
      <c r="C526" s="13" t="inlineStr">
        <is>
          <t>Services Registry Permissions Weakness (T1574.011)</t>
        </is>
      </c>
      <c r="D526" s="13" t="inlineStr">
        <is>
          <t>stealth|execution</t>
        </is>
      </c>
      <c r="E526" s="13" t="inlineStr">
        <is>
          <t>Process: Process Creation|Service: Service Modification|Windows Registry: Windows Registry Key Modification</t>
        </is>
      </c>
      <c r="F526" s="74" t="n">
        <v>3</v>
      </c>
      <c r="G526" s="72">
        <f t="array" ref="G526">SUM(IF(ISERROR(FIND(sources[data source],techniques[[#This Row],[data sources]])),0,1)*IF(sources[available]="yes",1,0))</f>
        <v/>
      </c>
      <c r="H526" s="73">
        <f t="array" ref="H526">IF(techniques[[#This Row],[technique]]=techniques[[#This Row],[id]],SUM(IF(techniques[[#This Row],[id]]=techniques[technique],1,0))-1,"")</f>
        <v/>
      </c>
      <c r="I526" s="74">
        <f t="array" ref="I526">IF(SUM(IF($C526=detections[],IF(detections[is active]="yes",1,0),0))&gt;0,SUM(IF($C526=detections[],IF(detections[is active]="yes",1,0),0)),"")</f>
        <v/>
      </c>
      <c r="J526" s="74">
        <f t="array" ref="J52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26" s="74">
        <f>IF(AND(ISNUMBER(techniques[[#This Row],[number of sub techniques]]),techniques[[#This Row],[number of sub techniques]]&gt;1),techniques[number of sub techniques],1)</f>
        <v/>
      </c>
      <c r="L526" s="72" t="n"/>
      <c r="M526" s="74">
        <f t="array" ref="M52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2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26" s="26">
        <f>IF(techniques[[#This Row],[detection rules]]&gt;=techniques[[#This Row],[expected detection rules]],1,techniques[[#This Row],[detection rules]]/techniques[[#This Row],[expected detection rules]])</f>
        <v/>
      </c>
      <c r="P52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26" s="29">
        <f>IF(ISERROR(SEARCH(techniques[[#This Row],[id]],techniques[[#This Row],[name]])),"ERROR","")</f>
        <v/>
      </c>
      <c r="S52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27" ht="12.75" customHeight="1">
      <c r="A527" s="74" t="inlineStr">
        <is>
          <t>T1574</t>
        </is>
      </c>
      <c r="B527" s="74" t="inlineStr">
        <is>
          <t>T1574.012</t>
        </is>
      </c>
      <c r="C527" s="13" t="inlineStr">
        <is>
          <t>COR_PROFILER (T1574.012)</t>
        </is>
      </c>
      <c r="D527" s="13" t="inlineStr">
        <is>
          <t>stealth|execution</t>
        </is>
      </c>
      <c r="E527" s="13" t="inlineStr">
        <is>
          <t>File: File Creation|Module: Module Load|Process: Process Creation|Windows Registry: Windows Registry Key Modification</t>
        </is>
      </c>
      <c r="F527" s="74" t="n">
        <v>4</v>
      </c>
      <c r="G527" s="72">
        <f t="array" ref="G527">SUM(IF(ISERROR(FIND(sources[data source],techniques[[#This Row],[data sources]])),0,1)*IF(sources[available]="yes",1,0))</f>
        <v/>
      </c>
      <c r="H527" s="73">
        <f t="array" ref="H527">IF(techniques[[#This Row],[technique]]=techniques[[#This Row],[id]],SUM(IF(techniques[[#This Row],[id]]=techniques[technique],1,0))-1,"")</f>
        <v/>
      </c>
      <c r="I527" s="74">
        <f t="array" ref="I527">IF(SUM(IF($C527=detections[],IF(detections[is active]="yes",1,0),0))&gt;0,SUM(IF($C527=detections[],IF(detections[is active]="yes",1,0),0)),"")</f>
        <v/>
      </c>
      <c r="J527" s="74">
        <f t="array" ref="J52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27" s="74">
        <f>IF(AND(ISNUMBER(techniques[[#This Row],[number of sub techniques]]),techniques[[#This Row],[number of sub techniques]]&gt;1),techniques[number of sub techniques],1)</f>
        <v/>
      </c>
      <c r="L527" s="72" t="n"/>
      <c r="M527" s="74">
        <f t="array" ref="M52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2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27" s="26">
        <f>IF(techniques[[#This Row],[detection rules]]&gt;=techniques[[#This Row],[expected detection rules]],1,techniques[[#This Row],[detection rules]]/techniques[[#This Row],[expected detection rules]])</f>
        <v/>
      </c>
      <c r="P52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27" s="29">
        <f>IF(ISERROR(SEARCH(techniques[[#This Row],[id]],techniques[[#This Row],[name]])),"ERROR","")</f>
        <v/>
      </c>
      <c r="S52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28" ht="12.75" customHeight="1">
      <c r="A528" s="74" t="inlineStr">
        <is>
          <t>T1574</t>
        </is>
      </c>
      <c r="B528" s="74" t="inlineStr">
        <is>
          <t>T1574.013</t>
        </is>
      </c>
      <c r="C528" s="13" t="inlineStr">
        <is>
          <t>KernelCallbackTable (T1574.013)</t>
        </is>
      </c>
      <c r="D528" s="13" t="inlineStr">
        <is>
          <t>stealth|execution</t>
        </is>
      </c>
      <c r="E528" s="13" t="inlineStr">
        <is>
          <t>Process: OS API Execution|Process: Process Access|Process: Process Creation</t>
        </is>
      </c>
      <c r="F528" s="74" t="n">
        <v>3</v>
      </c>
      <c r="G528" s="72">
        <f t="array" ref="G528">SUM(IF(ISERROR(FIND(sources[data source],techniques[[#This Row],[data sources]])),0,1)*IF(sources[available]="yes",1,0))</f>
        <v/>
      </c>
      <c r="H528" s="73">
        <f t="array" ref="H528">IF(techniques[[#This Row],[technique]]=techniques[[#This Row],[id]],SUM(IF(techniques[[#This Row],[id]]=techniques[technique],1,0))-1,"")</f>
        <v/>
      </c>
      <c r="I528" s="74">
        <f t="array" ref="I528">IF(SUM(IF($C528=detections[],IF(detections[is active]="yes",1,0),0))&gt;0,SUM(IF($C528=detections[],IF(detections[is active]="yes",1,0),0)),"")</f>
        <v/>
      </c>
      <c r="J528" s="74">
        <f t="array" ref="J52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28" s="74">
        <f>IF(AND(ISNUMBER(techniques[[#This Row],[number of sub techniques]]),techniques[[#This Row],[number of sub techniques]]&gt;1),techniques[number of sub techniques],1)</f>
        <v/>
      </c>
      <c r="L528" s="72" t="n"/>
      <c r="M528" s="74">
        <f t="array" ref="M52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2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28" s="26">
        <f>IF(techniques[[#This Row],[detection rules]]&gt;=techniques[[#This Row],[expected detection rules]],1,techniques[[#This Row],[detection rules]]/techniques[[#This Row],[expected detection rules]])</f>
        <v/>
      </c>
      <c r="P52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28" s="29">
        <f>IF(ISERROR(SEARCH(techniques[[#This Row],[id]],techniques[[#This Row],[name]])),"ERROR","")</f>
        <v/>
      </c>
      <c r="S52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29" ht="12.75" customHeight="1">
      <c r="A529" s="74" t="inlineStr">
        <is>
          <t>T1574</t>
        </is>
      </c>
      <c r="B529" s="74" t="inlineStr">
        <is>
          <t>T1574.014</t>
        </is>
      </c>
      <c r="C529" s="13" t="inlineStr">
        <is>
          <t>AppDomainManager (T1574.014)</t>
        </is>
      </c>
      <c r="D529" s="13" t="inlineStr">
        <is>
          <t>stealth|execution</t>
        </is>
      </c>
      <c r="E529" s="13" t="inlineStr">
        <is>
          <t>File: File Creation|Module: Module Load|Process: Process Creation</t>
        </is>
      </c>
      <c r="F529" s="74" t="n">
        <v>3</v>
      </c>
      <c r="G529" s="72">
        <f t="array" ref="G529">SUM(IF(ISERROR(FIND(sources[data source],techniques[[#This Row],[data sources]])),0,1)*IF(sources[available]="yes",1,0))</f>
        <v/>
      </c>
      <c r="H529" s="73">
        <f t="array" ref="H529">IF(techniques[[#This Row],[technique]]=techniques[[#This Row],[id]],SUM(IF(techniques[[#This Row],[id]]=techniques[technique],1,0))-1,"")</f>
        <v/>
      </c>
      <c r="I529" s="74">
        <f t="array" ref="I529">IF(SUM(IF($C529=detections[],IF(detections[is active]="yes",1,0),0))&gt;0,SUM(IF($C529=detections[],IF(detections[is active]="yes",1,0),0)),"")</f>
        <v/>
      </c>
      <c r="J529" s="74">
        <f t="array" ref="J52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29" s="74">
        <f>IF(AND(ISNUMBER(techniques[[#This Row],[number of sub techniques]]),techniques[[#This Row],[number of sub techniques]]&gt;1),techniques[number of sub techniques],1)</f>
        <v/>
      </c>
      <c r="L529" s="72" t="n"/>
      <c r="M529" s="74">
        <f t="array" ref="M52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2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29" s="26">
        <f>IF(techniques[[#This Row],[detection rules]]&gt;=techniques[[#This Row],[expected detection rules]],1,techniques[[#This Row],[detection rules]]/techniques[[#This Row],[expected detection rules]])</f>
        <v/>
      </c>
      <c r="P52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29" s="29">
        <f>IF(ISERROR(SEARCH(techniques[[#This Row],[id]],techniques[[#This Row],[name]])),"ERROR","")</f>
        <v/>
      </c>
      <c r="S52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30" ht="12.75" customHeight="1">
      <c r="A530" s="74" t="inlineStr">
        <is>
          <t>T1578</t>
        </is>
      </c>
      <c r="B530" s="74" t="inlineStr">
        <is>
          <t>T1578</t>
        </is>
      </c>
      <c r="C530" s="13" t="inlineStr">
        <is>
          <t>Modify Cloud Compute Infrastructure (T1578)</t>
        </is>
      </c>
      <c r="D530" s="13" t="inlineStr">
        <is>
          <t>defense-impairment</t>
        </is>
      </c>
      <c r="E530" s="13" t="inlineStr">
        <is>
          <t>Cloud Service: Cloud Service Metadata|Instance: Instance Start|Instance: Instance Stop|Snapshot: Snapshot Creation|Snapshot: Snapshot Deletion|Snapshot: Snapshot Modification|Volume: Volume Creation|Volume: Volume Deletion|Volume: Volume Modification</t>
        </is>
      </c>
      <c r="F530" s="74" t="n">
        <v>9</v>
      </c>
      <c r="G530" s="72">
        <f t="array" ref="G530">SUM(IF(ISERROR(FIND(sources[data source],techniques[[#This Row],[data sources]])),0,1)*IF(sources[available]="yes",1,0))</f>
        <v/>
      </c>
      <c r="H530" s="73">
        <f t="array" ref="H530">IF(techniques[[#This Row],[technique]]=techniques[[#This Row],[id]],SUM(IF(techniques[[#This Row],[id]]=techniques[technique],1,0))-1,"")</f>
        <v/>
      </c>
      <c r="I530" s="74">
        <f t="array" ref="I530">IF(SUM(IF($C530=detections[],IF(detections[is active]="yes",1,0),0))&gt;0,SUM(IF($C530=detections[],IF(detections[is active]="yes",1,0),0)),"")</f>
        <v/>
      </c>
      <c r="J530" s="74">
        <f t="array" ref="J53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30" s="74">
        <f>IF(AND(ISNUMBER(techniques[[#This Row],[number of sub techniques]]),techniques[[#This Row],[number of sub techniques]]&gt;1),techniques[number of sub techniques],1)</f>
        <v/>
      </c>
      <c r="L530" s="72" t="n"/>
      <c r="M530" s="74">
        <f t="array" ref="M53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3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30" s="26">
        <f>IF(techniques[[#This Row],[detection rules]]&gt;=techniques[[#This Row],[expected detection rules]],1,techniques[[#This Row],[detection rules]]/techniques[[#This Row],[expected detection rules]])</f>
        <v/>
      </c>
      <c r="P53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30" s="29">
        <f>IF(ISERROR(SEARCH(techniques[[#This Row],[id]],techniques[[#This Row],[name]])),"ERROR","")</f>
        <v/>
      </c>
      <c r="S53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31" ht="12.75" customHeight="1">
      <c r="A531" s="74" t="inlineStr">
        <is>
          <t>T1578</t>
        </is>
      </c>
      <c r="B531" s="74" t="inlineStr">
        <is>
          <t>T1578.001</t>
        </is>
      </c>
      <c r="C531" s="13" t="inlineStr">
        <is>
          <t>Create Snapshot (T1578.001)</t>
        </is>
      </c>
      <c r="D531" s="13" t="inlineStr">
        <is>
          <t>defense-impairment</t>
        </is>
      </c>
      <c r="E531" s="13" t="inlineStr">
        <is>
          <t>Snapshot: Snapshot Creation|Snapshot: Snapshot Metadata</t>
        </is>
      </c>
      <c r="F531" s="74" t="n">
        <v>2</v>
      </c>
      <c r="G531" s="72">
        <f t="array" ref="G531">SUM(IF(ISERROR(FIND(sources[data source],techniques[[#This Row],[data sources]])),0,1)*IF(sources[available]="yes",1,0))</f>
        <v/>
      </c>
      <c r="H531" s="73">
        <f t="array" ref="H531">IF(techniques[[#This Row],[technique]]=techniques[[#This Row],[id]],SUM(IF(techniques[[#This Row],[id]]=techniques[technique],1,0))-1,"")</f>
        <v/>
      </c>
      <c r="I531" s="74">
        <f t="array" ref="I531">IF(SUM(IF($C531=detections[],IF(detections[is active]="yes",1,0),0))&gt;0,SUM(IF($C531=detections[],IF(detections[is active]="yes",1,0),0)),"")</f>
        <v/>
      </c>
      <c r="J531" s="74">
        <f t="array" ref="J53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31" s="74">
        <f>IF(AND(ISNUMBER(techniques[[#This Row],[number of sub techniques]]),techniques[[#This Row],[number of sub techniques]]&gt;1),techniques[number of sub techniques],1)</f>
        <v/>
      </c>
      <c r="L531" s="72" t="n"/>
      <c r="M531" s="74">
        <f t="array" ref="M53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3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31" s="26">
        <f>IF(techniques[[#This Row],[detection rules]]&gt;=techniques[[#This Row],[expected detection rules]],1,techniques[[#This Row],[detection rules]]/techniques[[#This Row],[expected detection rules]])</f>
        <v/>
      </c>
      <c r="P53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31" s="29">
        <f>IF(ISERROR(SEARCH(techniques[[#This Row],[id]],techniques[[#This Row],[name]])),"ERROR","")</f>
        <v/>
      </c>
      <c r="S53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32" ht="12.75" customHeight="1">
      <c r="A532" s="74" t="inlineStr">
        <is>
          <t>T1578</t>
        </is>
      </c>
      <c r="B532" s="74" t="inlineStr">
        <is>
          <t>T1578.002</t>
        </is>
      </c>
      <c r="C532" s="13" t="inlineStr">
        <is>
          <t>Create Cloud Instance (T1578.002)</t>
        </is>
      </c>
      <c r="D532" s="13" t="inlineStr">
        <is>
          <t>defense-impairment</t>
        </is>
      </c>
      <c r="E532" s="13" t="inlineStr">
        <is>
          <t>Instance: Instance Creation|Instance: Instance Metadata|Instance: Instance Start</t>
        </is>
      </c>
      <c r="F532" s="74" t="n">
        <v>3</v>
      </c>
      <c r="G532" s="72">
        <f t="array" ref="G532">SUM(IF(ISERROR(FIND(sources[data source],techniques[[#This Row],[data sources]])),0,1)*IF(sources[available]="yes",1,0))</f>
        <v/>
      </c>
      <c r="H532" s="73">
        <f t="array" ref="H532">IF(techniques[[#This Row],[technique]]=techniques[[#This Row],[id]],SUM(IF(techniques[[#This Row],[id]]=techniques[technique],1,0))-1,"")</f>
        <v/>
      </c>
      <c r="I532" s="74">
        <f t="array" ref="I532">IF(SUM(IF($C532=detections[],IF(detections[is active]="yes",1,0),0))&gt;0,SUM(IF($C532=detections[],IF(detections[is active]="yes",1,0),0)),"")</f>
        <v/>
      </c>
      <c r="J532" s="74">
        <f t="array" ref="J53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32" s="74">
        <f>IF(AND(ISNUMBER(techniques[[#This Row],[number of sub techniques]]),techniques[[#This Row],[number of sub techniques]]&gt;1),techniques[number of sub techniques],1)</f>
        <v/>
      </c>
      <c r="L532" s="72" t="n"/>
      <c r="M532" s="74">
        <f t="array" ref="M53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3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32" s="26">
        <f>IF(techniques[[#This Row],[detection rules]]&gt;=techniques[[#This Row],[expected detection rules]],1,techniques[[#This Row],[detection rules]]/techniques[[#This Row],[expected detection rules]])</f>
        <v/>
      </c>
      <c r="P53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32" s="29">
        <f>IF(ISERROR(SEARCH(techniques[[#This Row],[id]],techniques[[#This Row],[name]])),"ERROR","")</f>
        <v/>
      </c>
      <c r="S53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33" ht="12.75" customHeight="1">
      <c r="A533" s="74" t="inlineStr">
        <is>
          <t>T1578</t>
        </is>
      </c>
      <c r="B533" s="74" t="inlineStr">
        <is>
          <t>T1578.003</t>
        </is>
      </c>
      <c r="C533" s="13" t="inlineStr">
        <is>
          <t>Delete Cloud Instance (T1578.003)</t>
        </is>
      </c>
      <c r="D533" s="13" t="inlineStr">
        <is>
          <t>defense-impairment</t>
        </is>
      </c>
      <c r="E533" s="13" t="inlineStr">
        <is>
          <t>Instance: Instance Deletion|Instance: Instance Metadata|Instance: Instance Stop</t>
        </is>
      </c>
      <c r="F533" s="74" t="n">
        <v>3</v>
      </c>
      <c r="G533" s="72">
        <f t="array" ref="G533">SUM(IF(ISERROR(FIND(sources[data source],techniques[[#This Row],[data sources]])),0,1)*IF(sources[available]="yes",1,0))</f>
        <v/>
      </c>
      <c r="H533" s="73">
        <f t="array" ref="H533">IF(techniques[[#This Row],[technique]]=techniques[[#This Row],[id]],SUM(IF(techniques[[#This Row],[id]]=techniques[technique],1,0))-1,"")</f>
        <v/>
      </c>
      <c r="I533" s="74">
        <f t="array" ref="I533">IF(SUM(IF($C533=detections[],IF(detections[is active]="yes",1,0),0))&gt;0,SUM(IF($C533=detections[],IF(detections[is active]="yes",1,0),0)),"")</f>
        <v/>
      </c>
      <c r="J533" s="74">
        <f t="array" ref="J53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33" s="74">
        <f>IF(AND(ISNUMBER(techniques[[#This Row],[number of sub techniques]]),techniques[[#This Row],[number of sub techniques]]&gt;1),techniques[number of sub techniques],1)</f>
        <v/>
      </c>
      <c r="L533" s="72" t="n"/>
      <c r="M533" s="74">
        <f t="array" ref="M53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3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33" s="26">
        <f>IF(techniques[[#This Row],[detection rules]]&gt;=techniques[[#This Row],[expected detection rules]],1,techniques[[#This Row],[detection rules]]/techniques[[#This Row],[expected detection rules]])</f>
        <v/>
      </c>
      <c r="P53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33" s="29">
        <f>IF(ISERROR(SEARCH(techniques[[#This Row],[id]],techniques[[#This Row],[name]])),"ERROR","")</f>
        <v/>
      </c>
      <c r="S53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34" ht="12.75" customHeight="1">
      <c r="A534" s="74" t="inlineStr">
        <is>
          <t>T1578</t>
        </is>
      </c>
      <c r="B534" s="74" t="inlineStr">
        <is>
          <t>T1578.004</t>
        </is>
      </c>
      <c r="C534" s="13" t="inlineStr">
        <is>
          <t>Revert Cloud Instance (T1578.004)</t>
        </is>
      </c>
      <c r="D534" s="13" t="inlineStr">
        <is>
          <t>defense-impairment</t>
        </is>
      </c>
      <c r="E534" s="13" t="inlineStr">
        <is>
          <t>Instance: Instance Modification|Instance: Instance Start|Instance: Instance Stop</t>
        </is>
      </c>
      <c r="F534" s="74" t="n">
        <v>3</v>
      </c>
      <c r="G534" s="72">
        <f t="array" ref="G534">SUM(IF(ISERROR(FIND(sources[data source],techniques[[#This Row],[data sources]])),0,1)*IF(sources[available]="yes",1,0))</f>
        <v/>
      </c>
      <c r="H534" s="73">
        <f t="array" ref="H534">IF(techniques[[#This Row],[technique]]=techniques[[#This Row],[id]],SUM(IF(techniques[[#This Row],[id]]=techniques[technique],1,0))-1,"")</f>
        <v/>
      </c>
      <c r="I534" s="74">
        <f t="array" ref="I534">IF(SUM(IF($C534=detections[],IF(detections[is active]="yes",1,0),0))&gt;0,SUM(IF($C534=detections[],IF(detections[is active]="yes",1,0),0)),"")</f>
        <v/>
      </c>
      <c r="J534" s="74">
        <f t="array" ref="J53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34" s="74">
        <f>IF(AND(ISNUMBER(techniques[[#This Row],[number of sub techniques]]),techniques[[#This Row],[number of sub techniques]]&gt;1),techniques[number of sub techniques],1)</f>
        <v/>
      </c>
      <c r="L534" s="72" t="n"/>
      <c r="M534" s="74">
        <f t="array" ref="M53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3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34" s="26">
        <f>IF(techniques[[#This Row],[detection rules]]&gt;=techniques[[#This Row],[expected detection rules]],1,techniques[[#This Row],[detection rules]]/techniques[[#This Row],[expected detection rules]])</f>
        <v/>
      </c>
      <c r="P53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34" s="29">
        <f>IF(ISERROR(SEARCH(techniques[[#This Row],[id]],techniques[[#This Row],[name]])),"ERROR","")</f>
        <v/>
      </c>
      <c r="S53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35" ht="12.75" customHeight="1">
      <c r="A535" s="74" t="inlineStr">
        <is>
          <t>T1578</t>
        </is>
      </c>
      <c r="B535" s="74" t="inlineStr">
        <is>
          <t>T1578.005</t>
        </is>
      </c>
      <c r="C535" s="13" t="inlineStr">
        <is>
          <t>Modify Cloud Compute Configurations (T1578.005)</t>
        </is>
      </c>
      <c r="D535" s="13" t="inlineStr">
        <is>
          <t>defense-impairment</t>
        </is>
      </c>
      <c r="E535" s="13" t="inlineStr">
        <is>
          <t>Cloud Service: Cloud Service Modification</t>
        </is>
      </c>
      <c r="F535" s="74" t="n">
        <v>1</v>
      </c>
      <c r="G535" s="72">
        <f t="array" ref="G535">SUM(IF(ISERROR(FIND(sources[data source],techniques[[#This Row],[data sources]])),0,1)*IF(sources[available]="yes",1,0))</f>
        <v/>
      </c>
      <c r="H535" s="73">
        <f t="array" ref="H535">IF(techniques[[#This Row],[technique]]=techniques[[#This Row],[id]],SUM(IF(techniques[[#This Row],[id]]=techniques[technique],1,0))-1,"")</f>
        <v/>
      </c>
      <c r="I535" s="74">
        <f t="array" ref="I535">IF(SUM(IF($C535=detections[],IF(detections[is active]="yes",1,0),0))&gt;0,SUM(IF($C535=detections[],IF(detections[is active]="yes",1,0),0)),"")</f>
        <v/>
      </c>
      <c r="J535" s="74">
        <f t="array" ref="J53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35" s="74">
        <f>IF(AND(ISNUMBER(techniques[[#This Row],[number of sub techniques]]),techniques[[#This Row],[number of sub techniques]]&gt;1),techniques[number of sub techniques],1)</f>
        <v/>
      </c>
      <c r="L535" s="72" t="n"/>
      <c r="M535" s="74">
        <f t="array" ref="M53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3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35" s="26">
        <f>IF(techniques[[#This Row],[detection rules]]&gt;=techniques[[#This Row],[expected detection rules]],1,techniques[[#This Row],[detection rules]]/techniques[[#This Row],[expected detection rules]])</f>
        <v/>
      </c>
      <c r="P53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35" s="29">
        <f>IF(ISERROR(SEARCH(techniques[[#This Row],[id]],techniques[[#This Row],[name]])),"ERROR","")</f>
        <v/>
      </c>
      <c r="S53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36" ht="12.75" customHeight="1">
      <c r="A536" s="74" t="inlineStr">
        <is>
          <t>T1580</t>
        </is>
      </c>
      <c r="B536" s="74" t="inlineStr">
        <is>
          <t>T1580</t>
        </is>
      </c>
      <c r="C536" s="13" t="inlineStr">
        <is>
          <t>Cloud Infrastructure Discovery (T1580)</t>
        </is>
      </c>
      <c r="D536" s="13" t="inlineStr">
        <is>
          <t>discovery</t>
        </is>
      </c>
      <c r="E536" s="13" t="inlineStr">
        <is>
          <t>Cloud Storage: Cloud Storage Enumeration|Instance: Instance Enumeration|Instance: Instance Metadata</t>
        </is>
      </c>
      <c r="F536" s="74" t="n">
        <v>3</v>
      </c>
      <c r="G536" s="72">
        <f t="array" ref="G536">SUM(IF(ISERROR(FIND(sources[data source],techniques[[#This Row],[data sources]])),0,1)*IF(sources[available]="yes",1,0))</f>
        <v/>
      </c>
      <c r="H536" s="73">
        <f t="array" ref="H536">IF(techniques[[#This Row],[technique]]=techniques[[#This Row],[id]],SUM(IF(techniques[[#This Row],[id]]=techniques[technique],1,0))-1,"")</f>
        <v/>
      </c>
      <c r="I536" s="74">
        <f t="array" ref="I536">IF(SUM(IF($C536=detections[],IF(detections[is active]="yes",1,0),0))&gt;0,SUM(IF($C536=detections[],IF(detections[is active]="yes",1,0),0)),"")</f>
        <v/>
      </c>
      <c r="J536" s="74">
        <f t="array" ref="J53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36" s="74">
        <f>IF(AND(ISNUMBER(techniques[[#This Row],[number of sub techniques]]),techniques[[#This Row],[number of sub techniques]]&gt;1),techniques[number of sub techniques],1)</f>
        <v/>
      </c>
      <c r="L536" s="72" t="n"/>
      <c r="M536" s="74">
        <f t="array" ref="M53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3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36" s="26">
        <f>IF(techniques[[#This Row],[detection rules]]&gt;=techniques[[#This Row],[expected detection rules]],1,techniques[[#This Row],[detection rules]]/techniques[[#This Row],[expected detection rules]])</f>
        <v/>
      </c>
      <c r="P53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36" s="29">
        <f>IF(ISERROR(SEARCH(techniques[[#This Row],[id]],techniques[[#This Row],[name]])),"ERROR","")</f>
        <v/>
      </c>
      <c r="S53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37" ht="12.75" customHeight="1">
      <c r="A537" s="74" t="inlineStr">
        <is>
          <t>T1583</t>
        </is>
      </c>
      <c r="B537" s="74" t="inlineStr">
        <is>
          <t>T1583</t>
        </is>
      </c>
      <c r="C537" s="13" t="inlineStr">
        <is>
          <t>Acquire Infrastructure (T1583)</t>
        </is>
      </c>
      <c r="D537" s="13" t="inlineStr">
        <is>
          <t>resource-development</t>
        </is>
      </c>
      <c r="E537" s="13" t="inlineStr">
        <is>
          <t>Domain Name: Active DNS|Domain Name: Domain Registration|Domain Name: Passive DNS|Internet Scan: Response Content|Internet Scan: Response Metadata</t>
        </is>
      </c>
      <c r="F537" s="74" t="n">
        <v>5</v>
      </c>
      <c r="G537" s="72">
        <f t="array" ref="G537">SUM(IF(ISERROR(FIND(sources[data source],techniques[[#This Row],[data sources]])),0,1)*IF(sources[available]="yes",1,0))</f>
        <v/>
      </c>
      <c r="H537" s="73">
        <f t="array" ref="H537">IF(techniques[[#This Row],[technique]]=techniques[[#This Row],[id]],SUM(IF(techniques[[#This Row],[id]]=techniques[technique],1,0))-1,"")</f>
        <v/>
      </c>
      <c r="I537" s="74">
        <f t="array" ref="I537">IF(SUM(IF($C537=detections[],IF(detections[is active]="yes",1,0),0))&gt;0,SUM(IF($C537=detections[],IF(detections[is active]="yes",1,0),0)),"")</f>
        <v/>
      </c>
      <c r="J537" s="74">
        <f t="array" ref="J53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37" s="74">
        <f>IF(AND(ISNUMBER(techniques[[#This Row],[number of sub techniques]]),techniques[[#This Row],[number of sub techniques]]&gt;1),techniques[number of sub techniques],1)</f>
        <v/>
      </c>
      <c r="L537" s="72" t="n"/>
      <c r="M537" s="74">
        <f t="array" ref="M53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3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37" s="26">
        <f>IF(techniques[[#This Row],[detection rules]]&gt;=techniques[[#This Row],[expected detection rules]],1,techniques[[#This Row],[detection rules]]/techniques[[#This Row],[expected detection rules]])</f>
        <v/>
      </c>
      <c r="P53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37" s="29">
        <f>IF(ISERROR(SEARCH(techniques[[#This Row],[id]],techniques[[#This Row],[name]])),"ERROR","")</f>
        <v/>
      </c>
      <c r="S53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38" ht="12.75" customHeight="1">
      <c r="A538" s="74" t="inlineStr">
        <is>
          <t>T1583</t>
        </is>
      </c>
      <c r="B538" s="74" t="inlineStr">
        <is>
          <t>T1583.001</t>
        </is>
      </c>
      <c r="C538" s="13" t="inlineStr">
        <is>
          <t>Domains (T1583.001)</t>
        </is>
      </c>
      <c r="D538" s="13" t="inlineStr">
        <is>
          <t>resource-development</t>
        </is>
      </c>
      <c r="E538" s="13" t="inlineStr">
        <is>
          <t>Domain Name: Active DNS|Domain Name: Domain Registration|Domain Name: Passive DNS</t>
        </is>
      </c>
      <c r="F538" s="74" t="n">
        <v>3</v>
      </c>
      <c r="G538" s="72">
        <f t="array" ref="G538">SUM(IF(ISERROR(FIND(sources[data source],techniques[[#This Row],[data sources]])),0,1)*IF(sources[available]="yes",1,0))</f>
        <v/>
      </c>
      <c r="H538" s="73">
        <f t="array" ref="H538">IF(techniques[[#This Row],[technique]]=techniques[[#This Row],[id]],SUM(IF(techniques[[#This Row],[id]]=techniques[technique],1,0))-1,"")</f>
        <v/>
      </c>
      <c r="I538" s="74">
        <f t="array" ref="I538">IF(SUM(IF($C538=detections[],IF(detections[is active]="yes",1,0),0))&gt;0,SUM(IF($C538=detections[],IF(detections[is active]="yes",1,0),0)),"")</f>
        <v/>
      </c>
      <c r="J538" s="74">
        <f t="array" ref="J53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38" s="74">
        <f>IF(AND(ISNUMBER(techniques[[#This Row],[number of sub techniques]]),techniques[[#This Row],[number of sub techniques]]&gt;1),techniques[number of sub techniques],1)</f>
        <v/>
      </c>
      <c r="L538" s="72" t="n"/>
      <c r="M538" s="74">
        <f t="array" ref="M53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3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38" s="26">
        <f>IF(techniques[[#This Row],[detection rules]]&gt;=techniques[[#This Row],[expected detection rules]],1,techniques[[#This Row],[detection rules]]/techniques[[#This Row],[expected detection rules]])</f>
        <v/>
      </c>
      <c r="P53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38" s="29">
        <f>IF(ISERROR(SEARCH(techniques[[#This Row],[id]],techniques[[#This Row],[name]])),"ERROR","")</f>
        <v/>
      </c>
      <c r="S53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39" ht="12.75" customHeight="1">
      <c r="A539" s="74" t="inlineStr">
        <is>
          <t>T1583</t>
        </is>
      </c>
      <c r="B539" s="74" t="inlineStr">
        <is>
          <t>T1583.002</t>
        </is>
      </c>
      <c r="C539" s="13" t="inlineStr">
        <is>
          <t>DNS Server (T1583.002)</t>
        </is>
      </c>
      <c r="D539" s="13" t="inlineStr">
        <is>
          <t>resource-development</t>
        </is>
      </c>
      <c r="E539" s="13" t="inlineStr"/>
      <c r="F539" s="74" t="n">
        <v>0</v>
      </c>
      <c r="G539" s="72">
        <f t="array" ref="G539">SUM(IF(ISERROR(FIND(sources[data source],techniques[[#This Row],[data sources]])),0,1)*IF(sources[available]="yes",1,0))</f>
        <v/>
      </c>
      <c r="H539" s="73">
        <f t="array" ref="H539">IF(techniques[[#This Row],[technique]]=techniques[[#This Row],[id]],SUM(IF(techniques[[#This Row],[id]]=techniques[technique],1,0))-1,"")</f>
        <v/>
      </c>
      <c r="I539" s="74">
        <f t="array" ref="I539">IF(SUM(IF($C539=detections[],IF(detections[is active]="yes",1,0),0))&gt;0,SUM(IF($C539=detections[],IF(detections[is active]="yes",1,0),0)),"")</f>
        <v/>
      </c>
      <c r="J539" s="74">
        <f t="array" ref="J53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39" s="74">
        <f>IF(AND(ISNUMBER(techniques[[#This Row],[number of sub techniques]]),techniques[[#This Row],[number of sub techniques]]&gt;1),techniques[number of sub techniques],1)</f>
        <v/>
      </c>
      <c r="L539" s="72" t="n"/>
      <c r="M539" s="74">
        <f t="array" ref="M53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3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39" s="26">
        <f>IF(techniques[[#This Row],[detection rules]]&gt;=techniques[[#This Row],[expected detection rules]],1,techniques[[#This Row],[detection rules]]/techniques[[#This Row],[expected detection rules]])</f>
        <v/>
      </c>
      <c r="P53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39" s="29">
        <f>IF(ISERROR(SEARCH(techniques[[#This Row],[id]],techniques[[#This Row],[name]])),"ERROR","")</f>
        <v/>
      </c>
      <c r="S53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40" ht="12.75" customHeight="1">
      <c r="A540" s="74" t="inlineStr">
        <is>
          <t>T1583</t>
        </is>
      </c>
      <c r="B540" s="74" t="inlineStr">
        <is>
          <t>T1583.003</t>
        </is>
      </c>
      <c r="C540" s="13" t="inlineStr">
        <is>
          <t>Virtual Private Server (T1583.003)</t>
        </is>
      </c>
      <c r="D540" s="13" t="inlineStr">
        <is>
          <t>resource-development</t>
        </is>
      </c>
      <c r="E540" s="13" t="inlineStr">
        <is>
          <t>Internet Scan: Response Content|Internet Scan: Response Metadata</t>
        </is>
      </c>
      <c r="F540" s="74" t="n">
        <v>2</v>
      </c>
      <c r="G540" s="72">
        <f t="array" ref="G540">SUM(IF(ISERROR(FIND(sources[data source],techniques[[#This Row],[data sources]])),0,1)*IF(sources[available]="yes",1,0))</f>
        <v/>
      </c>
      <c r="H540" s="73">
        <f t="array" ref="H540">IF(techniques[[#This Row],[technique]]=techniques[[#This Row],[id]],SUM(IF(techniques[[#This Row],[id]]=techniques[technique],1,0))-1,"")</f>
        <v/>
      </c>
      <c r="I540" s="74">
        <f t="array" ref="I540">IF(SUM(IF($C540=detections[],IF(detections[is active]="yes",1,0),0))&gt;0,SUM(IF($C540=detections[],IF(detections[is active]="yes",1,0),0)),"")</f>
        <v/>
      </c>
      <c r="J540" s="74">
        <f t="array" ref="J54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40" s="74">
        <f>IF(AND(ISNUMBER(techniques[[#This Row],[number of sub techniques]]),techniques[[#This Row],[number of sub techniques]]&gt;1),techniques[number of sub techniques],1)</f>
        <v/>
      </c>
      <c r="L540" s="72" t="n"/>
      <c r="M540" s="74">
        <f t="array" ref="M54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4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40" s="26">
        <f>IF(techniques[[#This Row],[detection rules]]&gt;=techniques[[#This Row],[expected detection rules]],1,techniques[[#This Row],[detection rules]]/techniques[[#This Row],[expected detection rules]])</f>
        <v/>
      </c>
      <c r="P54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40" s="29">
        <f>IF(ISERROR(SEARCH(techniques[[#This Row],[id]],techniques[[#This Row],[name]])),"ERROR","")</f>
        <v/>
      </c>
      <c r="S54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41" ht="12.75" customHeight="1">
      <c r="A541" s="74" t="inlineStr">
        <is>
          <t>T1583</t>
        </is>
      </c>
      <c r="B541" s="74" t="inlineStr">
        <is>
          <t>T1583.004</t>
        </is>
      </c>
      <c r="C541" s="13" t="inlineStr">
        <is>
          <t>Server (T1583.004)</t>
        </is>
      </c>
      <c r="D541" s="13" t="inlineStr">
        <is>
          <t>resource-development</t>
        </is>
      </c>
      <c r="E541" s="13" t="inlineStr">
        <is>
          <t>Internet Scan: Response Content|Internet Scan: Response Metadata</t>
        </is>
      </c>
      <c r="F541" s="74" t="n">
        <v>2</v>
      </c>
      <c r="G541" s="72">
        <f t="array" ref="G541">SUM(IF(ISERROR(FIND(sources[data source],techniques[[#This Row],[data sources]])),0,1)*IF(sources[available]="yes",1,0))</f>
        <v/>
      </c>
      <c r="H541" s="73">
        <f t="array" ref="H541">IF(techniques[[#This Row],[technique]]=techniques[[#This Row],[id]],SUM(IF(techniques[[#This Row],[id]]=techniques[technique],1,0))-1,"")</f>
        <v/>
      </c>
      <c r="I541" s="74">
        <f t="array" ref="I541">IF(SUM(IF($C541=detections[],IF(detections[is active]="yes",1,0),0))&gt;0,SUM(IF($C541=detections[],IF(detections[is active]="yes",1,0),0)),"")</f>
        <v/>
      </c>
      <c r="J541" s="74">
        <f t="array" ref="J54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41" s="74">
        <f>IF(AND(ISNUMBER(techniques[[#This Row],[number of sub techniques]]),techniques[[#This Row],[number of sub techniques]]&gt;1),techniques[number of sub techniques],1)</f>
        <v/>
      </c>
      <c r="L541" s="72" t="n"/>
      <c r="M541" s="74">
        <f t="array" ref="M54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4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41" s="26">
        <f>IF(techniques[[#This Row],[detection rules]]&gt;=techniques[[#This Row],[expected detection rules]],1,techniques[[#This Row],[detection rules]]/techniques[[#This Row],[expected detection rules]])</f>
        <v/>
      </c>
      <c r="P54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41" s="29">
        <f>IF(ISERROR(SEARCH(techniques[[#This Row],[id]],techniques[[#This Row],[name]])),"ERROR","")</f>
        <v/>
      </c>
      <c r="S54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42" ht="12.75" customHeight="1">
      <c r="A542" s="74" t="inlineStr">
        <is>
          <t>T1583</t>
        </is>
      </c>
      <c r="B542" s="74" t="inlineStr">
        <is>
          <t>T1583.005</t>
        </is>
      </c>
      <c r="C542" s="13" t="inlineStr">
        <is>
          <t>Botnet (T1583.005)</t>
        </is>
      </c>
      <c r="D542" s="13" t="inlineStr">
        <is>
          <t>resource-development</t>
        </is>
      </c>
      <c r="E542" s="13" t="inlineStr"/>
      <c r="F542" s="74" t="n">
        <v>0</v>
      </c>
      <c r="G542" s="72">
        <f t="array" ref="G542">SUM(IF(ISERROR(FIND(sources[data source],techniques[[#This Row],[data sources]])),0,1)*IF(sources[available]="yes",1,0))</f>
        <v/>
      </c>
      <c r="H542" s="73">
        <f t="array" ref="H542">IF(techniques[[#This Row],[technique]]=techniques[[#This Row],[id]],SUM(IF(techniques[[#This Row],[id]]=techniques[technique],1,0))-1,"")</f>
        <v/>
      </c>
      <c r="I542" s="74">
        <f t="array" ref="I542">IF(SUM(IF($C542=detections[],IF(detections[is active]="yes",1,0),0))&gt;0,SUM(IF($C542=detections[],IF(detections[is active]="yes",1,0),0)),"")</f>
        <v/>
      </c>
      <c r="J542" s="74">
        <f t="array" ref="J54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42" s="74">
        <f>IF(AND(ISNUMBER(techniques[[#This Row],[number of sub techniques]]),techniques[[#This Row],[number of sub techniques]]&gt;1),techniques[number of sub techniques],1)</f>
        <v/>
      </c>
      <c r="L542" s="72" t="n"/>
      <c r="M542" s="74">
        <f t="array" ref="M54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4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42" s="26">
        <f>IF(techniques[[#This Row],[detection rules]]&gt;=techniques[[#This Row],[expected detection rules]],1,techniques[[#This Row],[detection rules]]/techniques[[#This Row],[expected detection rules]])</f>
        <v/>
      </c>
      <c r="P54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42" s="29">
        <f>IF(ISERROR(SEARCH(techniques[[#This Row],[id]],techniques[[#This Row],[name]])),"ERROR","")</f>
        <v/>
      </c>
      <c r="S54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43" ht="12.75" customHeight="1">
      <c r="A543" s="74" t="inlineStr">
        <is>
          <t>T1583</t>
        </is>
      </c>
      <c r="B543" s="74" t="inlineStr">
        <is>
          <t>T1583.006</t>
        </is>
      </c>
      <c r="C543" s="13" t="inlineStr">
        <is>
          <t>Web Services (T1583.006)</t>
        </is>
      </c>
      <c r="D543" s="13" t="inlineStr">
        <is>
          <t>resource-development</t>
        </is>
      </c>
      <c r="E543" s="13" t="inlineStr">
        <is>
          <t>Internet Scan: Response Content</t>
        </is>
      </c>
      <c r="F543" s="74" t="n">
        <v>1</v>
      </c>
      <c r="G543" s="72">
        <f t="array" ref="G543">SUM(IF(ISERROR(FIND(sources[data source],techniques[[#This Row],[data sources]])),0,1)*IF(sources[available]="yes",1,0))</f>
        <v/>
      </c>
      <c r="H543" s="73">
        <f t="array" ref="H543">IF(techniques[[#This Row],[technique]]=techniques[[#This Row],[id]],SUM(IF(techniques[[#This Row],[id]]=techniques[technique],1,0))-1,"")</f>
        <v/>
      </c>
      <c r="I543" s="74">
        <f t="array" ref="I543">IF(SUM(IF($C543=detections[],IF(detections[is active]="yes",1,0),0))&gt;0,SUM(IF($C543=detections[],IF(detections[is active]="yes",1,0),0)),"")</f>
        <v/>
      </c>
      <c r="J543" s="74">
        <f t="array" ref="J54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43" s="74">
        <f>IF(AND(ISNUMBER(techniques[[#This Row],[number of sub techniques]]),techniques[[#This Row],[number of sub techniques]]&gt;1),techniques[number of sub techniques],1)</f>
        <v/>
      </c>
      <c r="L543" s="72" t="n"/>
      <c r="M543" s="74">
        <f t="array" ref="M54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4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43" s="26">
        <f>IF(techniques[[#This Row],[detection rules]]&gt;=techniques[[#This Row],[expected detection rules]],1,techniques[[#This Row],[detection rules]]/techniques[[#This Row],[expected detection rules]])</f>
        <v/>
      </c>
      <c r="P54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43" s="29">
        <f>IF(ISERROR(SEARCH(techniques[[#This Row],[id]],techniques[[#This Row],[name]])),"ERROR","")</f>
        <v/>
      </c>
      <c r="S54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44" ht="12.75" customHeight="1">
      <c r="A544" s="74" t="inlineStr">
        <is>
          <t>T1583</t>
        </is>
      </c>
      <c r="B544" s="74" t="inlineStr">
        <is>
          <t>T1583.007</t>
        </is>
      </c>
      <c r="C544" s="13" t="inlineStr">
        <is>
          <t>Serverless (T1583.007)</t>
        </is>
      </c>
      <c r="D544" s="13" t="inlineStr">
        <is>
          <t>resource-development</t>
        </is>
      </c>
      <c r="E544" s="13" t="inlineStr">
        <is>
          <t>Internet Scan: Response Content</t>
        </is>
      </c>
      <c r="F544" s="74" t="n">
        <v>1</v>
      </c>
      <c r="G544" s="72">
        <f t="array" ref="G544">SUM(IF(ISERROR(FIND(sources[data source],techniques[[#This Row],[data sources]])),0,1)*IF(sources[available]="yes",1,0))</f>
        <v/>
      </c>
      <c r="H544" s="73">
        <f t="array" ref="H544">IF(techniques[[#This Row],[technique]]=techniques[[#This Row],[id]],SUM(IF(techniques[[#This Row],[id]]=techniques[technique],1,0))-1,"")</f>
        <v/>
      </c>
      <c r="I544" s="74">
        <f t="array" ref="I544">IF(SUM(IF($C544=detections[],IF(detections[is active]="yes",1,0),0))&gt;0,SUM(IF($C544=detections[],IF(detections[is active]="yes",1,0),0)),"")</f>
        <v/>
      </c>
      <c r="J544" s="74">
        <f t="array" ref="J54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44" s="74">
        <f>IF(AND(ISNUMBER(techniques[[#This Row],[number of sub techniques]]),techniques[[#This Row],[number of sub techniques]]&gt;1),techniques[number of sub techniques],1)</f>
        <v/>
      </c>
      <c r="L544" s="72" t="n"/>
      <c r="M544" s="74">
        <f t="array" ref="M54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4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44" s="26">
        <f>IF(techniques[[#This Row],[detection rules]]&gt;=techniques[[#This Row],[expected detection rules]],1,techniques[[#This Row],[detection rules]]/techniques[[#This Row],[expected detection rules]])</f>
        <v/>
      </c>
      <c r="P54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44" s="29">
        <f>IF(ISERROR(SEARCH(techniques[[#This Row],[id]],techniques[[#This Row],[name]])),"ERROR","")</f>
        <v/>
      </c>
      <c r="S54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45" ht="12.75" customHeight="1">
      <c r="A545" s="74" t="inlineStr">
        <is>
          <t>T1583</t>
        </is>
      </c>
      <c r="B545" s="74" t="inlineStr">
        <is>
          <t>T1583.008</t>
        </is>
      </c>
      <c r="C545" s="13" t="inlineStr">
        <is>
          <t>Malvertising (T1583.008)</t>
        </is>
      </c>
      <c r="D545" s="13" t="inlineStr">
        <is>
          <t>resource-development</t>
        </is>
      </c>
      <c r="E545" s="13" t="inlineStr">
        <is>
          <t>Internet Scan: Response Content</t>
        </is>
      </c>
      <c r="F545" s="74" t="n">
        <v>1</v>
      </c>
      <c r="G545" s="72">
        <f t="array" ref="G545">SUM(IF(ISERROR(FIND(sources[data source],techniques[[#This Row],[data sources]])),0,1)*IF(sources[available]="yes",1,0))</f>
        <v/>
      </c>
      <c r="H545" s="73">
        <f t="array" ref="H545">IF(techniques[[#This Row],[technique]]=techniques[[#This Row],[id]],SUM(IF(techniques[[#This Row],[id]]=techniques[technique],1,0))-1,"")</f>
        <v/>
      </c>
      <c r="I545" s="74">
        <f t="array" ref="I545">IF(SUM(IF($C545=detections[],IF(detections[is active]="yes",1,0),0))&gt;0,SUM(IF($C545=detections[],IF(detections[is active]="yes",1,0),0)),"")</f>
        <v/>
      </c>
      <c r="J545" s="74">
        <f t="array" ref="J54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45" s="74">
        <f>IF(AND(ISNUMBER(techniques[[#This Row],[number of sub techniques]]),techniques[[#This Row],[number of sub techniques]]&gt;1),techniques[number of sub techniques],1)</f>
        <v/>
      </c>
      <c r="L545" s="72" t="n"/>
      <c r="M545" s="74">
        <f t="array" ref="M54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4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45" s="26">
        <f>IF(techniques[[#This Row],[detection rules]]&gt;=techniques[[#This Row],[expected detection rules]],1,techniques[[#This Row],[detection rules]]/techniques[[#This Row],[expected detection rules]])</f>
        <v/>
      </c>
      <c r="P54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45" s="29">
        <f>IF(ISERROR(SEARCH(techniques[[#This Row],[id]],techniques[[#This Row],[name]])),"ERROR","")</f>
        <v/>
      </c>
      <c r="S54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46" ht="12.75" customHeight="1">
      <c r="A546" s="74" t="inlineStr">
        <is>
          <t>T1584</t>
        </is>
      </c>
      <c r="B546" s="74" t="inlineStr">
        <is>
          <t>T1584</t>
        </is>
      </c>
      <c r="C546" s="13" t="inlineStr">
        <is>
          <t>Compromise Infrastructure (T1584)</t>
        </is>
      </c>
      <c r="D546" s="13" t="inlineStr">
        <is>
          <t>resource-development</t>
        </is>
      </c>
      <c r="E546" s="13" t="inlineStr">
        <is>
          <t>Domain Name: Active DNS|Domain Name: Domain Registration|Domain Name: Passive DNS|Internet Scan: Response Content|Internet Scan: Response Metadata</t>
        </is>
      </c>
      <c r="F546" s="74" t="n">
        <v>5</v>
      </c>
      <c r="G546" s="72">
        <f t="array" ref="G546">SUM(IF(ISERROR(FIND(sources[data source],techniques[[#This Row],[data sources]])),0,1)*IF(sources[available]="yes",1,0))</f>
        <v/>
      </c>
      <c r="H546" s="73">
        <f t="array" ref="H546">IF(techniques[[#This Row],[technique]]=techniques[[#This Row],[id]],SUM(IF(techniques[[#This Row],[id]]=techniques[technique],1,0))-1,"")</f>
        <v/>
      </c>
      <c r="I546" s="74">
        <f t="array" ref="I546">IF(SUM(IF($C546=detections[],IF(detections[is active]="yes",1,0),0))&gt;0,SUM(IF($C546=detections[],IF(detections[is active]="yes",1,0),0)),"")</f>
        <v/>
      </c>
      <c r="J546" s="74">
        <f t="array" ref="J54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46" s="74">
        <f>IF(AND(ISNUMBER(techniques[[#This Row],[number of sub techniques]]),techniques[[#This Row],[number of sub techniques]]&gt;1),techniques[number of sub techniques],1)</f>
        <v/>
      </c>
      <c r="L546" s="72" t="n"/>
      <c r="M546" s="74">
        <f t="array" ref="M54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4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46" s="26">
        <f>IF(techniques[[#This Row],[detection rules]]&gt;=techniques[[#This Row],[expected detection rules]],1,techniques[[#This Row],[detection rules]]/techniques[[#This Row],[expected detection rules]])</f>
        <v/>
      </c>
      <c r="P54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46" s="29">
        <f>IF(ISERROR(SEARCH(techniques[[#This Row],[id]],techniques[[#This Row],[name]])),"ERROR","")</f>
        <v/>
      </c>
      <c r="S54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47" ht="12.75" customHeight="1">
      <c r="A547" s="74" t="inlineStr">
        <is>
          <t>T1584</t>
        </is>
      </c>
      <c r="B547" s="74" t="inlineStr">
        <is>
          <t>T1584.001</t>
        </is>
      </c>
      <c r="C547" s="13" t="inlineStr">
        <is>
          <t>Domains (T1584.001)</t>
        </is>
      </c>
      <c r="D547" s="13" t="inlineStr">
        <is>
          <t>resource-development</t>
        </is>
      </c>
      <c r="E547" s="13" t="inlineStr">
        <is>
          <t>Domain Name: Active DNS|Domain Name: Domain Registration|Domain Name: Passive DNS</t>
        </is>
      </c>
      <c r="F547" s="74" t="n">
        <v>3</v>
      </c>
      <c r="G547" s="72">
        <f t="array" ref="G547">SUM(IF(ISERROR(FIND(sources[data source],techniques[[#This Row],[data sources]])),0,1)*IF(sources[available]="yes",1,0))</f>
        <v/>
      </c>
      <c r="H547" s="73">
        <f t="array" ref="H547">IF(techniques[[#This Row],[technique]]=techniques[[#This Row],[id]],SUM(IF(techniques[[#This Row],[id]]=techniques[technique],1,0))-1,"")</f>
        <v/>
      </c>
      <c r="I547" s="74">
        <f t="array" ref="I547">IF(SUM(IF($C547=detections[],IF(detections[is active]="yes",1,0),0))&gt;0,SUM(IF($C547=detections[],IF(detections[is active]="yes",1,0),0)),"")</f>
        <v/>
      </c>
      <c r="J547" s="74">
        <f t="array" ref="J54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47" s="74">
        <f>IF(AND(ISNUMBER(techniques[[#This Row],[number of sub techniques]]),techniques[[#This Row],[number of sub techniques]]&gt;1),techniques[number of sub techniques],1)</f>
        <v/>
      </c>
      <c r="L547" s="72" t="n"/>
      <c r="M547" s="74">
        <f t="array" ref="M54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4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47" s="26">
        <f>IF(techniques[[#This Row],[detection rules]]&gt;=techniques[[#This Row],[expected detection rules]],1,techniques[[#This Row],[detection rules]]/techniques[[#This Row],[expected detection rules]])</f>
        <v/>
      </c>
      <c r="P54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47" s="29">
        <f>IF(ISERROR(SEARCH(techniques[[#This Row],[id]],techniques[[#This Row],[name]])),"ERROR","")</f>
        <v/>
      </c>
      <c r="S54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48" ht="12.75" customHeight="1">
      <c r="A548" s="74" t="inlineStr">
        <is>
          <t>T1584</t>
        </is>
      </c>
      <c r="B548" s="74" t="inlineStr">
        <is>
          <t>T1584.002</t>
        </is>
      </c>
      <c r="C548" s="13" t="inlineStr">
        <is>
          <t>DNS Server (T1584.002)</t>
        </is>
      </c>
      <c r="D548" s="13" t="inlineStr">
        <is>
          <t>resource-development</t>
        </is>
      </c>
      <c r="E548" s="13" t="inlineStr">
        <is>
          <t>Domain Name: Active DNS|Domain Name: Passive DNS</t>
        </is>
      </c>
      <c r="F548" s="74" t="n">
        <v>2</v>
      </c>
      <c r="G548" s="72">
        <f t="array" ref="G548">SUM(IF(ISERROR(FIND(sources[data source],techniques[[#This Row],[data sources]])),0,1)*IF(sources[available]="yes",1,0))</f>
        <v/>
      </c>
      <c r="H548" s="73">
        <f t="array" ref="H548">IF(techniques[[#This Row],[technique]]=techniques[[#This Row],[id]],SUM(IF(techniques[[#This Row],[id]]=techniques[technique],1,0))-1,"")</f>
        <v/>
      </c>
      <c r="I548" s="74">
        <f t="array" ref="I548">IF(SUM(IF($C548=detections[],IF(detections[is active]="yes",1,0),0))&gt;0,SUM(IF($C548=detections[],IF(detections[is active]="yes",1,0),0)),"")</f>
        <v/>
      </c>
      <c r="J548" s="74">
        <f t="array" ref="J54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48" s="74">
        <f>IF(AND(ISNUMBER(techniques[[#This Row],[number of sub techniques]]),techniques[[#This Row],[number of sub techniques]]&gt;1),techniques[number of sub techniques],1)</f>
        <v/>
      </c>
      <c r="L548" s="72" t="n"/>
      <c r="M548" s="74">
        <f t="array" ref="M54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4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48" s="26">
        <f>IF(techniques[[#This Row],[detection rules]]&gt;=techniques[[#This Row],[expected detection rules]],1,techniques[[#This Row],[detection rules]]/techniques[[#This Row],[expected detection rules]])</f>
        <v/>
      </c>
      <c r="P54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48" s="29">
        <f>IF(ISERROR(SEARCH(techniques[[#This Row],[id]],techniques[[#This Row],[name]])),"ERROR","")</f>
        <v/>
      </c>
      <c r="S54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49" ht="12.75" customHeight="1">
      <c r="A549" s="74" t="inlineStr">
        <is>
          <t>T1584</t>
        </is>
      </c>
      <c r="B549" s="74" t="inlineStr">
        <is>
          <t>T1584.003</t>
        </is>
      </c>
      <c r="C549" s="13" t="inlineStr">
        <is>
          <t>Virtual Private Server (T1584.003)</t>
        </is>
      </c>
      <c r="D549" s="13" t="inlineStr">
        <is>
          <t>resource-development</t>
        </is>
      </c>
      <c r="E549" s="13" t="inlineStr">
        <is>
          <t>Internet Scan: Response Content|Internet Scan: Response Metadata</t>
        </is>
      </c>
      <c r="F549" s="74" t="n">
        <v>2</v>
      </c>
      <c r="G549" s="72">
        <f t="array" ref="G549">SUM(IF(ISERROR(FIND(sources[data source],techniques[[#This Row],[data sources]])),0,1)*IF(sources[available]="yes",1,0))</f>
        <v/>
      </c>
      <c r="H549" s="73">
        <f t="array" ref="H549">IF(techniques[[#This Row],[technique]]=techniques[[#This Row],[id]],SUM(IF(techniques[[#This Row],[id]]=techniques[technique],1,0))-1,"")</f>
        <v/>
      </c>
      <c r="I549" s="74">
        <f t="array" ref="I549">IF(SUM(IF($C549=detections[],IF(detections[is active]="yes",1,0),0))&gt;0,SUM(IF($C549=detections[],IF(detections[is active]="yes",1,0),0)),"")</f>
        <v/>
      </c>
      <c r="J549" s="74">
        <f t="array" ref="J54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49" s="74">
        <f>IF(AND(ISNUMBER(techniques[[#This Row],[number of sub techniques]]),techniques[[#This Row],[number of sub techniques]]&gt;1),techniques[number of sub techniques],1)</f>
        <v/>
      </c>
      <c r="L549" s="72" t="n"/>
      <c r="M549" s="74">
        <f t="array" ref="M54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4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49" s="26">
        <f>IF(techniques[[#This Row],[detection rules]]&gt;=techniques[[#This Row],[expected detection rules]],1,techniques[[#This Row],[detection rules]]/techniques[[#This Row],[expected detection rules]])</f>
        <v/>
      </c>
      <c r="P54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49" s="29">
        <f>IF(ISERROR(SEARCH(techniques[[#This Row],[id]],techniques[[#This Row],[name]])),"ERROR","")</f>
        <v/>
      </c>
      <c r="S54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50" ht="12.75" customHeight="1">
      <c r="A550" s="74" t="inlineStr">
        <is>
          <t>T1584</t>
        </is>
      </c>
      <c r="B550" s="74" t="inlineStr">
        <is>
          <t>T1584.004</t>
        </is>
      </c>
      <c r="C550" s="13" t="inlineStr">
        <is>
          <t>Server (T1584.004)</t>
        </is>
      </c>
      <c r="D550" s="13" t="inlineStr">
        <is>
          <t>resource-development</t>
        </is>
      </c>
      <c r="E550" s="13" t="inlineStr">
        <is>
          <t>Internet Scan: Response Content|Internet Scan: Response Metadata</t>
        </is>
      </c>
      <c r="F550" s="74" t="n">
        <v>2</v>
      </c>
      <c r="G550" s="72">
        <f t="array" ref="G550">SUM(IF(ISERROR(FIND(sources[data source],techniques[[#This Row],[data sources]])),0,1)*IF(sources[available]="yes",1,0))</f>
        <v/>
      </c>
      <c r="H550" s="73">
        <f t="array" ref="H550">IF(techniques[[#This Row],[technique]]=techniques[[#This Row],[id]],SUM(IF(techniques[[#This Row],[id]]=techniques[technique],1,0))-1,"")</f>
        <v/>
      </c>
      <c r="I550" s="74">
        <f t="array" ref="I550">IF(SUM(IF($C550=detections[],IF(detections[is active]="yes",1,0),0))&gt;0,SUM(IF($C550=detections[],IF(detections[is active]="yes",1,0),0)),"")</f>
        <v/>
      </c>
      <c r="J550" s="74">
        <f t="array" ref="J55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50" s="74">
        <f>IF(AND(ISNUMBER(techniques[[#This Row],[number of sub techniques]]),techniques[[#This Row],[number of sub techniques]]&gt;1),techniques[number of sub techniques],1)</f>
        <v/>
      </c>
      <c r="L550" s="72" t="n"/>
      <c r="M550" s="74">
        <f t="array" ref="M55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5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50" s="26">
        <f>IF(techniques[[#This Row],[detection rules]]&gt;=techniques[[#This Row],[expected detection rules]],1,techniques[[#This Row],[detection rules]]/techniques[[#This Row],[expected detection rules]])</f>
        <v/>
      </c>
      <c r="P55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50" s="29">
        <f>IF(ISERROR(SEARCH(techniques[[#This Row],[id]],techniques[[#This Row],[name]])),"ERROR","")</f>
        <v/>
      </c>
      <c r="S55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51" ht="12.75" customHeight="1">
      <c r="A551" s="74" t="inlineStr">
        <is>
          <t>T1584</t>
        </is>
      </c>
      <c r="B551" s="74" t="inlineStr">
        <is>
          <t>T1584.005</t>
        </is>
      </c>
      <c r="C551" s="13" t="inlineStr">
        <is>
          <t>Botnet (T1584.005)</t>
        </is>
      </c>
      <c r="D551" s="13" t="inlineStr">
        <is>
          <t>resource-development</t>
        </is>
      </c>
      <c r="E551" s="13" t="inlineStr"/>
      <c r="F551" s="74" t="n">
        <v>0</v>
      </c>
      <c r="G551" s="72">
        <f t="array" ref="G551">SUM(IF(ISERROR(FIND(sources[data source],techniques[[#This Row],[data sources]])),0,1)*IF(sources[available]="yes",1,0))</f>
        <v/>
      </c>
      <c r="H551" s="73">
        <f t="array" ref="H551">IF(techniques[[#This Row],[technique]]=techniques[[#This Row],[id]],SUM(IF(techniques[[#This Row],[id]]=techniques[technique],1,0))-1,"")</f>
        <v/>
      </c>
      <c r="I551" s="74">
        <f t="array" ref="I551">IF(SUM(IF($C551=detections[],IF(detections[is active]="yes",1,0),0))&gt;0,SUM(IF($C551=detections[],IF(detections[is active]="yes",1,0),0)),"")</f>
        <v/>
      </c>
      <c r="J551" s="74">
        <f t="array" ref="J55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51" s="74">
        <f>IF(AND(ISNUMBER(techniques[[#This Row],[number of sub techniques]]),techniques[[#This Row],[number of sub techniques]]&gt;1),techniques[number of sub techniques],1)</f>
        <v/>
      </c>
      <c r="L551" s="72" t="n"/>
      <c r="M551" s="74">
        <f t="array" ref="M55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5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51" s="26">
        <f>IF(techniques[[#This Row],[detection rules]]&gt;=techniques[[#This Row],[expected detection rules]],1,techniques[[#This Row],[detection rules]]/techniques[[#This Row],[expected detection rules]])</f>
        <v/>
      </c>
      <c r="P55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51" s="29">
        <f>IF(ISERROR(SEARCH(techniques[[#This Row],[id]],techniques[[#This Row],[name]])),"ERROR","")</f>
        <v/>
      </c>
      <c r="S55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52" ht="12.75" customHeight="1">
      <c r="A552" s="74" t="inlineStr">
        <is>
          <t>T1584</t>
        </is>
      </c>
      <c r="B552" s="74" t="inlineStr">
        <is>
          <t>T1584.006</t>
        </is>
      </c>
      <c r="C552" s="13" t="inlineStr">
        <is>
          <t>Web Services (T1584.006)</t>
        </is>
      </c>
      <c r="D552" s="13" t="inlineStr">
        <is>
          <t>resource-development</t>
        </is>
      </c>
      <c r="E552" s="13" t="inlineStr">
        <is>
          <t>Internet Scan: Response Content</t>
        </is>
      </c>
      <c r="F552" s="74" t="n">
        <v>1</v>
      </c>
      <c r="G552" s="72">
        <f t="array" ref="G552">SUM(IF(ISERROR(FIND(sources[data source],techniques[[#This Row],[data sources]])),0,1)*IF(sources[available]="yes",1,0))</f>
        <v/>
      </c>
      <c r="H552" s="73">
        <f t="array" ref="H552">IF(techniques[[#This Row],[technique]]=techniques[[#This Row],[id]],SUM(IF(techniques[[#This Row],[id]]=techniques[technique],1,0))-1,"")</f>
        <v/>
      </c>
      <c r="I552" s="74">
        <f t="array" ref="I552">IF(SUM(IF($C552=detections[],IF(detections[is active]="yes",1,0),0))&gt;0,SUM(IF($C552=detections[],IF(detections[is active]="yes",1,0),0)),"")</f>
        <v/>
      </c>
      <c r="J552" s="74">
        <f t="array" ref="J55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52" s="74">
        <f>IF(AND(ISNUMBER(techniques[[#This Row],[number of sub techniques]]),techniques[[#This Row],[number of sub techniques]]&gt;1),techniques[number of sub techniques],1)</f>
        <v/>
      </c>
      <c r="L552" s="72" t="n"/>
      <c r="M552" s="74">
        <f t="array" ref="M55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5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52" s="26">
        <f>IF(techniques[[#This Row],[detection rules]]&gt;=techniques[[#This Row],[expected detection rules]],1,techniques[[#This Row],[detection rules]]/techniques[[#This Row],[expected detection rules]])</f>
        <v/>
      </c>
      <c r="P55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52" s="29">
        <f>IF(ISERROR(SEARCH(techniques[[#This Row],[id]],techniques[[#This Row],[name]])),"ERROR","")</f>
        <v/>
      </c>
      <c r="S55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53" ht="12.75" customHeight="1">
      <c r="A553" s="74" t="inlineStr">
        <is>
          <t>T1584</t>
        </is>
      </c>
      <c r="B553" s="74" t="inlineStr">
        <is>
          <t>T1584.007</t>
        </is>
      </c>
      <c r="C553" s="13" t="inlineStr">
        <is>
          <t>Serverless (T1584.007)</t>
        </is>
      </c>
      <c r="D553" s="13" t="inlineStr">
        <is>
          <t>resource-development</t>
        </is>
      </c>
      <c r="E553" s="13" t="inlineStr">
        <is>
          <t>Internet Scan: Response Content</t>
        </is>
      </c>
      <c r="F553" s="74" t="n">
        <v>1</v>
      </c>
      <c r="G553" s="72">
        <f t="array" ref="G553">SUM(IF(ISERROR(FIND(sources[data source],techniques[[#This Row],[data sources]])),0,1)*IF(sources[available]="yes",1,0))</f>
        <v/>
      </c>
      <c r="H553" s="73">
        <f t="array" ref="H553">IF(techniques[[#This Row],[technique]]=techniques[[#This Row],[id]],SUM(IF(techniques[[#This Row],[id]]=techniques[technique],1,0))-1,"")</f>
        <v/>
      </c>
      <c r="I553" s="74">
        <f t="array" ref="I553">IF(SUM(IF($C553=detections[],IF(detections[is active]="yes",1,0),0))&gt;0,SUM(IF($C553=detections[],IF(detections[is active]="yes",1,0),0)),"")</f>
        <v/>
      </c>
      <c r="J553" s="74">
        <f t="array" ref="J55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53" s="74">
        <f>IF(AND(ISNUMBER(techniques[[#This Row],[number of sub techniques]]),techniques[[#This Row],[number of sub techniques]]&gt;1),techniques[number of sub techniques],1)</f>
        <v/>
      </c>
      <c r="L553" s="72" t="n"/>
      <c r="M553" s="74">
        <f t="array" ref="M55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5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53" s="26">
        <f>IF(techniques[[#This Row],[detection rules]]&gt;=techniques[[#This Row],[expected detection rules]],1,techniques[[#This Row],[detection rules]]/techniques[[#This Row],[expected detection rules]])</f>
        <v/>
      </c>
      <c r="P55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53" s="29">
        <f>IF(ISERROR(SEARCH(techniques[[#This Row],[id]],techniques[[#This Row],[name]])),"ERROR","")</f>
        <v/>
      </c>
      <c r="S55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54" ht="12.75" customHeight="1">
      <c r="A554" s="74" t="inlineStr">
        <is>
          <t>T1584</t>
        </is>
      </c>
      <c r="B554" s="74" t="inlineStr">
        <is>
          <t>T1584.008</t>
        </is>
      </c>
      <c r="C554" s="13" t="inlineStr">
        <is>
          <t>Network Devices (T1584.008)</t>
        </is>
      </c>
      <c r="D554" s="13" t="inlineStr">
        <is>
          <t>resource-development</t>
        </is>
      </c>
      <c r="E554" s="13" t="inlineStr">
        <is>
          <t>Internet Scan: Response Content</t>
        </is>
      </c>
      <c r="F554" s="74" t="n">
        <v>1</v>
      </c>
      <c r="G554" s="72">
        <f t="array" ref="G554">SUM(IF(ISERROR(FIND(sources[data source],techniques[[#This Row],[data sources]])),0,1)*IF(sources[available]="yes",1,0))</f>
        <v/>
      </c>
      <c r="H554" s="73">
        <f t="array" ref="H554">IF(techniques[[#This Row],[technique]]=techniques[[#This Row],[id]],SUM(IF(techniques[[#This Row],[id]]=techniques[technique],1,0))-1,"")</f>
        <v/>
      </c>
      <c r="I554" s="74">
        <f t="array" ref="I554">IF(SUM(IF($C554=detections[],IF(detections[is active]="yes",1,0),0))&gt;0,SUM(IF($C554=detections[],IF(detections[is active]="yes",1,0),0)),"")</f>
        <v/>
      </c>
      <c r="J554" s="74">
        <f t="array" ref="J55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54" s="74">
        <f>IF(AND(ISNUMBER(techniques[[#This Row],[number of sub techniques]]),techniques[[#This Row],[number of sub techniques]]&gt;1),techniques[number of sub techniques],1)</f>
        <v/>
      </c>
      <c r="L554" s="72" t="n"/>
      <c r="M554" s="74">
        <f t="array" ref="M55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5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54" s="26">
        <f>IF(techniques[[#This Row],[detection rules]]&gt;=techniques[[#This Row],[expected detection rules]],1,techniques[[#This Row],[detection rules]]/techniques[[#This Row],[expected detection rules]])</f>
        <v/>
      </c>
      <c r="P55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54" s="29">
        <f>IF(ISERROR(SEARCH(techniques[[#This Row],[id]],techniques[[#This Row],[name]])),"ERROR","")</f>
        <v/>
      </c>
      <c r="S55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55" ht="12.75" customHeight="1">
      <c r="A555" s="74" t="inlineStr">
        <is>
          <t>T1585</t>
        </is>
      </c>
      <c r="B555" s="74" t="inlineStr">
        <is>
          <t>T1585</t>
        </is>
      </c>
      <c r="C555" s="13" t="inlineStr">
        <is>
          <t>Establish Accounts (T1585)</t>
        </is>
      </c>
      <c r="D555" s="13" t="inlineStr">
        <is>
          <t>resource-development</t>
        </is>
      </c>
      <c r="E555" s="13" t="inlineStr">
        <is>
          <t>Network Traffic: Network Traffic Content|Persona: Social Media</t>
        </is>
      </c>
      <c r="F555" s="74" t="n">
        <v>2</v>
      </c>
      <c r="G555" s="72">
        <f t="array" ref="G555">SUM(IF(ISERROR(FIND(sources[data source],techniques[[#This Row],[data sources]])),0,1)*IF(sources[available]="yes",1,0))</f>
        <v/>
      </c>
      <c r="H555" s="73">
        <f t="array" ref="H555">IF(techniques[[#This Row],[technique]]=techniques[[#This Row],[id]],SUM(IF(techniques[[#This Row],[id]]=techniques[technique],1,0))-1,"")</f>
        <v/>
      </c>
      <c r="I555" s="74">
        <f t="array" ref="I555">IF(SUM(IF($C555=detections[],IF(detections[is active]="yes",1,0),0))&gt;0,SUM(IF($C555=detections[],IF(detections[is active]="yes",1,0),0)),"")</f>
        <v/>
      </c>
      <c r="J555" s="74">
        <f t="array" ref="J55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55" s="74">
        <f>IF(AND(ISNUMBER(techniques[[#This Row],[number of sub techniques]]),techniques[[#This Row],[number of sub techniques]]&gt;1),techniques[number of sub techniques],1)</f>
        <v/>
      </c>
      <c r="L555" s="72" t="n"/>
      <c r="M555" s="74">
        <f t="array" ref="M55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5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55" s="26">
        <f>IF(techniques[[#This Row],[detection rules]]&gt;=techniques[[#This Row],[expected detection rules]],1,techniques[[#This Row],[detection rules]]/techniques[[#This Row],[expected detection rules]])</f>
        <v/>
      </c>
      <c r="P55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55" s="29">
        <f>IF(ISERROR(SEARCH(techniques[[#This Row],[id]],techniques[[#This Row],[name]])),"ERROR","")</f>
        <v/>
      </c>
      <c r="S55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56" ht="12.75" customHeight="1">
      <c r="A556" s="74" t="inlineStr">
        <is>
          <t>T1585</t>
        </is>
      </c>
      <c r="B556" s="74" t="inlineStr">
        <is>
          <t>T1585.001</t>
        </is>
      </c>
      <c r="C556" s="13" t="inlineStr">
        <is>
          <t>Social Media Accounts (T1585.001)</t>
        </is>
      </c>
      <c r="D556" s="13" t="inlineStr">
        <is>
          <t>resource-development</t>
        </is>
      </c>
      <c r="E556" s="13" t="inlineStr">
        <is>
          <t>Network Traffic: Network Traffic Content|Persona: Social Media</t>
        </is>
      </c>
      <c r="F556" s="74" t="n">
        <v>2</v>
      </c>
      <c r="G556" s="72">
        <f t="array" ref="G556">SUM(IF(ISERROR(FIND(sources[data source],techniques[[#This Row],[data sources]])),0,1)*IF(sources[available]="yes",1,0))</f>
        <v/>
      </c>
      <c r="H556" s="73">
        <f t="array" ref="H556">IF(techniques[[#This Row],[technique]]=techniques[[#This Row],[id]],SUM(IF(techniques[[#This Row],[id]]=techniques[technique],1,0))-1,"")</f>
        <v/>
      </c>
      <c r="I556" s="74">
        <f t="array" ref="I556">IF(SUM(IF($C556=detections[],IF(detections[is active]="yes",1,0),0))&gt;0,SUM(IF($C556=detections[],IF(detections[is active]="yes",1,0),0)),"")</f>
        <v/>
      </c>
      <c r="J556" s="74">
        <f t="array" ref="J55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56" s="74">
        <f>IF(AND(ISNUMBER(techniques[[#This Row],[number of sub techniques]]),techniques[[#This Row],[number of sub techniques]]&gt;1),techniques[number of sub techniques],1)</f>
        <v/>
      </c>
      <c r="L556" s="72" t="n"/>
      <c r="M556" s="74">
        <f t="array" ref="M55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5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56" s="26">
        <f>IF(techniques[[#This Row],[detection rules]]&gt;=techniques[[#This Row],[expected detection rules]],1,techniques[[#This Row],[detection rules]]/techniques[[#This Row],[expected detection rules]])</f>
        <v/>
      </c>
      <c r="P55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56" s="29">
        <f>IF(ISERROR(SEARCH(techniques[[#This Row],[id]],techniques[[#This Row],[name]])),"ERROR","")</f>
        <v/>
      </c>
      <c r="S55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57" ht="12.75" customHeight="1">
      <c r="A557" s="74" t="inlineStr">
        <is>
          <t>T1585</t>
        </is>
      </c>
      <c r="B557" s="74" t="inlineStr">
        <is>
          <t>T1585.002</t>
        </is>
      </c>
      <c r="C557" s="13" t="inlineStr">
        <is>
          <t>Email Accounts (T1585.002)</t>
        </is>
      </c>
      <c r="D557" s="13" t="inlineStr">
        <is>
          <t>resource-development</t>
        </is>
      </c>
      <c r="E557" s="13" t="inlineStr"/>
      <c r="F557" s="74" t="n">
        <v>0</v>
      </c>
      <c r="G557" s="72">
        <f t="array" ref="G557">SUM(IF(ISERROR(FIND(sources[data source],techniques[[#This Row],[data sources]])),0,1)*IF(sources[available]="yes",1,0))</f>
        <v/>
      </c>
      <c r="H557" s="73">
        <f t="array" ref="H557">IF(techniques[[#This Row],[technique]]=techniques[[#This Row],[id]],SUM(IF(techniques[[#This Row],[id]]=techniques[technique],1,0))-1,"")</f>
        <v/>
      </c>
      <c r="I557" s="74">
        <f t="array" ref="I557">IF(SUM(IF($C557=detections[],IF(detections[is active]="yes",1,0),0))&gt;0,SUM(IF($C557=detections[],IF(detections[is active]="yes",1,0),0)),"")</f>
        <v/>
      </c>
      <c r="J557" s="74">
        <f t="array" ref="J55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57" s="74">
        <f>IF(AND(ISNUMBER(techniques[[#This Row],[number of sub techniques]]),techniques[[#This Row],[number of sub techniques]]&gt;1),techniques[number of sub techniques],1)</f>
        <v/>
      </c>
      <c r="L557" s="72" t="n"/>
      <c r="M557" s="74">
        <f t="array" ref="M55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5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57" s="26">
        <f>IF(techniques[[#This Row],[detection rules]]&gt;=techniques[[#This Row],[expected detection rules]],1,techniques[[#This Row],[detection rules]]/techniques[[#This Row],[expected detection rules]])</f>
        <v/>
      </c>
      <c r="P55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57" s="29">
        <f>IF(ISERROR(SEARCH(techniques[[#This Row],[id]],techniques[[#This Row],[name]])),"ERROR","")</f>
        <v/>
      </c>
      <c r="S55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58" ht="12.75" customHeight="1">
      <c r="A558" s="74" t="inlineStr">
        <is>
          <t>T1585</t>
        </is>
      </c>
      <c r="B558" s="74" t="inlineStr">
        <is>
          <t>T1585.003</t>
        </is>
      </c>
      <c r="C558" s="13" t="inlineStr">
        <is>
          <t>Cloud Accounts (T1585.003)</t>
        </is>
      </c>
      <c r="D558" s="13" t="inlineStr">
        <is>
          <t>resource-development</t>
        </is>
      </c>
      <c r="E558" s="13" t="inlineStr"/>
      <c r="F558" s="74" t="n">
        <v>0</v>
      </c>
      <c r="G558" s="72">
        <f t="array" ref="G558">SUM(IF(ISERROR(FIND(sources[data source],techniques[[#This Row],[data sources]])),0,1)*IF(sources[available]="yes",1,0))</f>
        <v/>
      </c>
      <c r="H558" s="73">
        <f t="array" ref="H558">IF(techniques[[#This Row],[technique]]=techniques[[#This Row],[id]],SUM(IF(techniques[[#This Row],[id]]=techniques[technique],1,0))-1,"")</f>
        <v/>
      </c>
      <c r="I558" s="74">
        <f t="array" ref="I558">IF(SUM(IF($C558=detections[],IF(detections[is active]="yes",1,0),0))&gt;0,SUM(IF($C558=detections[],IF(detections[is active]="yes",1,0),0)),"")</f>
        <v/>
      </c>
      <c r="J558" s="74">
        <f t="array" ref="J55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58" s="74">
        <f>IF(AND(ISNUMBER(techniques[[#This Row],[number of sub techniques]]),techniques[[#This Row],[number of sub techniques]]&gt;1),techniques[number of sub techniques],1)</f>
        <v/>
      </c>
      <c r="L558" s="72" t="n"/>
      <c r="M558" s="74">
        <f t="array" ref="M55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5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58" s="26">
        <f>IF(techniques[[#This Row],[detection rules]]&gt;=techniques[[#This Row],[expected detection rules]],1,techniques[[#This Row],[detection rules]]/techniques[[#This Row],[expected detection rules]])</f>
        <v/>
      </c>
      <c r="P55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58" s="29">
        <f>IF(ISERROR(SEARCH(techniques[[#This Row],[id]],techniques[[#This Row],[name]])),"ERROR","")</f>
        <v/>
      </c>
      <c r="S55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59" ht="12.75" customHeight="1">
      <c r="A559" s="74" t="inlineStr">
        <is>
          <t>T1586</t>
        </is>
      </c>
      <c r="B559" s="74" t="inlineStr">
        <is>
          <t>T1586</t>
        </is>
      </c>
      <c r="C559" s="13" t="inlineStr">
        <is>
          <t>Compromise Accounts (T1586)</t>
        </is>
      </c>
      <c r="D559" s="13" t="inlineStr">
        <is>
          <t>resource-development</t>
        </is>
      </c>
      <c r="E559" s="13" t="inlineStr">
        <is>
          <t>Network Traffic: Network Traffic Content|Persona: Social Media</t>
        </is>
      </c>
      <c r="F559" s="74" t="n">
        <v>2</v>
      </c>
      <c r="G559" s="72">
        <f t="array" ref="G559">SUM(IF(ISERROR(FIND(sources[data source],techniques[[#This Row],[data sources]])),0,1)*IF(sources[available]="yes",1,0))</f>
        <v/>
      </c>
      <c r="H559" s="73">
        <f t="array" ref="H559">IF(techniques[[#This Row],[technique]]=techniques[[#This Row],[id]],SUM(IF(techniques[[#This Row],[id]]=techniques[technique],1,0))-1,"")</f>
        <v/>
      </c>
      <c r="I559" s="74">
        <f t="array" ref="I559">IF(SUM(IF($C559=detections[],IF(detections[is active]="yes",1,0),0))&gt;0,SUM(IF($C559=detections[],IF(detections[is active]="yes",1,0),0)),"")</f>
        <v/>
      </c>
      <c r="J559" s="74">
        <f t="array" ref="J55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59" s="74">
        <f>IF(AND(ISNUMBER(techniques[[#This Row],[number of sub techniques]]),techniques[[#This Row],[number of sub techniques]]&gt;1),techniques[number of sub techniques],1)</f>
        <v/>
      </c>
      <c r="L559" s="72" t="n"/>
      <c r="M559" s="74">
        <f t="array" ref="M55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5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59" s="26">
        <f>IF(techniques[[#This Row],[detection rules]]&gt;=techniques[[#This Row],[expected detection rules]],1,techniques[[#This Row],[detection rules]]/techniques[[#This Row],[expected detection rules]])</f>
        <v/>
      </c>
      <c r="P55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59" s="29">
        <f>IF(ISERROR(SEARCH(techniques[[#This Row],[id]],techniques[[#This Row],[name]])),"ERROR","")</f>
        <v/>
      </c>
      <c r="S55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60" ht="12.75" customHeight="1">
      <c r="A560" s="74" t="inlineStr">
        <is>
          <t>T1586</t>
        </is>
      </c>
      <c r="B560" s="74" t="inlineStr">
        <is>
          <t>T1586.001</t>
        </is>
      </c>
      <c r="C560" s="13" t="inlineStr">
        <is>
          <t>Social Media Accounts (T1586.001)</t>
        </is>
      </c>
      <c r="D560" s="13" t="inlineStr">
        <is>
          <t>resource-development</t>
        </is>
      </c>
      <c r="E560" s="13" t="inlineStr">
        <is>
          <t>Network Traffic: Network Traffic Content|Persona: Social Media</t>
        </is>
      </c>
      <c r="F560" s="74" t="n">
        <v>2</v>
      </c>
      <c r="G560" s="72">
        <f t="array" ref="G560">SUM(IF(ISERROR(FIND(sources[data source],techniques[[#This Row],[data sources]])),0,1)*IF(sources[available]="yes",1,0))</f>
        <v/>
      </c>
      <c r="H560" s="73">
        <f t="array" ref="H560">IF(techniques[[#This Row],[technique]]=techniques[[#This Row],[id]],SUM(IF(techniques[[#This Row],[id]]=techniques[technique],1,0))-1,"")</f>
        <v/>
      </c>
      <c r="I560" s="74">
        <f t="array" ref="I560">IF(SUM(IF($C560=detections[],IF(detections[is active]="yes",1,0),0))&gt;0,SUM(IF($C560=detections[],IF(detections[is active]="yes",1,0),0)),"")</f>
        <v/>
      </c>
      <c r="J560" s="74">
        <f t="array" ref="J56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60" s="74">
        <f>IF(AND(ISNUMBER(techniques[[#This Row],[number of sub techniques]]),techniques[[#This Row],[number of sub techniques]]&gt;1),techniques[number of sub techniques],1)</f>
        <v/>
      </c>
      <c r="L560" s="72" t="n"/>
      <c r="M560" s="74">
        <f t="array" ref="M56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6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60" s="26">
        <f>IF(techniques[[#This Row],[detection rules]]&gt;=techniques[[#This Row],[expected detection rules]],1,techniques[[#This Row],[detection rules]]/techniques[[#This Row],[expected detection rules]])</f>
        <v/>
      </c>
      <c r="P56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60" s="29">
        <f>IF(ISERROR(SEARCH(techniques[[#This Row],[id]],techniques[[#This Row],[name]])),"ERROR","")</f>
        <v/>
      </c>
      <c r="S56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61" ht="12.75" customHeight="1">
      <c r="A561" s="74" t="inlineStr">
        <is>
          <t>T1586</t>
        </is>
      </c>
      <c r="B561" s="74" t="inlineStr">
        <is>
          <t>T1586.002</t>
        </is>
      </c>
      <c r="C561" s="13" t="inlineStr">
        <is>
          <t>Email Accounts (T1586.002)</t>
        </is>
      </c>
      <c r="D561" s="13" t="inlineStr">
        <is>
          <t>resource-development</t>
        </is>
      </c>
      <c r="E561" s="13" t="inlineStr"/>
      <c r="F561" s="74" t="n">
        <v>0</v>
      </c>
      <c r="G561" s="72">
        <f t="array" ref="G561">SUM(IF(ISERROR(FIND(sources[data source],techniques[[#This Row],[data sources]])),0,1)*IF(sources[available]="yes",1,0))</f>
        <v/>
      </c>
      <c r="H561" s="73">
        <f t="array" ref="H561">IF(techniques[[#This Row],[technique]]=techniques[[#This Row],[id]],SUM(IF(techniques[[#This Row],[id]]=techniques[technique],1,0))-1,"")</f>
        <v/>
      </c>
      <c r="I561" s="74">
        <f t="array" ref="I561">IF(SUM(IF($C561=detections[],IF(detections[is active]="yes",1,0),0))&gt;0,SUM(IF($C561=detections[],IF(detections[is active]="yes",1,0),0)),"")</f>
        <v/>
      </c>
      <c r="J561" s="74">
        <f t="array" ref="J56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61" s="74">
        <f>IF(AND(ISNUMBER(techniques[[#This Row],[number of sub techniques]]),techniques[[#This Row],[number of sub techniques]]&gt;1),techniques[number of sub techniques],1)</f>
        <v/>
      </c>
      <c r="L561" s="72" t="n"/>
      <c r="M561" s="74">
        <f t="array" ref="M56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6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61" s="26">
        <f>IF(techniques[[#This Row],[detection rules]]&gt;=techniques[[#This Row],[expected detection rules]],1,techniques[[#This Row],[detection rules]]/techniques[[#This Row],[expected detection rules]])</f>
        <v/>
      </c>
      <c r="P56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61" s="29">
        <f>IF(ISERROR(SEARCH(techniques[[#This Row],[id]],techniques[[#This Row],[name]])),"ERROR","")</f>
        <v/>
      </c>
      <c r="S56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62" ht="12.75" customHeight="1">
      <c r="A562" s="74" t="inlineStr">
        <is>
          <t>T1586</t>
        </is>
      </c>
      <c r="B562" s="74" t="inlineStr">
        <is>
          <t>T1586.003</t>
        </is>
      </c>
      <c r="C562" s="13" t="inlineStr">
        <is>
          <t>Cloud Accounts (T1586.003)</t>
        </is>
      </c>
      <c r="D562" s="13" t="inlineStr">
        <is>
          <t>resource-development</t>
        </is>
      </c>
      <c r="E562" s="13" t="inlineStr"/>
      <c r="F562" s="74" t="n">
        <v>0</v>
      </c>
      <c r="G562" s="72">
        <f t="array" ref="G562">SUM(IF(ISERROR(FIND(sources[data source],techniques[[#This Row],[data sources]])),0,1)*IF(sources[available]="yes",1,0))</f>
        <v/>
      </c>
      <c r="H562" s="73">
        <f t="array" ref="H562">IF(techniques[[#This Row],[technique]]=techniques[[#This Row],[id]],SUM(IF(techniques[[#This Row],[id]]=techniques[technique],1,0))-1,"")</f>
        <v/>
      </c>
      <c r="I562" s="74">
        <f t="array" ref="I562">IF(SUM(IF($C562=detections[],IF(detections[is active]="yes",1,0),0))&gt;0,SUM(IF($C562=detections[],IF(detections[is active]="yes",1,0),0)),"")</f>
        <v/>
      </c>
      <c r="J562" s="74">
        <f t="array" ref="J56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62" s="74">
        <f>IF(AND(ISNUMBER(techniques[[#This Row],[number of sub techniques]]),techniques[[#This Row],[number of sub techniques]]&gt;1),techniques[number of sub techniques],1)</f>
        <v/>
      </c>
      <c r="L562" s="72" t="n"/>
      <c r="M562" s="74">
        <f t="array" ref="M56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6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62" s="26">
        <f>IF(techniques[[#This Row],[detection rules]]&gt;=techniques[[#This Row],[expected detection rules]],1,techniques[[#This Row],[detection rules]]/techniques[[#This Row],[expected detection rules]])</f>
        <v/>
      </c>
      <c r="P56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62" s="29">
        <f>IF(ISERROR(SEARCH(techniques[[#This Row],[id]],techniques[[#This Row],[name]])),"ERROR","")</f>
        <v/>
      </c>
      <c r="S56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63" ht="12.75" customHeight="1">
      <c r="A563" s="74" t="inlineStr">
        <is>
          <t>T1587</t>
        </is>
      </c>
      <c r="B563" s="74" t="inlineStr">
        <is>
          <t>T1587</t>
        </is>
      </c>
      <c r="C563" s="13" t="inlineStr">
        <is>
          <t>Develop Capabilities (T1587)</t>
        </is>
      </c>
      <c r="D563" s="13" t="inlineStr">
        <is>
          <t>resource-development</t>
        </is>
      </c>
      <c r="E563" s="13" t="inlineStr">
        <is>
          <t>Internet Scan: Response Content|Malware Repository: Malware Content|Malware Repository: Malware Metadata</t>
        </is>
      </c>
      <c r="F563" s="74" t="n">
        <v>3</v>
      </c>
      <c r="G563" s="72">
        <f t="array" ref="G563">SUM(IF(ISERROR(FIND(sources[data source],techniques[[#This Row],[data sources]])),0,1)*IF(sources[available]="yes",1,0))</f>
        <v/>
      </c>
      <c r="H563" s="73">
        <f t="array" ref="H563">IF(techniques[[#This Row],[technique]]=techniques[[#This Row],[id]],SUM(IF(techniques[[#This Row],[id]]=techniques[technique],1,0))-1,"")</f>
        <v/>
      </c>
      <c r="I563" s="74">
        <f t="array" ref="I563">IF(SUM(IF($C563=detections[],IF(detections[is active]="yes",1,0),0))&gt;0,SUM(IF($C563=detections[],IF(detections[is active]="yes",1,0),0)),"")</f>
        <v/>
      </c>
      <c r="J563" s="74">
        <f t="array" ref="J56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63" s="74">
        <f>IF(AND(ISNUMBER(techniques[[#This Row],[number of sub techniques]]),techniques[[#This Row],[number of sub techniques]]&gt;1),techniques[number of sub techniques],1)</f>
        <v/>
      </c>
      <c r="L563" s="72" t="n"/>
      <c r="M563" s="74">
        <f t="array" ref="M56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6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63" s="26">
        <f>IF(techniques[[#This Row],[detection rules]]&gt;=techniques[[#This Row],[expected detection rules]],1,techniques[[#This Row],[detection rules]]/techniques[[#This Row],[expected detection rules]])</f>
        <v/>
      </c>
      <c r="P56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63" s="29">
        <f>IF(ISERROR(SEARCH(techniques[[#This Row],[id]],techniques[[#This Row],[name]])),"ERROR","")</f>
        <v/>
      </c>
      <c r="S56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64" ht="12.75" customHeight="1">
      <c r="A564" s="74" t="inlineStr">
        <is>
          <t>T1587</t>
        </is>
      </c>
      <c r="B564" s="74" t="inlineStr">
        <is>
          <t>T1587.001</t>
        </is>
      </c>
      <c r="C564" s="13" t="inlineStr">
        <is>
          <t>Malware (T1587.001)</t>
        </is>
      </c>
      <c r="D564" s="13" t="inlineStr">
        <is>
          <t>resource-development</t>
        </is>
      </c>
      <c r="E564" s="13" t="inlineStr">
        <is>
          <t>Malware Repository: Malware Content|Malware Repository: Malware Metadata</t>
        </is>
      </c>
      <c r="F564" s="74" t="n">
        <v>2</v>
      </c>
      <c r="G564" s="72">
        <f t="array" ref="G564">SUM(IF(ISERROR(FIND(sources[data source],techniques[[#This Row],[data sources]])),0,1)*IF(sources[available]="yes",1,0))</f>
        <v/>
      </c>
      <c r="H564" s="73">
        <f t="array" ref="H564">IF(techniques[[#This Row],[technique]]=techniques[[#This Row],[id]],SUM(IF(techniques[[#This Row],[id]]=techniques[technique],1,0))-1,"")</f>
        <v/>
      </c>
      <c r="I564" s="74">
        <f t="array" ref="I564">IF(SUM(IF($C564=detections[],IF(detections[is active]="yes",1,0),0))&gt;0,SUM(IF($C564=detections[],IF(detections[is active]="yes",1,0),0)),"")</f>
        <v/>
      </c>
      <c r="J564" s="74">
        <f t="array" ref="J56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64" s="74">
        <f>IF(AND(ISNUMBER(techniques[[#This Row],[number of sub techniques]]),techniques[[#This Row],[number of sub techniques]]&gt;1),techniques[number of sub techniques],1)</f>
        <v/>
      </c>
      <c r="L564" s="72" t="n"/>
      <c r="M564" s="74">
        <f t="array" ref="M56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6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64" s="26">
        <f>IF(techniques[[#This Row],[detection rules]]&gt;=techniques[[#This Row],[expected detection rules]],1,techniques[[#This Row],[detection rules]]/techniques[[#This Row],[expected detection rules]])</f>
        <v/>
      </c>
      <c r="P56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64" s="29">
        <f>IF(ISERROR(SEARCH(techniques[[#This Row],[id]],techniques[[#This Row],[name]])),"ERROR","")</f>
        <v/>
      </c>
      <c r="S56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65" ht="12.75" customHeight="1">
      <c r="A565" s="74" t="inlineStr">
        <is>
          <t>T1587</t>
        </is>
      </c>
      <c r="B565" s="74" t="inlineStr">
        <is>
          <t>T1587.002</t>
        </is>
      </c>
      <c r="C565" s="13" t="inlineStr">
        <is>
          <t>Code Signing Certificates (T1587.002)</t>
        </is>
      </c>
      <c r="D565" s="13" t="inlineStr">
        <is>
          <t>resource-development</t>
        </is>
      </c>
      <c r="E565" s="13" t="inlineStr">
        <is>
          <t>Malware Repository: Malware Metadata</t>
        </is>
      </c>
      <c r="F565" s="74" t="n">
        <v>1</v>
      </c>
      <c r="G565" s="72">
        <f t="array" ref="G565">SUM(IF(ISERROR(FIND(sources[data source],techniques[[#This Row],[data sources]])),0,1)*IF(sources[available]="yes",1,0))</f>
        <v/>
      </c>
      <c r="H565" s="73">
        <f t="array" ref="H565">IF(techniques[[#This Row],[technique]]=techniques[[#This Row],[id]],SUM(IF(techniques[[#This Row],[id]]=techniques[technique],1,0))-1,"")</f>
        <v/>
      </c>
      <c r="I565" s="74">
        <f t="array" ref="I565">IF(SUM(IF($C565=detections[],IF(detections[is active]="yes",1,0),0))&gt;0,SUM(IF($C565=detections[],IF(detections[is active]="yes",1,0),0)),"")</f>
        <v/>
      </c>
      <c r="J565" s="74">
        <f t="array" ref="J56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65" s="74">
        <f>IF(AND(ISNUMBER(techniques[[#This Row],[number of sub techniques]]),techniques[[#This Row],[number of sub techniques]]&gt;1),techniques[number of sub techniques],1)</f>
        <v/>
      </c>
      <c r="L565" s="72" t="n"/>
      <c r="M565" s="74">
        <f t="array" ref="M56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6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65" s="26">
        <f>IF(techniques[[#This Row],[detection rules]]&gt;=techniques[[#This Row],[expected detection rules]],1,techniques[[#This Row],[detection rules]]/techniques[[#This Row],[expected detection rules]])</f>
        <v/>
      </c>
      <c r="P56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65" s="29">
        <f>IF(ISERROR(SEARCH(techniques[[#This Row],[id]],techniques[[#This Row],[name]])),"ERROR","")</f>
        <v/>
      </c>
      <c r="S56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66" ht="12.75" customHeight="1">
      <c r="A566" s="74" t="inlineStr">
        <is>
          <t>T1587</t>
        </is>
      </c>
      <c r="B566" s="74" t="inlineStr">
        <is>
          <t>T1587.003</t>
        </is>
      </c>
      <c r="C566" s="13" t="inlineStr">
        <is>
          <t>Digital Certificates (T1587.003)</t>
        </is>
      </c>
      <c r="D566" s="13" t="inlineStr">
        <is>
          <t>resource-development</t>
        </is>
      </c>
      <c r="E566" s="13" t="inlineStr">
        <is>
          <t>Internet Scan: Response Content</t>
        </is>
      </c>
      <c r="F566" s="74" t="n">
        <v>1</v>
      </c>
      <c r="G566" s="72">
        <f t="array" ref="G566">SUM(IF(ISERROR(FIND(sources[data source],techniques[[#This Row],[data sources]])),0,1)*IF(sources[available]="yes",1,0))</f>
        <v/>
      </c>
      <c r="H566" s="73">
        <f t="array" ref="H566">IF(techniques[[#This Row],[technique]]=techniques[[#This Row],[id]],SUM(IF(techniques[[#This Row],[id]]=techniques[technique],1,0))-1,"")</f>
        <v/>
      </c>
      <c r="I566" s="74">
        <f t="array" ref="I566">IF(SUM(IF($C566=detections[],IF(detections[is active]="yes",1,0),0))&gt;0,SUM(IF($C566=detections[],IF(detections[is active]="yes",1,0),0)),"")</f>
        <v/>
      </c>
      <c r="J566" s="74">
        <f t="array" ref="J56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66" s="74">
        <f>IF(AND(ISNUMBER(techniques[[#This Row],[number of sub techniques]]),techniques[[#This Row],[number of sub techniques]]&gt;1),techniques[number of sub techniques],1)</f>
        <v/>
      </c>
      <c r="L566" s="72" t="n"/>
      <c r="M566" s="74">
        <f t="array" ref="M56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6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66" s="26">
        <f>IF(techniques[[#This Row],[detection rules]]&gt;=techniques[[#This Row],[expected detection rules]],1,techniques[[#This Row],[detection rules]]/techniques[[#This Row],[expected detection rules]])</f>
        <v/>
      </c>
      <c r="P56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66" s="29">
        <f>IF(ISERROR(SEARCH(techniques[[#This Row],[id]],techniques[[#This Row],[name]])),"ERROR","")</f>
        <v/>
      </c>
      <c r="S56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67" ht="12.75" customHeight="1">
      <c r="A567" s="74" t="inlineStr">
        <is>
          <t>T1587</t>
        </is>
      </c>
      <c r="B567" s="74" t="inlineStr">
        <is>
          <t>T1587.004</t>
        </is>
      </c>
      <c r="C567" s="13" t="inlineStr">
        <is>
          <t>Exploits (T1587.004)</t>
        </is>
      </c>
      <c r="D567" s="13" t="inlineStr">
        <is>
          <t>resource-development</t>
        </is>
      </c>
      <c r="E567" s="13" t="inlineStr"/>
      <c r="F567" s="74" t="n">
        <v>0</v>
      </c>
      <c r="G567" s="72">
        <f t="array" ref="G567">SUM(IF(ISERROR(FIND(sources[data source],techniques[[#This Row],[data sources]])),0,1)*IF(sources[available]="yes",1,0))</f>
        <v/>
      </c>
      <c r="H567" s="73">
        <f t="array" ref="H567">IF(techniques[[#This Row],[technique]]=techniques[[#This Row],[id]],SUM(IF(techniques[[#This Row],[id]]=techniques[technique],1,0))-1,"")</f>
        <v/>
      </c>
      <c r="I567" s="74">
        <f t="array" ref="I567">IF(SUM(IF($C567=detections[],IF(detections[is active]="yes",1,0),0))&gt;0,SUM(IF($C567=detections[],IF(detections[is active]="yes",1,0),0)),"")</f>
        <v/>
      </c>
      <c r="J567" s="74">
        <f t="array" ref="J56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67" s="74">
        <f>IF(AND(ISNUMBER(techniques[[#This Row],[number of sub techniques]]),techniques[[#This Row],[number of sub techniques]]&gt;1),techniques[number of sub techniques],1)</f>
        <v/>
      </c>
      <c r="L567" s="72" t="n"/>
      <c r="M567" s="74">
        <f t="array" ref="M56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6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67" s="26">
        <f>IF(techniques[[#This Row],[detection rules]]&gt;=techniques[[#This Row],[expected detection rules]],1,techniques[[#This Row],[detection rules]]/techniques[[#This Row],[expected detection rules]])</f>
        <v/>
      </c>
      <c r="P56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67" s="29">
        <f>IF(ISERROR(SEARCH(techniques[[#This Row],[id]],techniques[[#This Row],[name]])),"ERROR","")</f>
        <v/>
      </c>
      <c r="S56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68" ht="12.75" customHeight="1">
      <c r="A568" s="74" t="inlineStr">
        <is>
          <t>T1588</t>
        </is>
      </c>
      <c r="B568" s="74" t="inlineStr">
        <is>
          <t>T1588</t>
        </is>
      </c>
      <c r="C568" s="13" t="inlineStr">
        <is>
          <t>Obtain Capabilities (T1588)</t>
        </is>
      </c>
      <c r="D568" s="13" t="inlineStr">
        <is>
          <t>resource-development</t>
        </is>
      </c>
      <c r="E568" s="13" t="inlineStr">
        <is>
          <t>Certificate: Certificate Registration|Internet Scan: Response Content|Malware Repository: Malware Content|Malware Repository: Malware Metadata</t>
        </is>
      </c>
      <c r="F568" s="74" t="n">
        <v>4</v>
      </c>
      <c r="G568" s="72">
        <f t="array" ref="G568">SUM(IF(ISERROR(FIND(sources[data source],techniques[[#This Row],[data sources]])),0,1)*IF(sources[available]="yes",1,0))</f>
        <v/>
      </c>
      <c r="H568" s="73">
        <f t="array" ref="H568">IF(techniques[[#This Row],[technique]]=techniques[[#This Row],[id]],SUM(IF(techniques[[#This Row],[id]]=techniques[technique],1,0))-1,"")</f>
        <v/>
      </c>
      <c r="I568" s="74">
        <f t="array" ref="I568">IF(SUM(IF($C568=detections[],IF(detections[is active]="yes",1,0),0))&gt;0,SUM(IF($C568=detections[],IF(detections[is active]="yes",1,0),0)),"")</f>
        <v/>
      </c>
      <c r="J568" s="74">
        <f t="array" ref="J56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68" s="74">
        <f>IF(AND(ISNUMBER(techniques[[#This Row],[number of sub techniques]]),techniques[[#This Row],[number of sub techniques]]&gt;1),techniques[number of sub techniques],1)</f>
        <v/>
      </c>
      <c r="L568" s="72" t="n"/>
      <c r="M568" s="74">
        <f t="array" ref="M56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6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68" s="26">
        <f>IF(techniques[[#This Row],[detection rules]]&gt;=techniques[[#This Row],[expected detection rules]],1,techniques[[#This Row],[detection rules]]/techniques[[#This Row],[expected detection rules]])</f>
        <v/>
      </c>
      <c r="P56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68" s="29">
        <f>IF(ISERROR(SEARCH(techniques[[#This Row],[id]],techniques[[#This Row],[name]])),"ERROR","")</f>
        <v/>
      </c>
      <c r="S56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69" ht="12.75" customHeight="1">
      <c r="A569" s="74" t="inlineStr">
        <is>
          <t>T1588</t>
        </is>
      </c>
      <c r="B569" s="74" t="inlineStr">
        <is>
          <t>T1588.001</t>
        </is>
      </c>
      <c r="C569" s="13" t="inlineStr">
        <is>
          <t>Malware (T1588.001)</t>
        </is>
      </c>
      <c r="D569" s="13" t="inlineStr">
        <is>
          <t>resource-development</t>
        </is>
      </c>
      <c r="E569" s="13" t="inlineStr">
        <is>
          <t>Malware Repository: Malware Content|Malware Repository: Malware Metadata</t>
        </is>
      </c>
      <c r="F569" s="74" t="n">
        <v>2</v>
      </c>
      <c r="G569" s="72">
        <f t="array" ref="G569">SUM(IF(ISERROR(FIND(sources[data source],techniques[[#This Row],[data sources]])),0,1)*IF(sources[available]="yes",1,0))</f>
        <v/>
      </c>
      <c r="H569" s="73">
        <f t="array" ref="H569">IF(techniques[[#This Row],[technique]]=techniques[[#This Row],[id]],SUM(IF(techniques[[#This Row],[id]]=techniques[technique],1,0))-1,"")</f>
        <v/>
      </c>
      <c r="I569" s="74">
        <f t="array" ref="I569">IF(SUM(IF($C569=detections[],IF(detections[is active]="yes",1,0),0))&gt;0,SUM(IF($C569=detections[],IF(detections[is active]="yes",1,0),0)),"")</f>
        <v/>
      </c>
      <c r="J569" s="74">
        <f t="array" ref="J56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69" s="74">
        <f>IF(AND(ISNUMBER(techniques[[#This Row],[number of sub techniques]]),techniques[[#This Row],[number of sub techniques]]&gt;1),techniques[number of sub techniques],1)</f>
        <v/>
      </c>
      <c r="L569" s="72" t="n"/>
      <c r="M569" s="74">
        <f t="array" ref="M56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6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69" s="26">
        <f>IF(techniques[[#This Row],[detection rules]]&gt;=techniques[[#This Row],[expected detection rules]],1,techniques[[#This Row],[detection rules]]/techniques[[#This Row],[expected detection rules]])</f>
        <v/>
      </c>
      <c r="P56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69" s="29">
        <f>IF(ISERROR(SEARCH(techniques[[#This Row],[id]],techniques[[#This Row],[name]])),"ERROR","")</f>
        <v/>
      </c>
      <c r="S56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70" ht="12.75" customHeight="1">
      <c r="A570" s="74" t="inlineStr">
        <is>
          <t>T1588</t>
        </is>
      </c>
      <c r="B570" s="74" t="inlineStr">
        <is>
          <t>T1588.002</t>
        </is>
      </c>
      <c r="C570" s="13" t="inlineStr">
        <is>
          <t>Tool (T1588.002)</t>
        </is>
      </c>
      <c r="D570" s="13" t="inlineStr">
        <is>
          <t>resource-development</t>
        </is>
      </c>
      <c r="E570" s="13" t="inlineStr">
        <is>
          <t>Malware Repository: Malware Metadata</t>
        </is>
      </c>
      <c r="F570" s="74" t="n">
        <v>1</v>
      </c>
      <c r="G570" s="72">
        <f t="array" ref="G570">SUM(IF(ISERROR(FIND(sources[data source],techniques[[#This Row],[data sources]])),0,1)*IF(sources[available]="yes",1,0))</f>
        <v/>
      </c>
      <c r="H570" s="73">
        <f t="array" ref="H570">IF(techniques[[#This Row],[technique]]=techniques[[#This Row],[id]],SUM(IF(techniques[[#This Row],[id]]=techniques[technique],1,0))-1,"")</f>
        <v/>
      </c>
      <c r="I570" s="74">
        <f t="array" ref="I570">IF(SUM(IF($C570=detections[],IF(detections[is active]="yes",1,0),0))&gt;0,SUM(IF($C570=detections[],IF(detections[is active]="yes",1,0),0)),"")</f>
        <v/>
      </c>
      <c r="J570" s="74">
        <f t="array" ref="J57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70" s="74">
        <f>IF(AND(ISNUMBER(techniques[[#This Row],[number of sub techniques]]),techniques[[#This Row],[number of sub techniques]]&gt;1),techniques[number of sub techniques],1)</f>
        <v/>
      </c>
      <c r="L570" s="72" t="n"/>
      <c r="M570" s="74">
        <f t="array" ref="M57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7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70" s="26">
        <f>IF(techniques[[#This Row],[detection rules]]&gt;=techniques[[#This Row],[expected detection rules]],1,techniques[[#This Row],[detection rules]]/techniques[[#This Row],[expected detection rules]])</f>
        <v/>
      </c>
      <c r="P57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70" s="29">
        <f>IF(ISERROR(SEARCH(techniques[[#This Row],[id]],techniques[[#This Row],[name]])),"ERROR","")</f>
        <v/>
      </c>
      <c r="S57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71" ht="12.75" customHeight="1">
      <c r="A571" s="74" t="inlineStr">
        <is>
          <t>T1588</t>
        </is>
      </c>
      <c r="B571" s="74" t="inlineStr">
        <is>
          <t>T1588.003</t>
        </is>
      </c>
      <c r="C571" s="13" t="inlineStr">
        <is>
          <t>Code Signing Certificates (T1588.003)</t>
        </is>
      </c>
      <c r="D571" s="13" t="inlineStr">
        <is>
          <t>resource-development</t>
        </is>
      </c>
      <c r="E571" s="13" t="inlineStr">
        <is>
          <t>Malware Repository: Malware Metadata</t>
        </is>
      </c>
      <c r="F571" s="74" t="n">
        <v>1</v>
      </c>
      <c r="G571" s="72">
        <f t="array" ref="G571">SUM(IF(ISERROR(FIND(sources[data source],techniques[[#This Row],[data sources]])),0,1)*IF(sources[available]="yes",1,0))</f>
        <v/>
      </c>
      <c r="H571" s="73">
        <f t="array" ref="H571">IF(techniques[[#This Row],[technique]]=techniques[[#This Row],[id]],SUM(IF(techniques[[#This Row],[id]]=techniques[technique],1,0))-1,"")</f>
        <v/>
      </c>
      <c r="I571" s="74">
        <f t="array" ref="I571">IF(SUM(IF($C571=detections[],IF(detections[is active]="yes",1,0),0))&gt;0,SUM(IF($C571=detections[],IF(detections[is active]="yes",1,0),0)),"")</f>
        <v/>
      </c>
      <c r="J571" s="74">
        <f t="array" ref="J57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71" s="74">
        <f>IF(AND(ISNUMBER(techniques[[#This Row],[number of sub techniques]]),techniques[[#This Row],[number of sub techniques]]&gt;1),techniques[number of sub techniques],1)</f>
        <v/>
      </c>
      <c r="L571" s="72" t="n"/>
      <c r="M571" s="74">
        <f t="array" ref="M57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7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71" s="26">
        <f>IF(techniques[[#This Row],[detection rules]]&gt;=techniques[[#This Row],[expected detection rules]],1,techniques[[#This Row],[detection rules]]/techniques[[#This Row],[expected detection rules]])</f>
        <v/>
      </c>
      <c r="P57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71" s="29">
        <f>IF(ISERROR(SEARCH(techniques[[#This Row],[id]],techniques[[#This Row],[name]])),"ERROR","")</f>
        <v/>
      </c>
      <c r="S57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72" ht="12.75" customHeight="1">
      <c r="A572" s="74" t="inlineStr">
        <is>
          <t>T1588</t>
        </is>
      </c>
      <c r="B572" s="74" t="inlineStr">
        <is>
          <t>T1588.004</t>
        </is>
      </c>
      <c r="C572" s="13" t="inlineStr">
        <is>
          <t>Digital Certificates (T1588.004)</t>
        </is>
      </c>
      <c r="D572" s="13" t="inlineStr">
        <is>
          <t>resource-development</t>
        </is>
      </c>
      <c r="E572" s="13" t="inlineStr">
        <is>
          <t>Certificate: Certificate Registration|Internet Scan: Response Content</t>
        </is>
      </c>
      <c r="F572" s="74" t="n">
        <v>2</v>
      </c>
      <c r="G572" s="72">
        <f t="array" ref="G572">SUM(IF(ISERROR(FIND(sources[data source],techniques[[#This Row],[data sources]])),0,1)*IF(sources[available]="yes",1,0))</f>
        <v/>
      </c>
      <c r="H572" s="73">
        <f t="array" ref="H572">IF(techniques[[#This Row],[technique]]=techniques[[#This Row],[id]],SUM(IF(techniques[[#This Row],[id]]=techniques[technique],1,0))-1,"")</f>
        <v/>
      </c>
      <c r="I572" s="74">
        <f t="array" ref="I572">IF(SUM(IF($C572=detections[],IF(detections[is active]="yes",1,0),0))&gt;0,SUM(IF($C572=detections[],IF(detections[is active]="yes",1,0),0)),"")</f>
        <v/>
      </c>
      <c r="J572" s="74">
        <f t="array" ref="J57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72" s="74">
        <f>IF(AND(ISNUMBER(techniques[[#This Row],[number of sub techniques]]),techniques[[#This Row],[number of sub techniques]]&gt;1),techniques[number of sub techniques],1)</f>
        <v/>
      </c>
      <c r="L572" s="72" t="n"/>
      <c r="M572" s="74">
        <f t="array" ref="M57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7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72" s="26">
        <f>IF(techniques[[#This Row],[detection rules]]&gt;=techniques[[#This Row],[expected detection rules]],1,techniques[[#This Row],[detection rules]]/techniques[[#This Row],[expected detection rules]])</f>
        <v/>
      </c>
      <c r="P57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72" s="29">
        <f>IF(ISERROR(SEARCH(techniques[[#This Row],[id]],techniques[[#This Row],[name]])),"ERROR","")</f>
        <v/>
      </c>
      <c r="S57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73" ht="12.75" customHeight="1">
      <c r="A573" s="74" t="inlineStr">
        <is>
          <t>T1588</t>
        </is>
      </c>
      <c r="B573" s="74" t="inlineStr">
        <is>
          <t>T1588.005</t>
        </is>
      </c>
      <c r="C573" s="13" t="inlineStr">
        <is>
          <t>Exploits (T1588.005)</t>
        </is>
      </c>
      <c r="D573" s="13" t="inlineStr">
        <is>
          <t>resource-development</t>
        </is>
      </c>
      <c r="E573" s="13" t="inlineStr"/>
      <c r="F573" s="74" t="n">
        <v>0</v>
      </c>
      <c r="G573" s="72">
        <f t="array" ref="G573">SUM(IF(ISERROR(FIND(sources[data source],techniques[[#This Row],[data sources]])),0,1)*IF(sources[available]="yes",1,0))</f>
        <v/>
      </c>
      <c r="H573" s="73">
        <f t="array" ref="H573">IF(techniques[[#This Row],[technique]]=techniques[[#This Row],[id]],SUM(IF(techniques[[#This Row],[id]]=techniques[technique],1,0))-1,"")</f>
        <v/>
      </c>
      <c r="I573" s="74">
        <f t="array" ref="I573">IF(SUM(IF($C573=detections[],IF(detections[is active]="yes",1,0),0))&gt;0,SUM(IF($C573=detections[],IF(detections[is active]="yes",1,0),0)),"")</f>
        <v/>
      </c>
      <c r="J573" s="74">
        <f t="array" ref="J57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73" s="74">
        <f>IF(AND(ISNUMBER(techniques[[#This Row],[number of sub techniques]]),techniques[[#This Row],[number of sub techniques]]&gt;1),techniques[number of sub techniques],1)</f>
        <v/>
      </c>
      <c r="L573" s="72" t="n"/>
      <c r="M573" s="74">
        <f t="array" ref="M57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7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73" s="26">
        <f>IF(techniques[[#This Row],[detection rules]]&gt;=techniques[[#This Row],[expected detection rules]],1,techniques[[#This Row],[detection rules]]/techniques[[#This Row],[expected detection rules]])</f>
        <v/>
      </c>
      <c r="P57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73" s="29">
        <f>IF(ISERROR(SEARCH(techniques[[#This Row],[id]],techniques[[#This Row],[name]])),"ERROR","")</f>
        <v/>
      </c>
      <c r="S57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74" ht="12.75" customHeight="1">
      <c r="A574" s="74" t="inlineStr">
        <is>
          <t>T1588</t>
        </is>
      </c>
      <c r="B574" s="74" t="inlineStr">
        <is>
          <t>T1588.006</t>
        </is>
      </c>
      <c r="C574" s="13" t="inlineStr">
        <is>
          <t>Vulnerabilities (T1588.006)</t>
        </is>
      </c>
      <c r="D574" s="13" t="inlineStr">
        <is>
          <t>resource-development</t>
        </is>
      </c>
      <c r="E574" s="13" t="inlineStr"/>
      <c r="F574" s="74" t="n">
        <v>0</v>
      </c>
      <c r="G574" s="72">
        <f t="array" ref="G574">SUM(IF(ISERROR(FIND(sources[data source],techniques[[#This Row],[data sources]])),0,1)*IF(sources[available]="yes",1,0))</f>
        <v/>
      </c>
      <c r="H574" s="73">
        <f t="array" ref="H574">IF(techniques[[#This Row],[technique]]=techniques[[#This Row],[id]],SUM(IF(techniques[[#This Row],[id]]=techniques[technique],1,0))-1,"")</f>
        <v/>
      </c>
      <c r="I574" s="74">
        <f t="array" ref="I574">IF(SUM(IF($C574=detections[],IF(detections[is active]="yes",1,0),0))&gt;0,SUM(IF($C574=detections[],IF(detections[is active]="yes",1,0),0)),"")</f>
        <v/>
      </c>
      <c r="J574" s="74">
        <f t="array" ref="J57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74" s="74">
        <f>IF(AND(ISNUMBER(techniques[[#This Row],[number of sub techniques]]),techniques[[#This Row],[number of sub techniques]]&gt;1),techniques[number of sub techniques],1)</f>
        <v/>
      </c>
      <c r="L574" s="72" t="n"/>
      <c r="M574" s="74">
        <f t="array" ref="M57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7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74" s="26">
        <f>IF(techniques[[#This Row],[detection rules]]&gt;=techniques[[#This Row],[expected detection rules]],1,techniques[[#This Row],[detection rules]]/techniques[[#This Row],[expected detection rules]])</f>
        <v/>
      </c>
      <c r="P57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74" s="29">
        <f>IF(ISERROR(SEARCH(techniques[[#This Row],[id]],techniques[[#This Row],[name]])),"ERROR","")</f>
        <v/>
      </c>
      <c r="S57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75" ht="12.75" customHeight="1">
      <c r="A575" s="74" t="inlineStr">
        <is>
          <t>T1588</t>
        </is>
      </c>
      <c r="B575" s="74" t="inlineStr">
        <is>
          <t>T1588.007</t>
        </is>
      </c>
      <c r="C575" s="13" t="inlineStr">
        <is>
          <t>Artificial Intelligence (T1588.007)</t>
        </is>
      </c>
      <c r="D575" s="13" t="inlineStr">
        <is>
          <t>resource-development</t>
        </is>
      </c>
      <c r="E575" s="13" t="inlineStr"/>
      <c r="F575" s="74" t="n">
        <v>0</v>
      </c>
      <c r="G575" s="72">
        <f t="array" ref="G575">SUM(IF(ISERROR(FIND(sources[data source],techniques[[#This Row],[data sources]])),0,1)*IF(sources[available]="yes",1,0))</f>
        <v/>
      </c>
      <c r="H575" s="73">
        <f t="array" ref="H575">IF(techniques[[#This Row],[technique]]=techniques[[#This Row],[id]],SUM(IF(techniques[[#This Row],[id]]=techniques[technique],1,0))-1,"")</f>
        <v/>
      </c>
      <c r="I575" s="74">
        <f t="array" ref="I575">IF(SUM(IF($C575=detections[],IF(detections[is active]="yes",1,0),0))&gt;0,SUM(IF($C575=detections[],IF(detections[is active]="yes",1,0),0)),"")</f>
        <v/>
      </c>
      <c r="J575" s="74">
        <f t="array" ref="J57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75" s="74">
        <f>IF(AND(ISNUMBER(techniques[[#This Row],[number of sub techniques]]),techniques[[#This Row],[number of sub techniques]]&gt;1),techniques[number of sub techniques],1)</f>
        <v/>
      </c>
      <c r="L575" s="72" t="n"/>
      <c r="M575" s="74">
        <f t="array" ref="M57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7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75" s="26">
        <f>IF(techniques[[#This Row],[detection rules]]&gt;=techniques[[#This Row],[expected detection rules]],1,techniques[[#This Row],[detection rules]]/techniques[[#This Row],[expected detection rules]])</f>
        <v/>
      </c>
      <c r="P57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75" s="29">
        <f>IF(ISERROR(SEARCH(techniques[[#This Row],[id]],techniques[[#This Row],[name]])),"ERROR","")</f>
        <v/>
      </c>
      <c r="S57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76" ht="12.75" customHeight="1">
      <c r="A576" s="74" t="inlineStr">
        <is>
          <t>T1589</t>
        </is>
      </c>
      <c r="B576" s="74" t="inlineStr">
        <is>
          <t>T1589</t>
        </is>
      </c>
      <c r="C576" s="13" t="inlineStr">
        <is>
          <t>Gather Victim Identity Information (T1589)</t>
        </is>
      </c>
      <c r="D576" s="13" t="inlineStr">
        <is>
          <t>reconnaissance</t>
        </is>
      </c>
      <c r="E576" s="13" t="inlineStr">
        <is>
          <t>Network Traffic: Network Traffic Content</t>
        </is>
      </c>
      <c r="F576" s="74" t="n">
        <v>1</v>
      </c>
      <c r="G576" s="72">
        <f t="array" ref="G576">SUM(IF(ISERROR(FIND(sources[data source],techniques[[#This Row],[data sources]])),0,1)*IF(sources[available]="yes",1,0))</f>
        <v/>
      </c>
      <c r="H576" s="73">
        <f t="array" ref="H576">IF(techniques[[#This Row],[technique]]=techniques[[#This Row],[id]],SUM(IF(techniques[[#This Row],[id]]=techniques[technique],1,0))-1,"")</f>
        <v/>
      </c>
      <c r="I576" s="74">
        <f t="array" ref="I576">IF(SUM(IF($C576=detections[],IF(detections[is active]="yes",1,0),0))&gt;0,SUM(IF($C576=detections[],IF(detections[is active]="yes",1,0),0)),"")</f>
        <v/>
      </c>
      <c r="J576" s="74">
        <f t="array" ref="J57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76" s="74">
        <f>IF(AND(ISNUMBER(techniques[[#This Row],[number of sub techniques]]),techniques[[#This Row],[number of sub techniques]]&gt;1),techniques[number of sub techniques],1)</f>
        <v/>
      </c>
      <c r="L576" s="72" t="n"/>
      <c r="M576" s="74">
        <f t="array" ref="M57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7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76" s="26">
        <f>IF(techniques[[#This Row],[detection rules]]&gt;=techniques[[#This Row],[expected detection rules]],1,techniques[[#This Row],[detection rules]]/techniques[[#This Row],[expected detection rules]])</f>
        <v/>
      </c>
      <c r="P57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76" s="29">
        <f>IF(ISERROR(SEARCH(techniques[[#This Row],[id]],techniques[[#This Row],[name]])),"ERROR","")</f>
        <v/>
      </c>
      <c r="S57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77" ht="12.75" customHeight="1">
      <c r="A577" s="74" t="inlineStr">
        <is>
          <t>T1589</t>
        </is>
      </c>
      <c r="B577" s="74" t="inlineStr">
        <is>
          <t>T1589.001</t>
        </is>
      </c>
      <c r="C577" s="13" t="inlineStr">
        <is>
          <t>Credentials (T1589.001)</t>
        </is>
      </c>
      <c r="D577" s="13" t="inlineStr">
        <is>
          <t>reconnaissance</t>
        </is>
      </c>
      <c r="E577" s="13" t="inlineStr"/>
      <c r="F577" s="74" t="n">
        <v>0</v>
      </c>
      <c r="G577" s="72">
        <f t="array" ref="G577">SUM(IF(ISERROR(FIND(sources[data source],techniques[[#This Row],[data sources]])),0,1)*IF(sources[available]="yes",1,0))</f>
        <v/>
      </c>
      <c r="H577" s="73">
        <f t="array" ref="H577">IF(techniques[[#This Row],[technique]]=techniques[[#This Row],[id]],SUM(IF(techniques[[#This Row],[id]]=techniques[technique],1,0))-1,"")</f>
        <v/>
      </c>
      <c r="I577" s="74">
        <f t="array" ref="I577">IF(SUM(IF($C577=detections[],IF(detections[is active]="yes",1,0),0))&gt;0,SUM(IF($C577=detections[],IF(detections[is active]="yes",1,0),0)),"")</f>
        <v/>
      </c>
      <c r="J577" s="74">
        <f t="array" ref="J57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77" s="74">
        <f>IF(AND(ISNUMBER(techniques[[#This Row],[number of sub techniques]]),techniques[[#This Row],[number of sub techniques]]&gt;1),techniques[number of sub techniques],1)</f>
        <v/>
      </c>
      <c r="L577" s="72" t="n"/>
      <c r="M577" s="74">
        <f t="array" ref="M57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7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77" s="26">
        <f>IF(techniques[[#This Row],[detection rules]]&gt;=techniques[[#This Row],[expected detection rules]],1,techniques[[#This Row],[detection rules]]/techniques[[#This Row],[expected detection rules]])</f>
        <v/>
      </c>
      <c r="P57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77" s="29">
        <f>IF(ISERROR(SEARCH(techniques[[#This Row],[id]],techniques[[#This Row],[name]])),"ERROR","")</f>
        <v/>
      </c>
      <c r="S57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78" ht="12.75" customHeight="1">
      <c r="A578" s="74" t="inlineStr">
        <is>
          <t>T1589</t>
        </is>
      </c>
      <c r="B578" s="74" t="inlineStr">
        <is>
          <t>T1589.002</t>
        </is>
      </c>
      <c r="C578" s="13" t="inlineStr">
        <is>
          <t>Email Addresses (T1589.002)</t>
        </is>
      </c>
      <c r="D578" s="13" t="inlineStr">
        <is>
          <t>reconnaissance</t>
        </is>
      </c>
      <c r="E578" s="13" t="inlineStr">
        <is>
          <t>Network Traffic: Network Traffic Content</t>
        </is>
      </c>
      <c r="F578" s="74" t="n">
        <v>1</v>
      </c>
      <c r="G578" s="72">
        <f t="array" ref="G578">SUM(IF(ISERROR(FIND(sources[data source],techniques[[#This Row],[data sources]])),0,1)*IF(sources[available]="yes",1,0))</f>
        <v/>
      </c>
      <c r="H578" s="73">
        <f t="array" ref="H578">IF(techniques[[#This Row],[technique]]=techniques[[#This Row],[id]],SUM(IF(techniques[[#This Row],[id]]=techniques[technique],1,0))-1,"")</f>
        <v/>
      </c>
      <c r="I578" s="74">
        <f t="array" ref="I578">IF(SUM(IF($C578=detections[],IF(detections[is active]="yes",1,0),0))&gt;0,SUM(IF($C578=detections[],IF(detections[is active]="yes",1,0),0)),"")</f>
        <v/>
      </c>
      <c r="J578" s="74">
        <f t="array" ref="J57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78" s="74">
        <f>IF(AND(ISNUMBER(techniques[[#This Row],[number of sub techniques]]),techniques[[#This Row],[number of sub techniques]]&gt;1),techniques[number of sub techniques],1)</f>
        <v/>
      </c>
      <c r="L578" s="72" t="n"/>
      <c r="M578" s="74">
        <f t="array" ref="M57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7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78" s="26">
        <f>IF(techniques[[#This Row],[detection rules]]&gt;=techniques[[#This Row],[expected detection rules]],1,techniques[[#This Row],[detection rules]]/techniques[[#This Row],[expected detection rules]])</f>
        <v/>
      </c>
      <c r="P57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78" s="29">
        <f>IF(ISERROR(SEARCH(techniques[[#This Row],[id]],techniques[[#This Row],[name]])),"ERROR","")</f>
        <v/>
      </c>
      <c r="S57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79" ht="12.75" customHeight="1">
      <c r="A579" s="74" t="inlineStr">
        <is>
          <t>T1589</t>
        </is>
      </c>
      <c r="B579" s="74" t="inlineStr">
        <is>
          <t>T1589.003</t>
        </is>
      </c>
      <c r="C579" s="13" t="inlineStr">
        <is>
          <t>Employee Names (T1589.003)</t>
        </is>
      </c>
      <c r="D579" s="13" t="inlineStr">
        <is>
          <t>reconnaissance</t>
        </is>
      </c>
      <c r="E579" s="13" t="inlineStr"/>
      <c r="F579" s="74" t="n">
        <v>0</v>
      </c>
      <c r="G579" s="72">
        <f t="array" ref="G579">SUM(IF(ISERROR(FIND(sources[data source],techniques[[#This Row],[data sources]])),0,1)*IF(sources[available]="yes",1,0))</f>
        <v/>
      </c>
      <c r="H579" s="73">
        <f t="array" ref="H579">IF(techniques[[#This Row],[technique]]=techniques[[#This Row],[id]],SUM(IF(techniques[[#This Row],[id]]=techniques[technique],1,0))-1,"")</f>
        <v/>
      </c>
      <c r="I579" s="74">
        <f t="array" ref="I579">IF(SUM(IF($C579=detections[],IF(detections[is active]="yes",1,0),0))&gt;0,SUM(IF($C579=detections[],IF(detections[is active]="yes",1,0),0)),"")</f>
        <v/>
      </c>
      <c r="J579" s="74">
        <f t="array" ref="J57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79" s="74">
        <f>IF(AND(ISNUMBER(techniques[[#This Row],[number of sub techniques]]),techniques[[#This Row],[number of sub techniques]]&gt;1),techniques[number of sub techniques],1)</f>
        <v/>
      </c>
      <c r="L579" s="72" t="n"/>
      <c r="M579" s="74">
        <f t="array" ref="M57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7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79" s="26">
        <f>IF(techniques[[#This Row],[detection rules]]&gt;=techniques[[#This Row],[expected detection rules]],1,techniques[[#This Row],[detection rules]]/techniques[[#This Row],[expected detection rules]])</f>
        <v/>
      </c>
      <c r="P57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79" s="29">
        <f>IF(ISERROR(SEARCH(techniques[[#This Row],[id]],techniques[[#This Row],[name]])),"ERROR","")</f>
        <v/>
      </c>
      <c r="S57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80">
      <c r="A580" s="74" t="inlineStr">
        <is>
          <t>T1590</t>
        </is>
      </c>
      <c r="B580" s="74" t="inlineStr">
        <is>
          <t>T1590</t>
        </is>
      </c>
      <c r="C580" s="13" t="inlineStr">
        <is>
          <t>Gather Victim Network Information (T1590)</t>
        </is>
      </c>
      <c r="D580" s="13" t="inlineStr">
        <is>
          <t>reconnaissance</t>
        </is>
      </c>
      <c r="E580" s="13" t="inlineStr"/>
      <c r="F580" s="74" t="n">
        <v>0</v>
      </c>
      <c r="G580" s="72">
        <f t="array" ref="G580">SUM(IF(ISERROR(FIND(sources[data source],techniques[[#This Row],[data sources]])),0,1)*IF(sources[available]="yes",1,0))</f>
        <v/>
      </c>
      <c r="H580" s="73">
        <f t="array" ref="H580">IF(techniques[[#This Row],[technique]]=techniques[[#This Row],[id]],SUM(IF(techniques[[#This Row],[id]]=techniques[technique],1,0))-1,"")</f>
        <v/>
      </c>
      <c r="I580" s="74">
        <f t="array" ref="I580">IF(SUM(IF($C580=detections[],IF(detections[is active]="yes",1,0),0))&gt;0,SUM(IF($C580=detections[],IF(detections[is active]="yes",1,0),0)),"")</f>
        <v/>
      </c>
      <c r="J580" s="74">
        <f t="array" ref="J58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80" s="74">
        <f>IF(AND(ISNUMBER(techniques[[#This Row],[number of sub techniques]]),techniques[[#This Row],[number of sub techniques]]&gt;1),techniques[number of sub techniques],1)</f>
        <v/>
      </c>
      <c r="L580" s="72" t="n"/>
      <c r="M580" s="74">
        <f t="array" ref="M58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8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80" s="26">
        <f>IF(techniques[[#This Row],[detection rules]]&gt;=techniques[[#This Row],[expected detection rules]],1,techniques[[#This Row],[detection rules]]/techniques[[#This Row],[expected detection rules]])</f>
        <v/>
      </c>
      <c r="P58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80" s="29">
        <f>IF(ISERROR(SEARCH(techniques[[#This Row],[id]],techniques[[#This Row],[name]])),"ERROR","")</f>
        <v/>
      </c>
      <c r="S58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81">
      <c r="A581" s="74" t="inlineStr">
        <is>
          <t>T1590</t>
        </is>
      </c>
      <c r="B581" s="74" t="inlineStr">
        <is>
          <t>T1590.001</t>
        </is>
      </c>
      <c r="C581" s="13" t="inlineStr">
        <is>
          <t>Domain Properties (T1590.001)</t>
        </is>
      </c>
      <c r="D581" s="13" t="inlineStr">
        <is>
          <t>reconnaissance</t>
        </is>
      </c>
      <c r="E581" s="13" t="inlineStr"/>
      <c r="F581" s="74" t="n">
        <v>0</v>
      </c>
      <c r="G581" s="72">
        <f t="array" ref="G581">SUM(IF(ISERROR(FIND(sources[data source],techniques[[#This Row],[data sources]])),0,1)*IF(sources[available]="yes",1,0))</f>
        <v/>
      </c>
      <c r="H581" s="73">
        <f t="array" ref="H581">IF(techniques[[#This Row],[technique]]=techniques[[#This Row],[id]],SUM(IF(techniques[[#This Row],[id]]=techniques[technique],1,0))-1,"")</f>
        <v/>
      </c>
      <c r="I581" s="74">
        <f t="array" ref="I581">IF(SUM(IF($C581=detections[],IF(detections[is active]="yes",1,0),0))&gt;0,SUM(IF($C581=detections[],IF(detections[is active]="yes",1,0),0)),"")</f>
        <v/>
      </c>
      <c r="J581" s="74">
        <f t="array" ref="J58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81" s="74">
        <f>IF(AND(ISNUMBER(techniques[[#This Row],[number of sub techniques]]),techniques[[#This Row],[number of sub techniques]]&gt;1),techniques[number of sub techniques],1)</f>
        <v/>
      </c>
      <c r="L581" s="72" t="n"/>
      <c r="M581" s="74">
        <f t="array" ref="M58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8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81" s="26">
        <f>IF(techniques[[#This Row],[detection rules]]&gt;=techniques[[#This Row],[expected detection rules]],1,techniques[[#This Row],[detection rules]]/techniques[[#This Row],[expected detection rules]])</f>
        <v/>
      </c>
      <c r="P58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81" s="29">
        <f>IF(ISERROR(SEARCH(techniques[[#This Row],[id]],techniques[[#This Row],[name]])),"ERROR","")</f>
        <v/>
      </c>
      <c r="S58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82">
      <c r="A582" s="74" t="inlineStr">
        <is>
          <t>T1590</t>
        </is>
      </c>
      <c r="B582" s="74" t="inlineStr">
        <is>
          <t>T1590.002</t>
        </is>
      </c>
      <c r="C582" s="13" t="inlineStr">
        <is>
          <t>DNS (T1590.002)</t>
        </is>
      </c>
      <c r="D582" s="13" t="inlineStr">
        <is>
          <t>reconnaissance</t>
        </is>
      </c>
      <c r="E582" s="13" t="inlineStr"/>
      <c r="F582" s="74" t="n">
        <v>0</v>
      </c>
      <c r="G582" s="72">
        <f t="array" ref="G582">SUM(IF(ISERROR(FIND(sources[data source],techniques[[#This Row],[data sources]])),0,1)*IF(sources[available]="yes",1,0))</f>
        <v/>
      </c>
      <c r="H582" s="73">
        <f t="array" ref="H582">IF(techniques[[#This Row],[technique]]=techniques[[#This Row],[id]],SUM(IF(techniques[[#This Row],[id]]=techniques[technique],1,0))-1,"")</f>
        <v/>
      </c>
      <c r="I582" s="74">
        <f t="array" ref="I582">IF(SUM(IF($C582=detections[],IF(detections[is active]="yes",1,0),0))&gt;0,SUM(IF($C582=detections[],IF(detections[is active]="yes",1,0),0)),"")</f>
        <v/>
      </c>
      <c r="J582" s="74">
        <f t="array" ref="J58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82" s="74">
        <f>IF(AND(ISNUMBER(techniques[[#This Row],[number of sub techniques]]),techniques[[#This Row],[number of sub techniques]]&gt;1),techniques[number of sub techniques],1)</f>
        <v/>
      </c>
      <c r="L582" s="72" t="n"/>
      <c r="M582" s="74">
        <f t="array" ref="M58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8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82" s="26">
        <f>IF(techniques[[#This Row],[detection rules]]&gt;=techniques[[#This Row],[expected detection rules]],1,techniques[[#This Row],[detection rules]]/techniques[[#This Row],[expected detection rules]])</f>
        <v/>
      </c>
      <c r="P58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82" s="29">
        <f>IF(ISERROR(SEARCH(techniques[[#This Row],[id]],techniques[[#This Row],[name]])),"ERROR","")</f>
        <v/>
      </c>
      <c r="S58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83">
      <c r="A583" s="74" t="inlineStr">
        <is>
          <t>T1590</t>
        </is>
      </c>
      <c r="B583" s="74" t="inlineStr">
        <is>
          <t>T1590.003</t>
        </is>
      </c>
      <c r="C583" s="13" t="inlineStr">
        <is>
          <t>Network Trust Dependencies (T1590.003)</t>
        </is>
      </c>
      <c r="D583" s="13" t="inlineStr">
        <is>
          <t>reconnaissance</t>
        </is>
      </c>
      <c r="E583" s="13" t="inlineStr"/>
      <c r="F583" s="74" t="n">
        <v>0</v>
      </c>
      <c r="G583" s="72">
        <f t="array" ref="G583">SUM(IF(ISERROR(FIND(sources[data source],techniques[[#This Row],[data sources]])),0,1)*IF(sources[available]="yes",1,0))</f>
        <v/>
      </c>
      <c r="H583" s="73">
        <f t="array" ref="H583">IF(techniques[[#This Row],[technique]]=techniques[[#This Row],[id]],SUM(IF(techniques[[#This Row],[id]]=techniques[technique],1,0))-1,"")</f>
        <v/>
      </c>
      <c r="I583" s="74">
        <f t="array" ref="I583">IF(SUM(IF($C583=detections[],IF(detections[is active]="yes",1,0),0))&gt;0,SUM(IF($C583=detections[],IF(detections[is active]="yes",1,0),0)),"")</f>
        <v/>
      </c>
      <c r="J583" s="74">
        <f t="array" ref="J58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83" s="74">
        <f>IF(AND(ISNUMBER(techniques[[#This Row],[number of sub techniques]]),techniques[[#This Row],[number of sub techniques]]&gt;1),techniques[number of sub techniques],1)</f>
        <v/>
      </c>
      <c r="L583" s="72" t="n"/>
      <c r="M583" s="74">
        <f t="array" ref="M58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8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83" s="26">
        <f>IF(techniques[[#This Row],[detection rules]]&gt;=techniques[[#This Row],[expected detection rules]],1,techniques[[#This Row],[detection rules]]/techniques[[#This Row],[expected detection rules]])</f>
        <v/>
      </c>
      <c r="P58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83" s="29">
        <f>IF(ISERROR(SEARCH(techniques[[#This Row],[id]],techniques[[#This Row],[name]])),"ERROR","")</f>
        <v/>
      </c>
      <c r="S58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84">
      <c r="A584" s="74" t="inlineStr">
        <is>
          <t>T1590</t>
        </is>
      </c>
      <c r="B584" s="74" t="inlineStr">
        <is>
          <t>T1590.004</t>
        </is>
      </c>
      <c r="C584" s="13" t="inlineStr">
        <is>
          <t>Network Topology (T1590.004)</t>
        </is>
      </c>
      <c r="D584" s="13" t="inlineStr">
        <is>
          <t>reconnaissance</t>
        </is>
      </c>
      <c r="E584" s="13" t="inlineStr"/>
      <c r="F584" s="74" t="n">
        <v>0</v>
      </c>
      <c r="G584" s="72">
        <f t="array" ref="G584">SUM(IF(ISERROR(FIND(sources[data source],techniques[[#This Row],[data sources]])),0,1)*IF(sources[available]="yes",1,0))</f>
        <v/>
      </c>
      <c r="H584" s="73">
        <f t="array" ref="H584">IF(techniques[[#This Row],[technique]]=techniques[[#This Row],[id]],SUM(IF(techniques[[#This Row],[id]]=techniques[technique],1,0))-1,"")</f>
        <v/>
      </c>
      <c r="I584" s="74">
        <f t="array" ref="I584">IF(SUM(IF($C584=detections[],IF(detections[is active]="yes",1,0),0))&gt;0,SUM(IF($C584=detections[],IF(detections[is active]="yes",1,0),0)),"")</f>
        <v/>
      </c>
      <c r="J584" s="74">
        <f t="array" ref="J58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84" s="74">
        <f>IF(AND(ISNUMBER(techniques[[#This Row],[number of sub techniques]]),techniques[[#This Row],[number of sub techniques]]&gt;1),techniques[number of sub techniques],1)</f>
        <v/>
      </c>
      <c r="L584" s="72" t="n"/>
      <c r="M584" s="74">
        <f t="array" ref="M58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8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84" s="26">
        <f>IF(techniques[[#This Row],[detection rules]]&gt;=techniques[[#This Row],[expected detection rules]],1,techniques[[#This Row],[detection rules]]/techniques[[#This Row],[expected detection rules]])</f>
        <v/>
      </c>
      <c r="P58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84" s="29">
        <f>IF(ISERROR(SEARCH(techniques[[#This Row],[id]],techniques[[#This Row],[name]])),"ERROR","")</f>
        <v/>
      </c>
      <c r="S58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85">
      <c r="A585" s="74" t="inlineStr">
        <is>
          <t>T1590</t>
        </is>
      </c>
      <c r="B585" s="74" t="inlineStr">
        <is>
          <t>T1590.005</t>
        </is>
      </c>
      <c r="C585" s="13" t="inlineStr">
        <is>
          <t>IP Addresses (T1590.005)</t>
        </is>
      </c>
      <c r="D585" s="13" t="inlineStr">
        <is>
          <t>reconnaissance</t>
        </is>
      </c>
      <c r="E585" s="13" t="inlineStr"/>
      <c r="F585" s="74" t="n">
        <v>0</v>
      </c>
      <c r="G585" s="72">
        <f t="array" ref="G585">SUM(IF(ISERROR(FIND(sources[data source],techniques[[#This Row],[data sources]])),0,1)*IF(sources[available]="yes",1,0))</f>
        <v/>
      </c>
      <c r="H585" s="73">
        <f t="array" ref="H585">IF(techniques[[#This Row],[technique]]=techniques[[#This Row],[id]],SUM(IF(techniques[[#This Row],[id]]=techniques[technique],1,0))-1,"")</f>
        <v/>
      </c>
      <c r="I585" s="74">
        <f t="array" ref="I585">IF(SUM(IF($C585=detections[],IF(detections[is active]="yes",1,0),0))&gt;0,SUM(IF($C585=detections[],IF(detections[is active]="yes",1,0),0)),"")</f>
        <v/>
      </c>
      <c r="J585" s="74">
        <f t="array" ref="J58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85" s="74">
        <f>IF(AND(ISNUMBER(techniques[[#This Row],[number of sub techniques]]),techniques[[#This Row],[number of sub techniques]]&gt;1),techniques[number of sub techniques],1)</f>
        <v/>
      </c>
      <c r="L585" s="72" t="n"/>
      <c r="M585" s="74">
        <f t="array" ref="M58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8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85" s="26">
        <f>IF(techniques[[#This Row],[detection rules]]&gt;=techniques[[#This Row],[expected detection rules]],1,techniques[[#This Row],[detection rules]]/techniques[[#This Row],[expected detection rules]])</f>
        <v/>
      </c>
      <c r="P58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85" s="29">
        <f>IF(ISERROR(SEARCH(techniques[[#This Row],[id]],techniques[[#This Row],[name]])),"ERROR","")</f>
        <v/>
      </c>
      <c r="S58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86">
      <c r="A586" s="74" t="inlineStr">
        <is>
          <t>T1590</t>
        </is>
      </c>
      <c r="B586" s="74" t="inlineStr">
        <is>
          <t>T1590.006</t>
        </is>
      </c>
      <c r="C586" s="13" t="inlineStr">
        <is>
          <t>Network Security Appliances (T1590.006)</t>
        </is>
      </c>
      <c r="D586" s="13" t="inlineStr">
        <is>
          <t>reconnaissance</t>
        </is>
      </c>
      <c r="E586" s="13" t="inlineStr"/>
      <c r="F586" s="74" t="n">
        <v>0</v>
      </c>
      <c r="G586" s="72">
        <f t="array" ref="G586">SUM(IF(ISERROR(FIND(sources[data source],techniques[[#This Row],[data sources]])),0,1)*IF(sources[available]="yes",1,0))</f>
        <v/>
      </c>
      <c r="H586" s="73">
        <f t="array" ref="H586">IF(techniques[[#This Row],[technique]]=techniques[[#This Row],[id]],SUM(IF(techniques[[#This Row],[id]]=techniques[technique],1,0))-1,"")</f>
        <v/>
      </c>
      <c r="I586" s="74">
        <f t="array" ref="I586">IF(SUM(IF($C586=detections[],IF(detections[is active]="yes",1,0),0))&gt;0,SUM(IF($C586=detections[],IF(detections[is active]="yes",1,0),0)),"")</f>
        <v/>
      </c>
      <c r="J586" s="74">
        <f t="array" ref="J58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86" s="74">
        <f>IF(AND(ISNUMBER(techniques[[#This Row],[number of sub techniques]]),techniques[[#This Row],[number of sub techniques]]&gt;1),techniques[number of sub techniques],1)</f>
        <v/>
      </c>
      <c r="L586" s="72" t="n"/>
      <c r="M586" s="74">
        <f t="array" ref="M58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8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86" s="26">
        <f>IF(techniques[[#This Row],[detection rules]]&gt;=techniques[[#This Row],[expected detection rules]],1,techniques[[#This Row],[detection rules]]/techniques[[#This Row],[expected detection rules]])</f>
        <v/>
      </c>
      <c r="P58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86" s="29">
        <f>IF(ISERROR(SEARCH(techniques[[#This Row],[id]],techniques[[#This Row],[name]])),"ERROR","")</f>
        <v/>
      </c>
      <c r="S58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87">
      <c r="A587" s="74" t="inlineStr">
        <is>
          <t>T1591</t>
        </is>
      </c>
      <c r="B587" s="74" t="inlineStr">
        <is>
          <t>T1591</t>
        </is>
      </c>
      <c r="C587" s="13" t="inlineStr">
        <is>
          <t>Gather Victim Org Information (T1591)</t>
        </is>
      </c>
      <c r="D587" s="13" t="inlineStr">
        <is>
          <t>reconnaissance</t>
        </is>
      </c>
      <c r="E587" s="13" t="inlineStr"/>
      <c r="F587" s="74" t="n">
        <v>0</v>
      </c>
      <c r="G587" s="72">
        <f t="array" ref="G587">SUM(IF(ISERROR(FIND(sources[data source],techniques[[#This Row],[data sources]])),0,1)*IF(sources[available]="yes",1,0))</f>
        <v/>
      </c>
      <c r="H587" s="73">
        <f t="array" ref="H587">IF(techniques[[#This Row],[technique]]=techniques[[#This Row],[id]],SUM(IF(techniques[[#This Row],[id]]=techniques[technique],1,0))-1,"")</f>
        <v/>
      </c>
      <c r="I587" s="74">
        <f t="array" ref="I587">IF(SUM(IF($C587=detections[],IF(detections[is active]="yes",1,0),0))&gt;0,SUM(IF($C587=detections[],IF(detections[is active]="yes",1,0),0)),"")</f>
        <v/>
      </c>
      <c r="J587" s="74">
        <f t="array" ref="J58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87" s="74">
        <f>IF(AND(ISNUMBER(techniques[[#This Row],[number of sub techniques]]),techniques[[#This Row],[number of sub techniques]]&gt;1),techniques[number of sub techniques],1)</f>
        <v/>
      </c>
      <c r="L587" s="72" t="n"/>
      <c r="M587" s="74">
        <f t="array" ref="M58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8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87" s="26">
        <f>IF(techniques[[#This Row],[detection rules]]&gt;=techniques[[#This Row],[expected detection rules]],1,techniques[[#This Row],[detection rules]]/techniques[[#This Row],[expected detection rules]])</f>
        <v/>
      </c>
      <c r="P58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87" s="29">
        <f>IF(ISERROR(SEARCH(techniques[[#This Row],[id]],techniques[[#This Row],[name]])),"ERROR","")</f>
        <v/>
      </c>
      <c r="S58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88">
      <c r="A588" s="74" t="inlineStr">
        <is>
          <t>T1591</t>
        </is>
      </c>
      <c r="B588" s="74" t="inlineStr">
        <is>
          <t>T1591.001</t>
        </is>
      </c>
      <c r="C588" s="13" t="inlineStr">
        <is>
          <t>Determine Physical Locations (T1591.001)</t>
        </is>
      </c>
      <c r="D588" s="13" t="inlineStr">
        <is>
          <t>reconnaissance</t>
        </is>
      </c>
      <c r="E588" s="13" t="inlineStr"/>
      <c r="F588" s="74" t="n">
        <v>0</v>
      </c>
      <c r="G588" s="72">
        <f t="array" ref="G588">SUM(IF(ISERROR(FIND(sources[data source],techniques[[#This Row],[data sources]])),0,1)*IF(sources[available]="yes",1,0))</f>
        <v/>
      </c>
      <c r="H588" s="73">
        <f t="array" ref="H588">IF(techniques[[#This Row],[technique]]=techniques[[#This Row],[id]],SUM(IF(techniques[[#This Row],[id]]=techniques[technique],1,0))-1,"")</f>
        <v/>
      </c>
      <c r="I588" s="74">
        <f t="array" ref="I588">IF(SUM(IF($C588=detections[],IF(detections[is active]="yes",1,0),0))&gt;0,SUM(IF($C588=detections[],IF(detections[is active]="yes",1,0),0)),"")</f>
        <v/>
      </c>
      <c r="J588" s="74">
        <f t="array" ref="J58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88" s="74">
        <f>IF(AND(ISNUMBER(techniques[[#This Row],[number of sub techniques]]),techniques[[#This Row],[number of sub techniques]]&gt;1),techniques[number of sub techniques],1)</f>
        <v/>
      </c>
      <c r="L588" s="72" t="n"/>
      <c r="M588" s="74">
        <f t="array" ref="M58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8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88" s="26">
        <f>IF(techniques[[#This Row],[detection rules]]&gt;=techniques[[#This Row],[expected detection rules]],1,techniques[[#This Row],[detection rules]]/techniques[[#This Row],[expected detection rules]])</f>
        <v/>
      </c>
      <c r="P58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88" s="29">
        <f>IF(ISERROR(SEARCH(techniques[[#This Row],[id]],techniques[[#This Row],[name]])),"ERROR","")</f>
        <v/>
      </c>
      <c r="S58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89">
      <c r="A589" s="74" t="inlineStr">
        <is>
          <t>T1591</t>
        </is>
      </c>
      <c r="B589" s="74" t="inlineStr">
        <is>
          <t>T1591.002</t>
        </is>
      </c>
      <c r="C589" s="13" t="inlineStr">
        <is>
          <t>Business Relationships (T1591.002)</t>
        </is>
      </c>
      <c r="D589" s="13" t="inlineStr">
        <is>
          <t>reconnaissance</t>
        </is>
      </c>
      <c r="E589" s="13" t="inlineStr"/>
      <c r="F589" s="74" t="n">
        <v>0</v>
      </c>
      <c r="G589" s="72">
        <f t="array" ref="G589">SUM(IF(ISERROR(FIND(sources[data source],techniques[[#This Row],[data sources]])),0,1)*IF(sources[available]="yes",1,0))</f>
        <v/>
      </c>
      <c r="H589" s="73">
        <f t="array" ref="H589">IF(techniques[[#This Row],[technique]]=techniques[[#This Row],[id]],SUM(IF(techniques[[#This Row],[id]]=techniques[technique],1,0))-1,"")</f>
        <v/>
      </c>
      <c r="I589" s="74">
        <f t="array" ref="I589">IF(SUM(IF($C589=detections[],IF(detections[is active]="yes",1,0),0))&gt;0,SUM(IF($C589=detections[],IF(detections[is active]="yes",1,0),0)),"")</f>
        <v/>
      </c>
      <c r="J589" s="74">
        <f t="array" ref="J58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89" s="74">
        <f>IF(AND(ISNUMBER(techniques[[#This Row],[number of sub techniques]]),techniques[[#This Row],[number of sub techniques]]&gt;1),techniques[number of sub techniques],1)</f>
        <v/>
      </c>
      <c r="L589" s="72" t="n"/>
      <c r="M589" s="74">
        <f t="array" ref="M58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8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89" s="26">
        <f>IF(techniques[[#This Row],[detection rules]]&gt;=techniques[[#This Row],[expected detection rules]],1,techniques[[#This Row],[detection rules]]/techniques[[#This Row],[expected detection rules]])</f>
        <v/>
      </c>
      <c r="P58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89" s="29">
        <f>IF(ISERROR(SEARCH(techniques[[#This Row],[id]],techniques[[#This Row],[name]])),"ERROR","")</f>
        <v/>
      </c>
      <c r="S58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90">
      <c r="A590" s="74" t="inlineStr">
        <is>
          <t>T1591</t>
        </is>
      </c>
      <c r="B590" s="74" t="inlineStr">
        <is>
          <t>T1591.003</t>
        </is>
      </c>
      <c r="C590" s="13" t="inlineStr">
        <is>
          <t>Identify Business Tempo (T1591.003)</t>
        </is>
      </c>
      <c r="D590" s="13" t="inlineStr">
        <is>
          <t>reconnaissance</t>
        </is>
      </c>
      <c r="E590" s="13" t="inlineStr"/>
      <c r="F590" s="74" t="n">
        <v>0</v>
      </c>
      <c r="G590" s="72">
        <f t="array" ref="G590">SUM(IF(ISERROR(FIND(sources[data source],techniques[[#This Row],[data sources]])),0,1)*IF(sources[available]="yes",1,0))</f>
        <v/>
      </c>
      <c r="H590" s="73">
        <f t="array" ref="H590">IF(techniques[[#This Row],[technique]]=techniques[[#This Row],[id]],SUM(IF(techniques[[#This Row],[id]]=techniques[technique],1,0))-1,"")</f>
        <v/>
      </c>
      <c r="I590" s="74">
        <f t="array" ref="I590">IF(SUM(IF($C590=detections[],IF(detections[is active]="yes",1,0),0))&gt;0,SUM(IF($C590=detections[],IF(detections[is active]="yes",1,0),0)),"")</f>
        <v/>
      </c>
      <c r="J590" s="74">
        <f t="array" ref="J59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90" s="74">
        <f>IF(AND(ISNUMBER(techniques[[#This Row],[number of sub techniques]]),techniques[[#This Row],[number of sub techniques]]&gt;1),techniques[number of sub techniques],1)</f>
        <v/>
      </c>
      <c r="L590" s="72" t="n"/>
      <c r="M590" s="74">
        <f t="array" ref="M59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9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90" s="26">
        <f>IF(techniques[[#This Row],[detection rules]]&gt;=techniques[[#This Row],[expected detection rules]],1,techniques[[#This Row],[detection rules]]/techniques[[#This Row],[expected detection rules]])</f>
        <v/>
      </c>
      <c r="P59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90" s="29">
        <f>IF(ISERROR(SEARCH(techniques[[#This Row],[id]],techniques[[#This Row],[name]])),"ERROR","")</f>
        <v/>
      </c>
      <c r="S59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91">
      <c r="A591" s="74" t="inlineStr">
        <is>
          <t>T1591</t>
        </is>
      </c>
      <c r="B591" s="74" t="inlineStr">
        <is>
          <t>T1591.004</t>
        </is>
      </c>
      <c r="C591" s="13" t="inlineStr">
        <is>
          <t>Identify Roles (T1591.004)</t>
        </is>
      </c>
      <c r="D591" s="13" t="inlineStr">
        <is>
          <t>reconnaissance</t>
        </is>
      </c>
      <c r="E591" s="13" t="inlineStr"/>
      <c r="F591" s="74" t="n">
        <v>0</v>
      </c>
      <c r="G591" s="72">
        <f t="array" ref="G591">SUM(IF(ISERROR(FIND(sources[data source],techniques[[#This Row],[data sources]])),0,1)*IF(sources[available]="yes",1,0))</f>
        <v/>
      </c>
      <c r="H591" s="73">
        <f t="array" ref="H591">IF(techniques[[#This Row],[technique]]=techniques[[#This Row],[id]],SUM(IF(techniques[[#This Row],[id]]=techniques[technique],1,0))-1,"")</f>
        <v/>
      </c>
      <c r="I591" s="74">
        <f t="array" ref="I591">IF(SUM(IF($C591=detections[],IF(detections[is active]="yes",1,0),0))&gt;0,SUM(IF($C591=detections[],IF(detections[is active]="yes",1,0),0)),"")</f>
        <v/>
      </c>
      <c r="J591" s="74">
        <f t="array" ref="J59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91" s="74">
        <f>IF(AND(ISNUMBER(techniques[[#This Row],[number of sub techniques]]),techniques[[#This Row],[number of sub techniques]]&gt;1),techniques[number of sub techniques],1)</f>
        <v/>
      </c>
      <c r="L591" s="72" t="n"/>
      <c r="M591" s="74">
        <f t="array" ref="M59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9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91" s="26">
        <f>IF(techniques[[#This Row],[detection rules]]&gt;=techniques[[#This Row],[expected detection rules]],1,techniques[[#This Row],[detection rules]]/techniques[[#This Row],[expected detection rules]])</f>
        <v/>
      </c>
      <c r="P59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91" s="29">
        <f>IF(ISERROR(SEARCH(techniques[[#This Row],[id]],techniques[[#This Row],[name]])),"ERROR","")</f>
        <v/>
      </c>
      <c r="S59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92">
      <c r="A592" s="74" t="inlineStr">
        <is>
          <t>T1592</t>
        </is>
      </c>
      <c r="B592" s="74" t="inlineStr">
        <is>
          <t>T1592</t>
        </is>
      </c>
      <c r="C592" s="13" t="inlineStr">
        <is>
          <t>Gather Victim Host Information (T1592)</t>
        </is>
      </c>
      <c r="D592" s="13" t="inlineStr">
        <is>
          <t>reconnaissance</t>
        </is>
      </c>
      <c r="E592" s="13" t="inlineStr">
        <is>
          <t>Internet Scan: Response Content</t>
        </is>
      </c>
      <c r="F592" s="74" t="n">
        <v>1</v>
      </c>
      <c r="G592" s="72">
        <f t="array" ref="G592">SUM(IF(ISERROR(FIND(sources[data source],techniques[[#This Row],[data sources]])),0,1)*IF(sources[available]="yes",1,0))</f>
        <v/>
      </c>
      <c r="H592" s="73">
        <f t="array" ref="H592">IF(techniques[[#This Row],[technique]]=techniques[[#This Row],[id]],SUM(IF(techniques[[#This Row],[id]]=techniques[technique],1,0))-1,"")</f>
        <v/>
      </c>
      <c r="I592" s="74">
        <f t="array" ref="I592">IF(SUM(IF($C592=detections[],IF(detections[is active]="yes",1,0),0))&gt;0,SUM(IF($C592=detections[],IF(detections[is active]="yes",1,0),0)),"")</f>
        <v/>
      </c>
      <c r="J592" s="74">
        <f t="array" ref="J59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92" s="74">
        <f>IF(AND(ISNUMBER(techniques[[#This Row],[number of sub techniques]]),techniques[[#This Row],[number of sub techniques]]&gt;1),techniques[number of sub techniques],1)</f>
        <v/>
      </c>
      <c r="L592" s="72" t="n"/>
      <c r="M592" s="74">
        <f t="array" ref="M59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9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92" s="26">
        <f>IF(techniques[[#This Row],[detection rules]]&gt;=techniques[[#This Row],[expected detection rules]],1,techniques[[#This Row],[detection rules]]/techniques[[#This Row],[expected detection rules]])</f>
        <v/>
      </c>
      <c r="P59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92" s="29">
        <f>IF(ISERROR(SEARCH(techniques[[#This Row],[id]],techniques[[#This Row],[name]])),"ERROR","")</f>
        <v/>
      </c>
      <c r="S59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93">
      <c r="A593" s="74" t="inlineStr">
        <is>
          <t>T1592</t>
        </is>
      </c>
      <c r="B593" s="74" t="inlineStr">
        <is>
          <t>T1592.001</t>
        </is>
      </c>
      <c r="C593" s="13" t="inlineStr">
        <is>
          <t>Hardware (T1592.001)</t>
        </is>
      </c>
      <c r="D593" s="13" t="inlineStr">
        <is>
          <t>reconnaissance</t>
        </is>
      </c>
      <c r="E593" s="13" t="inlineStr">
        <is>
          <t>Internet Scan: Response Content</t>
        </is>
      </c>
      <c r="F593" s="74" t="n">
        <v>1</v>
      </c>
      <c r="G593" s="72">
        <f t="array" ref="G593">SUM(IF(ISERROR(FIND(sources[data source],techniques[[#This Row],[data sources]])),0,1)*IF(sources[available]="yes",1,0))</f>
        <v/>
      </c>
      <c r="H593" s="73">
        <f t="array" ref="H593">IF(techniques[[#This Row],[technique]]=techniques[[#This Row],[id]],SUM(IF(techniques[[#This Row],[id]]=techniques[technique],1,0))-1,"")</f>
        <v/>
      </c>
      <c r="I593" s="74">
        <f t="array" ref="I593">IF(SUM(IF($C593=detections[],IF(detections[is active]="yes",1,0),0))&gt;0,SUM(IF($C593=detections[],IF(detections[is active]="yes",1,0),0)),"")</f>
        <v/>
      </c>
      <c r="J593" s="74">
        <f t="array" ref="J59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93" s="74">
        <f>IF(AND(ISNUMBER(techniques[[#This Row],[number of sub techniques]]),techniques[[#This Row],[number of sub techniques]]&gt;1),techniques[number of sub techniques],1)</f>
        <v/>
      </c>
      <c r="L593" s="72" t="n"/>
      <c r="M593" s="74">
        <f t="array" ref="M59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9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93" s="26">
        <f>IF(techniques[[#This Row],[detection rules]]&gt;=techniques[[#This Row],[expected detection rules]],1,techniques[[#This Row],[detection rules]]/techniques[[#This Row],[expected detection rules]])</f>
        <v/>
      </c>
      <c r="P59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93" s="29">
        <f>IF(ISERROR(SEARCH(techniques[[#This Row],[id]],techniques[[#This Row],[name]])),"ERROR","")</f>
        <v/>
      </c>
      <c r="S59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94">
      <c r="A594" s="74" t="inlineStr">
        <is>
          <t>T1592</t>
        </is>
      </c>
      <c r="B594" s="74" t="inlineStr">
        <is>
          <t>T1592.002</t>
        </is>
      </c>
      <c r="C594" s="13" t="inlineStr">
        <is>
          <t>Software (T1592.002)</t>
        </is>
      </c>
      <c r="D594" s="13" t="inlineStr">
        <is>
          <t>reconnaissance</t>
        </is>
      </c>
      <c r="E594" s="13" t="inlineStr">
        <is>
          <t>Internet Scan: Response Content</t>
        </is>
      </c>
      <c r="F594" s="74" t="n">
        <v>1</v>
      </c>
      <c r="G594" s="72">
        <f t="array" ref="G594">SUM(IF(ISERROR(FIND(sources[data source],techniques[[#This Row],[data sources]])),0,1)*IF(sources[available]="yes",1,0))</f>
        <v/>
      </c>
      <c r="H594" s="73">
        <f t="array" ref="H594">IF(techniques[[#This Row],[technique]]=techniques[[#This Row],[id]],SUM(IF(techniques[[#This Row],[id]]=techniques[technique],1,0))-1,"")</f>
        <v/>
      </c>
      <c r="I594" s="74">
        <f t="array" ref="I594">IF(SUM(IF($C594=detections[],IF(detections[is active]="yes",1,0),0))&gt;0,SUM(IF($C594=detections[],IF(detections[is active]="yes",1,0),0)),"")</f>
        <v/>
      </c>
      <c r="J594" s="74">
        <f t="array" ref="J59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94" s="74">
        <f>IF(AND(ISNUMBER(techniques[[#This Row],[number of sub techniques]]),techniques[[#This Row],[number of sub techniques]]&gt;1),techniques[number of sub techniques],1)</f>
        <v/>
      </c>
      <c r="L594" s="72" t="n"/>
      <c r="M594" s="74">
        <f t="array" ref="M59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9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94" s="26">
        <f>IF(techniques[[#This Row],[detection rules]]&gt;=techniques[[#This Row],[expected detection rules]],1,techniques[[#This Row],[detection rules]]/techniques[[#This Row],[expected detection rules]])</f>
        <v/>
      </c>
      <c r="P59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94" s="29">
        <f>IF(ISERROR(SEARCH(techniques[[#This Row],[id]],techniques[[#This Row],[name]])),"ERROR","")</f>
        <v/>
      </c>
      <c r="S59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95">
      <c r="A595" s="74" t="inlineStr">
        <is>
          <t>T1592</t>
        </is>
      </c>
      <c r="B595" s="74" t="inlineStr">
        <is>
          <t>T1592.003</t>
        </is>
      </c>
      <c r="C595" s="13" t="inlineStr">
        <is>
          <t>Firmware (T1592.003)</t>
        </is>
      </c>
      <c r="D595" s="13" t="inlineStr">
        <is>
          <t>reconnaissance</t>
        </is>
      </c>
      <c r="E595" s="13" t="inlineStr"/>
      <c r="F595" s="74" t="n">
        <v>0</v>
      </c>
      <c r="G595" s="72">
        <f t="array" ref="G595">SUM(IF(ISERROR(FIND(sources[data source],techniques[[#This Row],[data sources]])),0,1)*IF(sources[available]="yes",1,0))</f>
        <v/>
      </c>
      <c r="H595" s="73">
        <f t="array" ref="H595">IF(techniques[[#This Row],[technique]]=techniques[[#This Row],[id]],SUM(IF(techniques[[#This Row],[id]]=techniques[technique],1,0))-1,"")</f>
        <v/>
      </c>
      <c r="I595" s="74">
        <f t="array" ref="I595">IF(SUM(IF($C595=detections[],IF(detections[is active]="yes",1,0),0))&gt;0,SUM(IF($C595=detections[],IF(detections[is active]="yes",1,0),0)),"")</f>
        <v/>
      </c>
      <c r="J595" s="74">
        <f t="array" ref="J59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95" s="74">
        <f>IF(AND(ISNUMBER(techniques[[#This Row],[number of sub techniques]]),techniques[[#This Row],[number of sub techniques]]&gt;1),techniques[number of sub techniques],1)</f>
        <v/>
      </c>
      <c r="L595" s="72" t="n"/>
      <c r="M595" s="74">
        <f t="array" ref="M59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9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95" s="26">
        <f>IF(techniques[[#This Row],[detection rules]]&gt;=techniques[[#This Row],[expected detection rules]],1,techniques[[#This Row],[detection rules]]/techniques[[#This Row],[expected detection rules]])</f>
        <v/>
      </c>
      <c r="P59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95" s="29">
        <f>IF(ISERROR(SEARCH(techniques[[#This Row],[id]],techniques[[#This Row],[name]])),"ERROR","")</f>
        <v/>
      </c>
      <c r="S59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96">
      <c r="A596" s="74" t="inlineStr">
        <is>
          <t>T1592</t>
        </is>
      </c>
      <c r="B596" s="74" t="inlineStr">
        <is>
          <t>T1592.004</t>
        </is>
      </c>
      <c r="C596" s="13" t="inlineStr">
        <is>
          <t>Client Configurations (T1592.004)</t>
        </is>
      </c>
      <c r="D596" s="13" t="inlineStr">
        <is>
          <t>reconnaissance</t>
        </is>
      </c>
      <c r="E596" s="13" t="inlineStr">
        <is>
          <t>Internet Scan: Response Content</t>
        </is>
      </c>
      <c r="F596" s="74" t="n">
        <v>1</v>
      </c>
      <c r="G596" s="72">
        <f t="array" ref="G596">SUM(IF(ISERROR(FIND(sources[data source],techniques[[#This Row],[data sources]])),0,1)*IF(sources[available]="yes",1,0))</f>
        <v/>
      </c>
      <c r="H596" s="73">
        <f t="array" ref="H596">IF(techniques[[#This Row],[technique]]=techniques[[#This Row],[id]],SUM(IF(techniques[[#This Row],[id]]=techniques[technique],1,0))-1,"")</f>
        <v/>
      </c>
      <c r="I596" s="74">
        <f t="array" ref="I596">IF(SUM(IF($C596=detections[],IF(detections[is active]="yes",1,0),0))&gt;0,SUM(IF($C596=detections[],IF(detections[is active]="yes",1,0),0)),"")</f>
        <v/>
      </c>
      <c r="J596" s="74">
        <f t="array" ref="J59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96" s="74">
        <f>IF(AND(ISNUMBER(techniques[[#This Row],[number of sub techniques]]),techniques[[#This Row],[number of sub techniques]]&gt;1),techniques[number of sub techniques],1)</f>
        <v/>
      </c>
      <c r="L596" s="72" t="n"/>
      <c r="M596" s="74">
        <f t="array" ref="M59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9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96" s="26">
        <f>IF(techniques[[#This Row],[detection rules]]&gt;=techniques[[#This Row],[expected detection rules]],1,techniques[[#This Row],[detection rules]]/techniques[[#This Row],[expected detection rules]])</f>
        <v/>
      </c>
      <c r="P59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96" s="29">
        <f>IF(ISERROR(SEARCH(techniques[[#This Row],[id]],techniques[[#This Row],[name]])),"ERROR","")</f>
        <v/>
      </c>
      <c r="S59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97">
      <c r="A597" s="74" t="inlineStr">
        <is>
          <t>T1593</t>
        </is>
      </c>
      <c r="B597" s="74" t="inlineStr">
        <is>
          <t>T1593</t>
        </is>
      </c>
      <c r="C597" s="13" t="inlineStr">
        <is>
          <t>Search Open Websites/Domains (T1593)</t>
        </is>
      </c>
      <c r="D597" s="13" t="inlineStr">
        <is>
          <t>reconnaissance</t>
        </is>
      </c>
      <c r="E597" s="13" t="inlineStr"/>
      <c r="F597" s="74" t="n">
        <v>0</v>
      </c>
      <c r="G597" s="72">
        <f t="array" ref="G597">SUM(IF(ISERROR(FIND(sources[data source],techniques[[#This Row],[data sources]])),0,1)*IF(sources[available]="yes",1,0))</f>
        <v/>
      </c>
      <c r="H597" s="73">
        <f t="array" ref="H597">IF(techniques[[#This Row],[technique]]=techniques[[#This Row],[id]],SUM(IF(techniques[[#This Row],[id]]=techniques[technique],1,0))-1,"")</f>
        <v/>
      </c>
      <c r="I597" s="74">
        <f t="array" ref="I597">IF(SUM(IF($C597=detections[],IF(detections[is active]="yes",1,0),0))&gt;0,SUM(IF($C597=detections[],IF(detections[is active]="yes",1,0),0)),"")</f>
        <v/>
      </c>
      <c r="J597" s="74">
        <f t="array" ref="J59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97" s="74">
        <f>IF(AND(ISNUMBER(techniques[[#This Row],[number of sub techniques]]),techniques[[#This Row],[number of sub techniques]]&gt;1),techniques[number of sub techniques],1)</f>
        <v/>
      </c>
      <c r="L597" s="72" t="n"/>
      <c r="M597" s="74">
        <f t="array" ref="M59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9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97" s="26">
        <f>IF(techniques[[#This Row],[detection rules]]&gt;=techniques[[#This Row],[expected detection rules]],1,techniques[[#This Row],[detection rules]]/techniques[[#This Row],[expected detection rules]])</f>
        <v/>
      </c>
      <c r="P59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97" s="29">
        <f>IF(ISERROR(SEARCH(techniques[[#This Row],[id]],techniques[[#This Row],[name]])),"ERROR","")</f>
        <v/>
      </c>
      <c r="S59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98">
      <c r="A598" s="74" t="inlineStr">
        <is>
          <t>T1593</t>
        </is>
      </c>
      <c r="B598" s="74" t="inlineStr">
        <is>
          <t>T1593.001</t>
        </is>
      </c>
      <c r="C598" s="13" t="inlineStr">
        <is>
          <t>Social Media (T1593.001)</t>
        </is>
      </c>
      <c r="D598" s="13" t="inlineStr">
        <is>
          <t>reconnaissance</t>
        </is>
      </c>
      <c r="E598" s="13" t="inlineStr"/>
      <c r="F598" s="74" t="n">
        <v>0</v>
      </c>
      <c r="G598" s="72">
        <f t="array" ref="G598">SUM(IF(ISERROR(FIND(sources[data source],techniques[[#This Row],[data sources]])),0,1)*IF(sources[available]="yes",1,0))</f>
        <v/>
      </c>
      <c r="H598" s="73">
        <f t="array" ref="H598">IF(techniques[[#This Row],[technique]]=techniques[[#This Row],[id]],SUM(IF(techniques[[#This Row],[id]]=techniques[technique],1,0))-1,"")</f>
        <v/>
      </c>
      <c r="I598" s="74">
        <f t="array" ref="I598">IF(SUM(IF($C598=detections[],IF(detections[is active]="yes",1,0),0))&gt;0,SUM(IF($C598=detections[],IF(detections[is active]="yes",1,0),0)),"")</f>
        <v/>
      </c>
      <c r="J598" s="74">
        <f t="array" ref="J59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98" s="74">
        <f>IF(AND(ISNUMBER(techniques[[#This Row],[number of sub techniques]]),techniques[[#This Row],[number of sub techniques]]&gt;1),techniques[number of sub techniques],1)</f>
        <v/>
      </c>
      <c r="L598" s="72" t="n"/>
      <c r="M598" s="74">
        <f t="array" ref="M59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9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98" s="26">
        <f>IF(techniques[[#This Row],[detection rules]]&gt;=techniques[[#This Row],[expected detection rules]],1,techniques[[#This Row],[detection rules]]/techniques[[#This Row],[expected detection rules]])</f>
        <v/>
      </c>
      <c r="P59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98" s="29">
        <f>IF(ISERROR(SEARCH(techniques[[#This Row],[id]],techniques[[#This Row],[name]])),"ERROR","")</f>
        <v/>
      </c>
      <c r="S59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599">
      <c r="A599" s="74" t="inlineStr">
        <is>
          <t>T1593</t>
        </is>
      </c>
      <c r="B599" s="74" t="inlineStr">
        <is>
          <t>T1593.002</t>
        </is>
      </c>
      <c r="C599" s="13" t="inlineStr">
        <is>
          <t>Search Engines (T1593.002)</t>
        </is>
      </c>
      <c r="D599" s="13" t="inlineStr">
        <is>
          <t>reconnaissance</t>
        </is>
      </c>
      <c r="E599" s="13" t="inlineStr"/>
      <c r="F599" s="74" t="n">
        <v>0</v>
      </c>
      <c r="G599" s="72">
        <f t="array" ref="G599">SUM(IF(ISERROR(FIND(sources[data source],techniques[[#This Row],[data sources]])),0,1)*IF(sources[available]="yes",1,0))</f>
        <v/>
      </c>
      <c r="H599" s="73">
        <f t="array" ref="H599">IF(techniques[[#This Row],[technique]]=techniques[[#This Row],[id]],SUM(IF(techniques[[#This Row],[id]]=techniques[technique],1,0))-1,"")</f>
        <v/>
      </c>
      <c r="I599" s="74">
        <f t="array" ref="I599">IF(SUM(IF($C599=detections[],IF(detections[is active]="yes",1,0),0))&gt;0,SUM(IF($C599=detections[],IF(detections[is active]="yes",1,0),0)),"")</f>
        <v/>
      </c>
      <c r="J599" s="74">
        <f t="array" ref="J59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599" s="74">
        <f>IF(AND(ISNUMBER(techniques[[#This Row],[number of sub techniques]]),techniques[[#This Row],[number of sub techniques]]&gt;1),techniques[number of sub techniques],1)</f>
        <v/>
      </c>
      <c r="L599" s="72" t="n"/>
      <c r="M599" s="74">
        <f t="array" ref="M59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59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599" s="26">
        <f>IF(techniques[[#This Row],[detection rules]]&gt;=techniques[[#This Row],[expected detection rules]],1,techniques[[#This Row],[detection rules]]/techniques[[#This Row],[expected detection rules]])</f>
        <v/>
      </c>
      <c r="P59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599" s="29">
        <f>IF(ISERROR(SEARCH(techniques[[#This Row],[id]],techniques[[#This Row],[name]])),"ERROR","")</f>
        <v/>
      </c>
      <c r="S59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00">
      <c r="A600" s="74" t="inlineStr">
        <is>
          <t>T1593</t>
        </is>
      </c>
      <c r="B600" s="74" t="inlineStr">
        <is>
          <t>T1593.003</t>
        </is>
      </c>
      <c r="C600" s="13" t="inlineStr">
        <is>
          <t>Code Repositories (T1593.003)</t>
        </is>
      </c>
      <c r="D600" s="13" t="inlineStr">
        <is>
          <t>reconnaissance</t>
        </is>
      </c>
      <c r="E600" s="13" t="inlineStr"/>
      <c r="F600" s="74" t="n">
        <v>0</v>
      </c>
      <c r="G600" s="72">
        <f t="array" ref="G600">SUM(IF(ISERROR(FIND(sources[data source],techniques[[#This Row],[data sources]])),0,1)*IF(sources[available]="yes",1,0))</f>
        <v/>
      </c>
      <c r="H600" s="73">
        <f t="array" ref="H600">IF(techniques[[#This Row],[technique]]=techniques[[#This Row],[id]],SUM(IF(techniques[[#This Row],[id]]=techniques[technique],1,0))-1,"")</f>
        <v/>
      </c>
      <c r="I600" s="74">
        <f t="array" ref="I600">IF(SUM(IF($C600=detections[],IF(detections[is active]="yes",1,0),0))&gt;0,SUM(IF($C600=detections[],IF(detections[is active]="yes",1,0),0)),"")</f>
        <v/>
      </c>
      <c r="J600" s="74">
        <f t="array" ref="J60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00" s="74">
        <f>IF(AND(ISNUMBER(techniques[[#This Row],[number of sub techniques]]),techniques[[#This Row],[number of sub techniques]]&gt;1),techniques[number of sub techniques],1)</f>
        <v/>
      </c>
      <c r="L600" s="72" t="n"/>
      <c r="M600" s="74">
        <f t="array" ref="M60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0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00" s="26">
        <f>IF(techniques[[#This Row],[detection rules]]&gt;=techniques[[#This Row],[expected detection rules]],1,techniques[[#This Row],[detection rules]]/techniques[[#This Row],[expected detection rules]])</f>
        <v/>
      </c>
      <c r="P60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00" s="29">
        <f>IF(ISERROR(SEARCH(techniques[[#This Row],[id]],techniques[[#This Row],[name]])),"ERROR","")</f>
        <v/>
      </c>
      <c r="S60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01">
      <c r="A601" s="74" t="inlineStr">
        <is>
          <t>T1594</t>
        </is>
      </c>
      <c r="B601" s="74" t="inlineStr">
        <is>
          <t>T1594</t>
        </is>
      </c>
      <c r="C601" s="13" t="inlineStr">
        <is>
          <t>Search Victim-Owned Websites (T1594)</t>
        </is>
      </c>
      <c r="D601" s="13" t="inlineStr">
        <is>
          <t>reconnaissance</t>
        </is>
      </c>
      <c r="E601" s="13" t="inlineStr">
        <is>
          <t>Application Log: Application Log Content</t>
        </is>
      </c>
      <c r="F601" s="74" t="n">
        <v>1</v>
      </c>
      <c r="G601" s="72">
        <f t="array" ref="G601">SUM(IF(ISERROR(FIND(sources[data source],techniques[[#This Row],[data sources]])),0,1)*IF(sources[available]="yes",1,0))</f>
        <v/>
      </c>
      <c r="H601" s="73">
        <f t="array" ref="H601">IF(techniques[[#This Row],[technique]]=techniques[[#This Row],[id]],SUM(IF(techniques[[#This Row],[id]]=techniques[technique],1,0))-1,"")</f>
        <v/>
      </c>
      <c r="I601" s="74">
        <f t="array" ref="I601">IF(SUM(IF($C601=detections[],IF(detections[is active]="yes",1,0),0))&gt;0,SUM(IF($C601=detections[],IF(detections[is active]="yes",1,0),0)),"")</f>
        <v/>
      </c>
      <c r="J601" s="74">
        <f t="array" ref="J60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01" s="74">
        <f>IF(AND(ISNUMBER(techniques[[#This Row],[number of sub techniques]]),techniques[[#This Row],[number of sub techniques]]&gt;1),techniques[number of sub techniques],1)</f>
        <v/>
      </c>
      <c r="L601" s="72" t="n"/>
      <c r="M601" s="74">
        <f t="array" ref="M60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0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01" s="26">
        <f>IF(techniques[[#This Row],[detection rules]]&gt;=techniques[[#This Row],[expected detection rules]],1,techniques[[#This Row],[detection rules]]/techniques[[#This Row],[expected detection rules]])</f>
        <v/>
      </c>
      <c r="P60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01" s="29">
        <f>IF(ISERROR(SEARCH(techniques[[#This Row],[id]],techniques[[#This Row],[name]])),"ERROR","")</f>
        <v/>
      </c>
      <c r="S60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02">
      <c r="A602" s="74" t="inlineStr">
        <is>
          <t>T1595</t>
        </is>
      </c>
      <c r="B602" s="74" t="inlineStr">
        <is>
          <t>T1595</t>
        </is>
      </c>
      <c r="C602" s="13" t="inlineStr">
        <is>
          <t>Active Scanning (T1595)</t>
        </is>
      </c>
      <c r="D602" s="13" t="inlineStr">
        <is>
          <t>reconnaissance</t>
        </is>
      </c>
      <c r="E602" s="13" t="inlineStr">
        <is>
          <t>Network Traffic: Network Traffic Content|Network Traffic: Network Traffic Flow</t>
        </is>
      </c>
      <c r="F602" s="74" t="n">
        <v>2</v>
      </c>
      <c r="G602" s="72">
        <f t="array" ref="G602">SUM(IF(ISERROR(FIND(sources[data source],techniques[[#This Row],[data sources]])),0,1)*IF(sources[available]="yes",1,0))</f>
        <v/>
      </c>
      <c r="H602" s="73">
        <f t="array" ref="H602">IF(techniques[[#This Row],[technique]]=techniques[[#This Row],[id]],SUM(IF(techniques[[#This Row],[id]]=techniques[technique],1,0))-1,"")</f>
        <v/>
      </c>
      <c r="I602" s="74">
        <f t="array" ref="I602">IF(SUM(IF($C602=detections[],IF(detections[is active]="yes",1,0),0))&gt;0,SUM(IF($C602=detections[],IF(detections[is active]="yes",1,0),0)),"")</f>
        <v/>
      </c>
      <c r="J602" s="74">
        <f t="array" ref="J60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02" s="74">
        <f>IF(AND(ISNUMBER(techniques[[#This Row],[number of sub techniques]]),techniques[[#This Row],[number of sub techniques]]&gt;1),techniques[number of sub techniques],1)</f>
        <v/>
      </c>
      <c r="L602" s="72" t="n"/>
      <c r="M602" s="74">
        <f t="array" ref="M60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0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02" s="26">
        <f>IF(techniques[[#This Row],[detection rules]]&gt;=techniques[[#This Row],[expected detection rules]],1,techniques[[#This Row],[detection rules]]/techniques[[#This Row],[expected detection rules]])</f>
        <v/>
      </c>
      <c r="P60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02" s="29">
        <f>IF(ISERROR(SEARCH(techniques[[#This Row],[id]],techniques[[#This Row],[name]])),"ERROR","")</f>
        <v/>
      </c>
      <c r="S60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03">
      <c r="A603" s="74" t="inlineStr">
        <is>
          <t>T1595</t>
        </is>
      </c>
      <c r="B603" s="74" t="inlineStr">
        <is>
          <t>T1595.001</t>
        </is>
      </c>
      <c r="C603" s="13" t="inlineStr">
        <is>
          <t>Scanning IP Blocks (T1595.001)</t>
        </is>
      </c>
      <c r="D603" s="13" t="inlineStr">
        <is>
          <t>reconnaissance</t>
        </is>
      </c>
      <c r="E603" s="13" t="inlineStr">
        <is>
          <t>Network Traffic: Network Traffic Content|Network Traffic: Network Traffic Flow</t>
        </is>
      </c>
      <c r="F603" s="74" t="n">
        <v>2</v>
      </c>
      <c r="G603" s="72">
        <f t="array" ref="G603">SUM(IF(ISERROR(FIND(sources[data source],techniques[[#This Row],[data sources]])),0,1)*IF(sources[available]="yes",1,0))</f>
        <v/>
      </c>
      <c r="H603" s="73">
        <f t="array" ref="H603">IF(techniques[[#This Row],[technique]]=techniques[[#This Row],[id]],SUM(IF(techniques[[#This Row],[id]]=techniques[technique],1,0))-1,"")</f>
        <v/>
      </c>
      <c r="I603" s="74">
        <f t="array" ref="I603">IF(SUM(IF($C603=detections[],IF(detections[is active]="yes",1,0),0))&gt;0,SUM(IF($C603=detections[],IF(detections[is active]="yes",1,0),0)),"")</f>
        <v/>
      </c>
      <c r="J603" s="74">
        <f t="array" ref="J60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03" s="74">
        <f>IF(AND(ISNUMBER(techniques[[#This Row],[number of sub techniques]]),techniques[[#This Row],[number of sub techniques]]&gt;1),techniques[number of sub techniques],1)</f>
        <v/>
      </c>
      <c r="L603" s="72" t="n"/>
      <c r="M603" s="74">
        <f t="array" ref="M60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0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03" s="26">
        <f>IF(techniques[[#This Row],[detection rules]]&gt;=techniques[[#This Row],[expected detection rules]],1,techniques[[#This Row],[detection rules]]/techniques[[#This Row],[expected detection rules]])</f>
        <v/>
      </c>
      <c r="P60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03" s="29">
        <f>IF(ISERROR(SEARCH(techniques[[#This Row],[id]],techniques[[#This Row],[name]])),"ERROR","")</f>
        <v/>
      </c>
      <c r="S60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04">
      <c r="A604" s="74" t="inlineStr">
        <is>
          <t>T1595</t>
        </is>
      </c>
      <c r="B604" s="74" t="inlineStr">
        <is>
          <t>T1595.002</t>
        </is>
      </c>
      <c r="C604" s="13" t="inlineStr">
        <is>
          <t>Vulnerability Scanning (T1595.002)</t>
        </is>
      </c>
      <c r="D604" s="13" t="inlineStr">
        <is>
          <t>reconnaissance</t>
        </is>
      </c>
      <c r="E604" s="13" t="inlineStr">
        <is>
          <t>Network Traffic: Network Traffic Content|Network Traffic: Network Traffic Flow</t>
        </is>
      </c>
      <c r="F604" s="74" t="n">
        <v>2</v>
      </c>
      <c r="G604" s="72">
        <f t="array" ref="G604">SUM(IF(ISERROR(FIND(sources[data source],techniques[[#This Row],[data sources]])),0,1)*IF(sources[available]="yes",1,0))</f>
        <v/>
      </c>
      <c r="H604" s="73">
        <f t="array" ref="H604">IF(techniques[[#This Row],[technique]]=techniques[[#This Row],[id]],SUM(IF(techniques[[#This Row],[id]]=techniques[technique],1,0))-1,"")</f>
        <v/>
      </c>
      <c r="I604" s="74">
        <f t="array" ref="I604">IF(SUM(IF($C604=detections[],IF(detections[is active]="yes",1,0),0))&gt;0,SUM(IF($C604=detections[],IF(detections[is active]="yes",1,0),0)),"")</f>
        <v/>
      </c>
      <c r="J604" s="74">
        <f t="array" ref="J60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04" s="74">
        <f>IF(AND(ISNUMBER(techniques[[#This Row],[number of sub techniques]]),techniques[[#This Row],[number of sub techniques]]&gt;1),techniques[number of sub techniques],1)</f>
        <v/>
      </c>
      <c r="L604" s="72" t="n"/>
      <c r="M604" s="74">
        <f t="array" ref="M60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0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04" s="26">
        <f>IF(techniques[[#This Row],[detection rules]]&gt;=techniques[[#This Row],[expected detection rules]],1,techniques[[#This Row],[detection rules]]/techniques[[#This Row],[expected detection rules]])</f>
        <v/>
      </c>
      <c r="P60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04" s="29">
        <f>IF(ISERROR(SEARCH(techniques[[#This Row],[id]],techniques[[#This Row],[name]])),"ERROR","")</f>
        <v/>
      </c>
      <c r="S60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05">
      <c r="A605" s="74" t="inlineStr">
        <is>
          <t>T1595</t>
        </is>
      </c>
      <c r="B605" s="74" t="inlineStr">
        <is>
          <t>T1595.003</t>
        </is>
      </c>
      <c r="C605" s="13" t="inlineStr">
        <is>
          <t>Wordlist Scanning (T1595.003)</t>
        </is>
      </c>
      <c r="D605" s="13" t="inlineStr">
        <is>
          <t>reconnaissance</t>
        </is>
      </c>
      <c r="E605" s="13" t="inlineStr">
        <is>
          <t>Network Traffic: Network Traffic Content</t>
        </is>
      </c>
      <c r="F605" s="74" t="n">
        <v>1</v>
      </c>
      <c r="G605" s="72">
        <f t="array" ref="G605">SUM(IF(ISERROR(FIND(sources[data source],techniques[[#This Row],[data sources]])),0,1)*IF(sources[available]="yes",1,0))</f>
        <v/>
      </c>
      <c r="H605" s="73">
        <f t="array" ref="H605">IF(techniques[[#This Row],[technique]]=techniques[[#This Row],[id]],SUM(IF(techniques[[#This Row],[id]]=techniques[technique],1,0))-1,"")</f>
        <v/>
      </c>
      <c r="I605" s="74">
        <f t="array" ref="I605">IF(SUM(IF($C605=detections[],IF(detections[is active]="yes",1,0),0))&gt;0,SUM(IF($C605=detections[],IF(detections[is active]="yes",1,0),0)),"")</f>
        <v/>
      </c>
      <c r="J605" s="74">
        <f t="array" ref="J60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05" s="74">
        <f>IF(AND(ISNUMBER(techniques[[#This Row],[number of sub techniques]]),techniques[[#This Row],[number of sub techniques]]&gt;1),techniques[number of sub techniques],1)</f>
        <v/>
      </c>
      <c r="L605" s="72" t="n"/>
      <c r="M605" s="74">
        <f t="array" ref="M60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0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05" s="26">
        <f>IF(techniques[[#This Row],[detection rules]]&gt;=techniques[[#This Row],[expected detection rules]],1,techniques[[#This Row],[detection rules]]/techniques[[#This Row],[expected detection rules]])</f>
        <v/>
      </c>
      <c r="P60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05" s="29">
        <f>IF(ISERROR(SEARCH(techniques[[#This Row],[id]],techniques[[#This Row],[name]])),"ERROR","")</f>
        <v/>
      </c>
      <c r="S60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06">
      <c r="A606" s="74" t="inlineStr">
        <is>
          <t>T1596</t>
        </is>
      </c>
      <c r="B606" s="74" t="inlineStr">
        <is>
          <t>T1596</t>
        </is>
      </c>
      <c r="C606" s="13" t="inlineStr">
        <is>
          <t>Search Open Technical Databases (T1596)</t>
        </is>
      </c>
      <c r="D606" s="13" t="inlineStr">
        <is>
          <t>reconnaissance</t>
        </is>
      </c>
      <c r="E606" s="13" t="inlineStr"/>
      <c r="F606" s="74" t="n">
        <v>0</v>
      </c>
      <c r="G606" s="72">
        <f t="array" ref="G606">SUM(IF(ISERROR(FIND(sources[data source],techniques[[#This Row],[data sources]])),0,1)*IF(sources[available]="yes",1,0))</f>
        <v/>
      </c>
      <c r="H606" s="73">
        <f t="array" ref="H606">IF(techniques[[#This Row],[technique]]=techniques[[#This Row],[id]],SUM(IF(techniques[[#This Row],[id]]=techniques[technique],1,0))-1,"")</f>
        <v/>
      </c>
      <c r="I606" s="74">
        <f t="array" ref="I606">IF(SUM(IF($C606=detections[],IF(detections[is active]="yes",1,0),0))&gt;0,SUM(IF($C606=detections[],IF(detections[is active]="yes",1,0),0)),"")</f>
        <v/>
      </c>
      <c r="J606" s="74">
        <f t="array" ref="J60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06" s="74">
        <f>IF(AND(ISNUMBER(techniques[[#This Row],[number of sub techniques]]),techniques[[#This Row],[number of sub techniques]]&gt;1),techniques[number of sub techniques],1)</f>
        <v/>
      </c>
      <c r="L606" s="72" t="n"/>
      <c r="M606" s="74">
        <f t="array" ref="M60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0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06" s="26">
        <f>IF(techniques[[#This Row],[detection rules]]&gt;=techniques[[#This Row],[expected detection rules]],1,techniques[[#This Row],[detection rules]]/techniques[[#This Row],[expected detection rules]])</f>
        <v/>
      </c>
      <c r="P60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06" s="29">
        <f>IF(ISERROR(SEARCH(techniques[[#This Row],[id]],techniques[[#This Row],[name]])),"ERROR","")</f>
        <v/>
      </c>
      <c r="S60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07">
      <c r="A607" s="74" t="inlineStr">
        <is>
          <t>T1596</t>
        </is>
      </c>
      <c r="B607" s="74" t="inlineStr">
        <is>
          <t>T1596.001</t>
        </is>
      </c>
      <c r="C607" s="13" t="inlineStr">
        <is>
          <t>DNS/Passive DNS (T1596.001)</t>
        </is>
      </c>
      <c r="D607" s="13" t="inlineStr">
        <is>
          <t>reconnaissance</t>
        </is>
      </c>
      <c r="E607" s="13" t="inlineStr"/>
      <c r="F607" s="74" t="n">
        <v>0</v>
      </c>
      <c r="G607" s="72">
        <f t="array" ref="G607">SUM(IF(ISERROR(FIND(sources[data source],techniques[[#This Row],[data sources]])),0,1)*IF(sources[available]="yes",1,0))</f>
        <v/>
      </c>
      <c r="H607" s="73">
        <f t="array" ref="H607">IF(techniques[[#This Row],[technique]]=techniques[[#This Row],[id]],SUM(IF(techniques[[#This Row],[id]]=techniques[technique],1,0))-1,"")</f>
        <v/>
      </c>
      <c r="I607" s="74">
        <f t="array" ref="I607">IF(SUM(IF($C607=detections[],IF(detections[is active]="yes",1,0),0))&gt;0,SUM(IF($C607=detections[],IF(detections[is active]="yes",1,0),0)),"")</f>
        <v/>
      </c>
      <c r="J607" s="74">
        <f t="array" ref="J60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07" s="74">
        <f>IF(AND(ISNUMBER(techniques[[#This Row],[number of sub techniques]]),techniques[[#This Row],[number of sub techniques]]&gt;1),techniques[number of sub techniques],1)</f>
        <v/>
      </c>
      <c r="L607" s="72" t="n"/>
      <c r="M607" s="74">
        <f t="array" ref="M60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0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07" s="26">
        <f>IF(techniques[[#This Row],[detection rules]]&gt;=techniques[[#This Row],[expected detection rules]],1,techniques[[#This Row],[detection rules]]/techniques[[#This Row],[expected detection rules]])</f>
        <v/>
      </c>
      <c r="P60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07" s="29">
        <f>IF(ISERROR(SEARCH(techniques[[#This Row],[id]],techniques[[#This Row],[name]])),"ERROR","")</f>
        <v/>
      </c>
      <c r="S60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08">
      <c r="A608" s="74" t="inlineStr">
        <is>
          <t>T1596</t>
        </is>
      </c>
      <c r="B608" s="74" t="inlineStr">
        <is>
          <t>T1596.002</t>
        </is>
      </c>
      <c r="C608" s="13" t="inlineStr">
        <is>
          <t>WHOIS (T1596.002)</t>
        </is>
      </c>
      <c r="D608" s="13" t="inlineStr">
        <is>
          <t>reconnaissance</t>
        </is>
      </c>
      <c r="E608" s="13" t="inlineStr"/>
      <c r="F608" s="74" t="n">
        <v>0</v>
      </c>
      <c r="G608" s="72">
        <f t="array" ref="G608">SUM(IF(ISERROR(FIND(sources[data source],techniques[[#This Row],[data sources]])),0,1)*IF(sources[available]="yes",1,0))</f>
        <v/>
      </c>
      <c r="H608" s="73">
        <f t="array" ref="H608">IF(techniques[[#This Row],[technique]]=techniques[[#This Row],[id]],SUM(IF(techniques[[#This Row],[id]]=techniques[technique],1,0))-1,"")</f>
        <v/>
      </c>
      <c r="I608" s="74">
        <f t="array" ref="I608">IF(SUM(IF($C608=detections[],IF(detections[is active]="yes",1,0),0))&gt;0,SUM(IF($C608=detections[],IF(detections[is active]="yes",1,0),0)),"")</f>
        <v/>
      </c>
      <c r="J608" s="74">
        <f t="array" ref="J60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08" s="74">
        <f>IF(AND(ISNUMBER(techniques[[#This Row],[number of sub techniques]]),techniques[[#This Row],[number of sub techniques]]&gt;1),techniques[number of sub techniques],1)</f>
        <v/>
      </c>
      <c r="L608" s="72" t="n"/>
      <c r="M608" s="74">
        <f t="array" ref="M60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0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08" s="26">
        <f>IF(techniques[[#This Row],[detection rules]]&gt;=techniques[[#This Row],[expected detection rules]],1,techniques[[#This Row],[detection rules]]/techniques[[#This Row],[expected detection rules]])</f>
        <v/>
      </c>
      <c r="P60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08" s="29">
        <f>IF(ISERROR(SEARCH(techniques[[#This Row],[id]],techniques[[#This Row],[name]])),"ERROR","")</f>
        <v/>
      </c>
      <c r="S60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09">
      <c r="A609" s="74" t="inlineStr">
        <is>
          <t>T1596</t>
        </is>
      </c>
      <c r="B609" s="74" t="inlineStr">
        <is>
          <t>T1596.003</t>
        </is>
      </c>
      <c r="C609" s="13" t="inlineStr">
        <is>
          <t>Digital Certificates (T1596.003)</t>
        </is>
      </c>
      <c r="D609" s="13" t="inlineStr">
        <is>
          <t>reconnaissance</t>
        </is>
      </c>
      <c r="E609" s="13" t="inlineStr"/>
      <c r="F609" s="74" t="n">
        <v>0</v>
      </c>
      <c r="G609" s="72">
        <f t="array" ref="G609">SUM(IF(ISERROR(FIND(sources[data source],techniques[[#This Row],[data sources]])),0,1)*IF(sources[available]="yes",1,0))</f>
        <v/>
      </c>
      <c r="H609" s="73">
        <f t="array" ref="H609">IF(techniques[[#This Row],[technique]]=techniques[[#This Row],[id]],SUM(IF(techniques[[#This Row],[id]]=techniques[technique],1,0))-1,"")</f>
        <v/>
      </c>
      <c r="I609" s="74">
        <f t="array" ref="I609">IF(SUM(IF($C609=detections[],IF(detections[is active]="yes",1,0),0))&gt;0,SUM(IF($C609=detections[],IF(detections[is active]="yes",1,0),0)),"")</f>
        <v/>
      </c>
      <c r="J609" s="74">
        <f t="array" ref="J60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09" s="74">
        <f>IF(AND(ISNUMBER(techniques[[#This Row],[number of sub techniques]]),techniques[[#This Row],[number of sub techniques]]&gt;1),techniques[number of sub techniques],1)</f>
        <v/>
      </c>
      <c r="L609" s="72" t="n"/>
      <c r="M609" s="74">
        <f t="array" ref="M60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0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09" s="26">
        <f>IF(techniques[[#This Row],[detection rules]]&gt;=techniques[[#This Row],[expected detection rules]],1,techniques[[#This Row],[detection rules]]/techniques[[#This Row],[expected detection rules]])</f>
        <v/>
      </c>
      <c r="P60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09" s="29">
        <f>IF(ISERROR(SEARCH(techniques[[#This Row],[id]],techniques[[#This Row],[name]])),"ERROR","")</f>
        <v/>
      </c>
      <c r="S60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10">
      <c r="A610" s="74" t="inlineStr">
        <is>
          <t>T1596</t>
        </is>
      </c>
      <c r="B610" s="74" t="inlineStr">
        <is>
          <t>T1596.004</t>
        </is>
      </c>
      <c r="C610" s="13" t="inlineStr">
        <is>
          <t>CDNs (T1596.004)</t>
        </is>
      </c>
      <c r="D610" s="13" t="inlineStr">
        <is>
          <t>reconnaissance</t>
        </is>
      </c>
      <c r="E610" s="13" t="inlineStr"/>
      <c r="F610" s="74" t="n">
        <v>0</v>
      </c>
      <c r="G610" s="72">
        <f t="array" ref="G610">SUM(IF(ISERROR(FIND(sources[data source],techniques[[#This Row],[data sources]])),0,1)*IF(sources[available]="yes",1,0))</f>
        <v/>
      </c>
      <c r="H610" s="73">
        <f t="array" ref="H610">IF(techniques[[#This Row],[technique]]=techniques[[#This Row],[id]],SUM(IF(techniques[[#This Row],[id]]=techniques[technique],1,0))-1,"")</f>
        <v/>
      </c>
      <c r="I610" s="74">
        <f t="array" ref="I610">IF(SUM(IF($C610=detections[],IF(detections[is active]="yes",1,0),0))&gt;0,SUM(IF($C610=detections[],IF(detections[is active]="yes",1,0),0)),"")</f>
        <v/>
      </c>
      <c r="J610" s="74">
        <f t="array" ref="J61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10" s="74">
        <f>IF(AND(ISNUMBER(techniques[[#This Row],[number of sub techniques]]),techniques[[#This Row],[number of sub techniques]]&gt;1),techniques[number of sub techniques],1)</f>
        <v/>
      </c>
      <c r="L610" s="72" t="n"/>
      <c r="M610" s="74">
        <f t="array" ref="M61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1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10" s="26">
        <f>IF(techniques[[#This Row],[detection rules]]&gt;=techniques[[#This Row],[expected detection rules]],1,techniques[[#This Row],[detection rules]]/techniques[[#This Row],[expected detection rules]])</f>
        <v/>
      </c>
      <c r="P61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10" s="29">
        <f>IF(ISERROR(SEARCH(techniques[[#This Row],[id]],techniques[[#This Row],[name]])),"ERROR","")</f>
        <v/>
      </c>
      <c r="S61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11">
      <c r="A611" s="74" t="inlineStr">
        <is>
          <t>T1596</t>
        </is>
      </c>
      <c r="B611" s="74" t="inlineStr">
        <is>
          <t>T1596.005</t>
        </is>
      </c>
      <c r="C611" s="13" t="inlineStr">
        <is>
          <t>Scan Databases (T1596.005)</t>
        </is>
      </c>
      <c r="D611" s="13" t="inlineStr">
        <is>
          <t>reconnaissance</t>
        </is>
      </c>
      <c r="E611" s="13" t="inlineStr"/>
      <c r="F611" s="74" t="n">
        <v>0</v>
      </c>
      <c r="G611" s="72">
        <f t="array" ref="G611">SUM(IF(ISERROR(FIND(sources[data source],techniques[[#This Row],[data sources]])),0,1)*IF(sources[available]="yes",1,0))</f>
        <v/>
      </c>
      <c r="H611" s="73">
        <f t="array" ref="H611">IF(techniques[[#This Row],[technique]]=techniques[[#This Row],[id]],SUM(IF(techniques[[#This Row],[id]]=techniques[technique],1,0))-1,"")</f>
        <v/>
      </c>
      <c r="I611" s="74">
        <f t="array" ref="I611">IF(SUM(IF($C611=detections[],IF(detections[is active]="yes",1,0),0))&gt;0,SUM(IF($C611=detections[],IF(detections[is active]="yes",1,0),0)),"")</f>
        <v/>
      </c>
      <c r="J611" s="74">
        <f t="array" ref="J61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11" s="74">
        <f>IF(AND(ISNUMBER(techniques[[#This Row],[number of sub techniques]]),techniques[[#This Row],[number of sub techniques]]&gt;1),techniques[number of sub techniques],1)</f>
        <v/>
      </c>
      <c r="L611" s="72" t="n"/>
      <c r="M611" s="74">
        <f t="array" ref="M61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1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11" s="26">
        <f>IF(techniques[[#This Row],[detection rules]]&gt;=techniques[[#This Row],[expected detection rules]],1,techniques[[#This Row],[detection rules]]/techniques[[#This Row],[expected detection rules]])</f>
        <v/>
      </c>
      <c r="P61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11" s="29">
        <f>IF(ISERROR(SEARCH(techniques[[#This Row],[id]],techniques[[#This Row],[name]])),"ERROR","")</f>
        <v/>
      </c>
      <c r="S61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12">
      <c r="A612" s="74" t="inlineStr">
        <is>
          <t>T1597</t>
        </is>
      </c>
      <c r="B612" s="74" t="inlineStr">
        <is>
          <t>T1597</t>
        </is>
      </c>
      <c r="C612" s="13" t="inlineStr">
        <is>
          <t>Search Closed Sources (T1597)</t>
        </is>
      </c>
      <c r="D612" s="13" t="inlineStr">
        <is>
          <t>reconnaissance</t>
        </is>
      </c>
      <c r="E612" s="13" t="inlineStr"/>
      <c r="F612" s="74" t="n">
        <v>0</v>
      </c>
      <c r="G612" s="72">
        <f t="array" ref="G612">SUM(IF(ISERROR(FIND(sources[data source],techniques[[#This Row],[data sources]])),0,1)*IF(sources[available]="yes",1,0))</f>
        <v/>
      </c>
      <c r="H612" s="73">
        <f t="array" ref="H612">IF(techniques[[#This Row],[technique]]=techniques[[#This Row],[id]],SUM(IF(techniques[[#This Row],[id]]=techniques[technique],1,0))-1,"")</f>
        <v/>
      </c>
      <c r="I612" s="74">
        <f t="array" ref="I612">IF(SUM(IF($C612=detections[],IF(detections[is active]="yes",1,0),0))&gt;0,SUM(IF($C612=detections[],IF(detections[is active]="yes",1,0),0)),"")</f>
        <v/>
      </c>
      <c r="J612" s="74">
        <f t="array" ref="J61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12" s="74">
        <f>IF(AND(ISNUMBER(techniques[[#This Row],[number of sub techniques]]),techniques[[#This Row],[number of sub techniques]]&gt;1),techniques[number of sub techniques],1)</f>
        <v/>
      </c>
      <c r="L612" s="72" t="n"/>
      <c r="M612" s="74">
        <f t="array" ref="M61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1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12" s="26">
        <f>IF(techniques[[#This Row],[detection rules]]&gt;=techniques[[#This Row],[expected detection rules]],1,techniques[[#This Row],[detection rules]]/techniques[[#This Row],[expected detection rules]])</f>
        <v/>
      </c>
      <c r="P61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12" s="29">
        <f>IF(ISERROR(SEARCH(techniques[[#This Row],[id]],techniques[[#This Row],[name]])),"ERROR","")</f>
        <v/>
      </c>
      <c r="S61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13">
      <c r="A613" s="74" t="inlineStr">
        <is>
          <t>T1597</t>
        </is>
      </c>
      <c r="B613" s="74" t="inlineStr">
        <is>
          <t>T1597.001</t>
        </is>
      </c>
      <c r="C613" s="13" t="inlineStr">
        <is>
          <t>Threat Intel Vendors (T1597.001)</t>
        </is>
      </c>
      <c r="D613" s="13" t="inlineStr">
        <is>
          <t>reconnaissance</t>
        </is>
      </c>
      <c r="E613" s="13" t="inlineStr"/>
      <c r="F613" s="74" t="n">
        <v>0</v>
      </c>
      <c r="G613" s="72">
        <f t="array" ref="G613">SUM(IF(ISERROR(FIND(sources[data source],techniques[[#This Row],[data sources]])),0,1)*IF(sources[available]="yes",1,0))</f>
        <v/>
      </c>
      <c r="H613" s="73">
        <f t="array" ref="H613">IF(techniques[[#This Row],[technique]]=techniques[[#This Row],[id]],SUM(IF(techniques[[#This Row],[id]]=techniques[technique],1,0))-1,"")</f>
        <v/>
      </c>
      <c r="I613" s="74">
        <f t="array" ref="I613">IF(SUM(IF($C613=detections[],IF(detections[is active]="yes",1,0),0))&gt;0,SUM(IF($C613=detections[],IF(detections[is active]="yes",1,0),0)),"")</f>
        <v/>
      </c>
      <c r="J613" s="74">
        <f t="array" ref="J61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13" s="74">
        <f>IF(AND(ISNUMBER(techniques[[#This Row],[number of sub techniques]]),techniques[[#This Row],[number of sub techniques]]&gt;1),techniques[number of sub techniques],1)</f>
        <v/>
      </c>
      <c r="L613" s="72" t="n"/>
      <c r="M613" s="74">
        <f t="array" ref="M61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1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13" s="26">
        <f>IF(techniques[[#This Row],[detection rules]]&gt;=techniques[[#This Row],[expected detection rules]],1,techniques[[#This Row],[detection rules]]/techniques[[#This Row],[expected detection rules]])</f>
        <v/>
      </c>
      <c r="P61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13" s="29">
        <f>IF(ISERROR(SEARCH(techniques[[#This Row],[id]],techniques[[#This Row],[name]])),"ERROR","")</f>
        <v/>
      </c>
      <c r="S61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14">
      <c r="A614" s="74" t="inlineStr">
        <is>
          <t>T1597</t>
        </is>
      </c>
      <c r="B614" s="74" t="inlineStr">
        <is>
          <t>T1597.002</t>
        </is>
      </c>
      <c r="C614" s="13" t="inlineStr">
        <is>
          <t>Purchase Technical Data (T1597.002)</t>
        </is>
      </c>
      <c r="D614" s="13" t="inlineStr">
        <is>
          <t>reconnaissance</t>
        </is>
      </c>
      <c r="E614" s="13" t="inlineStr"/>
      <c r="F614" s="74" t="n">
        <v>0</v>
      </c>
      <c r="G614" s="72">
        <f t="array" ref="G614">SUM(IF(ISERROR(FIND(sources[data source],techniques[[#This Row],[data sources]])),0,1)*IF(sources[available]="yes",1,0))</f>
        <v/>
      </c>
      <c r="H614" s="73">
        <f t="array" ref="H614">IF(techniques[[#This Row],[technique]]=techniques[[#This Row],[id]],SUM(IF(techniques[[#This Row],[id]]=techniques[technique],1,0))-1,"")</f>
        <v/>
      </c>
      <c r="I614" s="74">
        <f t="array" ref="I614">IF(SUM(IF($C614=detections[],IF(detections[is active]="yes",1,0),0))&gt;0,SUM(IF($C614=detections[],IF(detections[is active]="yes",1,0),0)),"")</f>
        <v/>
      </c>
      <c r="J614" s="74">
        <f t="array" ref="J61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14" s="74">
        <f>IF(AND(ISNUMBER(techniques[[#This Row],[number of sub techniques]]),techniques[[#This Row],[number of sub techniques]]&gt;1),techniques[number of sub techniques],1)</f>
        <v/>
      </c>
      <c r="L614" s="72" t="n"/>
      <c r="M614" s="74">
        <f t="array" ref="M61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1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14" s="26">
        <f>IF(techniques[[#This Row],[detection rules]]&gt;=techniques[[#This Row],[expected detection rules]],1,techniques[[#This Row],[detection rules]]/techniques[[#This Row],[expected detection rules]])</f>
        <v/>
      </c>
      <c r="P61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14" s="29">
        <f>IF(ISERROR(SEARCH(techniques[[#This Row],[id]],techniques[[#This Row],[name]])),"ERROR","")</f>
        <v/>
      </c>
      <c r="S61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15">
      <c r="A615" s="74" t="inlineStr">
        <is>
          <t>T1598</t>
        </is>
      </c>
      <c r="B615" s="74" t="inlineStr">
        <is>
          <t>T1598</t>
        </is>
      </c>
      <c r="C615" s="13" t="inlineStr">
        <is>
          <t>Phishing for Information (T1598)</t>
        </is>
      </c>
      <c r="D615" s="13" t="inlineStr">
        <is>
          <t>reconnaissance</t>
        </is>
      </c>
      <c r="E615" s="13" t="inlineStr">
        <is>
          <t>Application Log: Application Log Content|Network Traffic: Network Traffic Content|Network Traffic: Network Traffic Flow</t>
        </is>
      </c>
      <c r="F615" s="74" t="n">
        <v>3</v>
      </c>
      <c r="G615" s="72">
        <f t="array" ref="G615">SUM(IF(ISERROR(FIND(sources[data source],techniques[[#This Row],[data sources]])),0,1)*IF(sources[available]="yes",1,0))</f>
        <v/>
      </c>
      <c r="H615" s="73">
        <f t="array" ref="H615">IF(techniques[[#This Row],[technique]]=techniques[[#This Row],[id]],SUM(IF(techniques[[#This Row],[id]]=techniques[technique],1,0))-1,"")</f>
        <v/>
      </c>
      <c r="I615" s="74">
        <f t="array" ref="I615">IF(SUM(IF($C615=detections[],IF(detections[is active]="yes",1,0),0))&gt;0,SUM(IF($C615=detections[],IF(detections[is active]="yes",1,0),0)),"")</f>
        <v/>
      </c>
      <c r="J615" s="74">
        <f t="array" ref="J61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15" s="74">
        <f>IF(AND(ISNUMBER(techniques[[#This Row],[number of sub techniques]]),techniques[[#This Row],[number of sub techniques]]&gt;1),techniques[number of sub techniques],1)</f>
        <v/>
      </c>
      <c r="L615" s="72" t="n"/>
      <c r="M615" s="74">
        <f t="array" ref="M61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1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15" s="26">
        <f>IF(techniques[[#This Row],[detection rules]]&gt;=techniques[[#This Row],[expected detection rules]],1,techniques[[#This Row],[detection rules]]/techniques[[#This Row],[expected detection rules]])</f>
        <v/>
      </c>
      <c r="P61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15" s="29">
        <f>IF(ISERROR(SEARCH(techniques[[#This Row],[id]],techniques[[#This Row],[name]])),"ERROR","")</f>
        <v/>
      </c>
      <c r="S61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16">
      <c r="A616" s="74" t="inlineStr">
        <is>
          <t>T1598</t>
        </is>
      </c>
      <c r="B616" s="74" t="inlineStr">
        <is>
          <t>T1598.001</t>
        </is>
      </c>
      <c r="C616" s="13" t="inlineStr">
        <is>
          <t>Spearphishing Service (T1598.001)</t>
        </is>
      </c>
      <c r="D616" s="13" t="inlineStr">
        <is>
          <t>reconnaissance</t>
        </is>
      </c>
      <c r="E616" s="13" t="inlineStr">
        <is>
          <t>Application Log: Application Log Content|Network Traffic: Network Traffic Content|Network Traffic: Network Traffic Flow</t>
        </is>
      </c>
      <c r="F616" s="74" t="n">
        <v>3</v>
      </c>
      <c r="G616" s="72">
        <f t="array" ref="G616">SUM(IF(ISERROR(FIND(sources[data source],techniques[[#This Row],[data sources]])),0,1)*IF(sources[available]="yes",1,0))</f>
        <v/>
      </c>
      <c r="H616" s="73">
        <f t="array" ref="H616">IF(techniques[[#This Row],[technique]]=techniques[[#This Row],[id]],SUM(IF(techniques[[#This Row],[id]]=techniques[technique],1,0))-1,"")</f>
        <v/>
      </c>
      <c r="I616" s="74">
        <f t="array" ref="I616">IF(SUM(IF($C616=detections[],IF(detections[is active]="yes",1,0),0))&gt;0,SUM(IF($C616=detections[],IF(detections[is active]="yes",1,0),0)),"")</f>
        <v/>
      </c>
      <c r="J616" s="74">
        <f t="array" ref="J61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16" s="74">
        <f>IF(AND(ISNUMBER(techniques[[#This Row],[number of sub techniques]]),techniques[[#This Row],[number of sub techniques]]&gt;1),techniques[number of sub techniques],1)</f>
        <v/>
      </c>
      <c r="L616" s="72" t="n"/>
      <c r="M616" s="74">
        <f t="array" ref="M61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1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16" s="26">
        <f>IF(techniques[[#This Row],[detection rules]]&gt;=techniques[[#This Row],[expected detection rules]],1,techniques[[#This Row],[detection rules]]/techniques[[#This Row],[expected detection rules]])</f>
        <v/>
      </c>
      <c r="P61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16" s="29">
        <f>IF(ISERROR(SEARCH(techniques[[#This Row],[id]],techniques[[#This Row],[name]])),"ERROR","")</f>
        <v/>
      </c>
      <c r="S61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17">
      <c r="A617" s="74" t="inlineStr">
        <is>
          <t>T1598</t>
        </is>
      </c>
      <c r="B617" s="74" t="inlineStr">
        <is>
          <t>T1598.002</t>
        </is>
      </c>
      <c r="C617" s="13" t="inlineStr">
        <is>
          <t>Spearphishing Attachment (T1598.002)</t>
        </is>
      </c>
      <c r="D617" s="13" t="inlineStr">
        <is>
          <t>reconnaissance</t>
        </is>
      </c>
      <c r="E617" s="13" t="inlineStr">
        <is>
          <t>Application Log: Application Log Content|Network Traffic: Network Traffic Content|Network Traffic: Network Traffic Flow</t>
        </is>
      </c>
      <c r="F617" s="74" t="n">
        <v>3</v>
      </c>
      <c r="G617" s="72">
        <f t="array" ref="G617">SUM(IF(ISERROR(FIND(sources[data source],techniques[[#This Row],[data sources]])),0,1)*IF(sources[available]="yes",1,0))</f>
        <v/>
      </c>
      <c r="H617" s="73">
        <f t="array" ref="H617">IF(techniques[[#This Row],[technique]]=techniques[[#This Row],[id]],SUM(IF(techniques[[#This Row],[id]]=techniques[technique],1,0))-1,"")</f>
        <v/>
      </c>
      <c r="I617" s="74">
        <f t="array" ref="I617">IF(SUM(IF($C617=detections[],IF(detections[is active]="yes",1,0),0))&gt;0,SUM(IF($C617=detections[],IF(detections[is active]="yes",1,0),0)),"")</f>
        <v/>
      </c>
      <c r="J617" s="74">
        <f t="array" ref="J61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17" s="74">
        <f>IF(AND(ISNUMBER(techniques[[#This Row],[number of sub techniques]]),techniques[[#This Row],[number of sub techniques]]&gt;1),techniques[number of sub techniques],1)</f>
        <v/>
      </c>
      <c r="L617" s="72" t="n"/>
      <c r="M617" s="74">
        <f t="array" ref="M61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1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17" s="26">
        <f>IF(techniques[[#This Row],[detection rules]]&gt;=techniques[[#This Row],[expected detection rules]],1,techniques[[#This Row],[detection rules]]/techniques[[#This Row],[expected detection rules]])</f>
        <v/>
      </c>
      <c r="P61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17" s="29">
        <f>IF(ISERROR(SEARCH(techniques[[#This Row],[id]],techniques[[#This Row],[name]])),"ERROR","")</f>
        <v/>
      </c>
      <c r="S61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18">
      <c r="A618" s="74" t="inlineStr">
        <is>
          <t>T1598</t>
        </is>
      </c>
      <c r="B618" s="74" t="inlineStr">
        <is>
          <t>T1598.003</t>
        </is>
      </c>
      <c r="C618" s="13" t="inlineStr">
        <is>
          <t>Spearphishing Link (T1598.003)</t>
        </is>
      </c>
      <c r="D618" s="13" t="inlineStr">
        <is>
          <t>reconnaissance</t>
        </is>
      </c>
      <c r="E618" s="13" t="inlineStr">
        <is>
          <t>Application Log: Application Log Content|Network Traffic: Network Traffic Content|Network Traffic: Network Traffic Flow</t>
        </is>
      </c>
      <c r="F618" s="74" t="n">
        <v>3</v>
      </c>
      <c r="G618" s="72">
        <f t="array" ref="G618">SUM(IF(ISERROR(FIND(sources[data source],techniques[[#This Row],[data sources]])),0,1)*IF(sources[available]="yes",1,0))</f>
        <v/>
      </c>
      <c r="H618" s="73">
        <f t="array" ref="H618">IF(techniques[[#This Row],[technique]]=techniques[[#This Row],[id]],SUM(IF(techniques[[#This Row],[id]]=techniques[technique],1,0))-1,"")</f>
        <v/>
      </c>
      <c r="I618" s="74">
        <f t="array" ref="I618">IF(SUM(IF($C618=detections[],IF(detections[is active]="yes",1,0),0))&gt;0,SUM(IF($C618=detections[],IF(detections[is active]="yes",1,0),0)),"")</f>
        <v/>
      </c>
      <c r="J618" s="74">
        <f t="array" ref="J61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18" s="74">
        <f>IF(AND(ISNUMBER(techniques[[#This Row],[number of sub techniques]]),techniques[[#This Row],[number of sub techniques]]&gt;1),techniques[number of sub techniques],1)</f>
        <v/>
      </c>
      <c r="L618" s="72" t="n"/>
      <c r="M618" s="74">
        <f t="array" ref="M61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1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18" s="26">
        <f>IF(techniques[[#This Row],[detection rules]]&gt;=techniques[[#This Row],[expected detection rules]],1,techniques[[#This Row],[detection rules]]/techniques[[#This Row],[expected detection rules]])</f>
        <v/>
      </c>
      <c r="P61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18" s="29">
        <f>IF(ISERROR(SEARCH(techniques[[#This Row],[id]],techniques[[#This Row],[name]])),"ERROR","")</f>
        <v/>
      </c>
      <c r="S61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19">
      <c r="A619" s="74" t="inlineStr">
        <is>
          <t>T1598</t>
        </is>
      </c>
      <c r="B619" s="74" t="inlineStr">
        <is>
          <t>T1598.004</t>
        </is>
      </c>
      <c r="C619" s="13" t="inlineStr">
        <is>
          <t>Spearphishing Voice (T1598.004)</t>
        </is>
      </c>
      <c r="D619" s="13" t="inlineStr">
        <is>
          <t>reconnaissance</t>
        </is>
      </c>
      <c r="E619" s="13" t="inlineStr">
        <is>
          <t>Application Log: Application Log Content</t>
        </is>
      </c>
      <c r="F619" s="74" t="n">
        <v>1</v>
      </c>
      <c r="G619" s="72">
        <f t="array" ref="G619">SUM(IF(ISERROR(FIND(sources[data source],techniques[[#This Row],[data sources]])),0,1)*IF(sources[available]="yes",1,0))</f>
        <v/>
      </c>
      <c r="H619" s="73">
        <f t="array" ref="H619">IF(techniques[[#This Row],[technique]]=techniques[[#This Row],[id]],SUM(IF(techniques[[#This Row],[id]]=techniques[technique],1,0))-1,"")</f>
        <v/>
      </c>
      <c r="I619" s="74">
        <f t="array" ref="I619">IF(SUM(IF($C619=detections[],IF(detections[is active]="yes",1,0),0))&gt;0,SUM(IF($C619=detections[],IF(detections[is active]="yes",1,0),0)),"")</f>
        <v/>
      </c>
      <c r="J619" s="74">
        <f t="array" ref="J61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19" s="74">
        <f>IF(AND(ISNUMBER(techniques[[#This Row],[number of sub techniques]]),techniques[[#This Row],[number of sub techniques]]&gt;1),techniques[number of sub techniques],1)</f>
        <v/>
      </c>
      <c r="L619" s="72" t="n"/>
      <c r="M619" s="74">
        <f t="array" ref="M61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1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19" s="26">
        <f>IF(techniques[[#This Row],[detection rules]]&gt;=techniques[[#This Row],[expected detection rules]],1,techniques[[#This Row],[detection rules]]/techniques[[#This Row],[expected detection rules]])</f>
        <v/>
      </c>
      <c r="P61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19" s="29">
        <f>IF(ISERROR(SEARCH(techniques[[#This Row],[id]],techniques[[#This Row],[name]])),"ERROR","")</f>
        <v/>
      </c>
      <c r="S61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20">
      <c r="A620" s="74" t="inlineStr">
        <is>
          <t>T1599</t>
        </is>
      </c>
      <c r="B620" s="74" t="inlineStr">
        <is>
          <t>T1599</t>
        </is>
      </c>
      <c r="C620" s="13" t="inlineStr">
        <is>
          <t>Network Boundary Bridging (T1599)</t>
        </is>
      </c>
      <c r="D620" s="13" t="inlineStr">
        <is>
          <t>defense-impairment</t>
        </is>
      </c>
      <c r="E620" s="13" t="inlineStr">
        <is>
          <t>Network Traffic: Network Traffic Content|Network Traffic: Network Traffic Flow</t>
        </is>
      </c>
      <c r="F620" s="74" t="n">
        <v>2</v>
      </c>
      <c r="G620" s="72">
        <f t="array" ref="G620">SUM(IF(ISERROR(FIND(sources[data source],techniques[[#This Row],[data sources]])),0,1)*IF(sources[available]="yes",1,0))</f>
        <v/>
      </c>
      <c r="H620" s="73">
        <f t="array" ref="H620">IF(techniques[[#This Row],[technique]]=techniques[[#This Row],[id]],SUM(IF(techniques[[#This Row],[id]]=techniques[technique],1,0))-1,"")</f>
        <v/>
      </c>
      <c r="I620" s="74">
        <f t="array" ref="I620">IF(SUM(IF($C620=detections[],IF(detections[is active]="yes",1,0),0))&gt;0,SUM(IF($C620=detections[],IF(detections[is active]="yes",1,0),0)),"")</f>
        <v/>
      </c>
      <c r="J620" s="74">
        <f t="array" ref="J62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20" s="74">
        <f>IF(AND(ISNUMBER(techniques[[#This Row],[number of sub techniques]]),techniques[[#This Row],[number of sub techniques]]&gt;1),techniques[number of sub techniques],1)</f>
        <v/>
      </c>
      <c r="L620" s="72" t="n"/>
      <c r="M620" s="74">
        <f t="array" ref="M62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2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20" s="26">
        <f>IF(techniques[[#This Row],[detection rules]]&gt;=techniques[[#This Row],[expected detection rules]],1,techniques[[#This Row],[detection rules]]/techniques[[#This Row],[expected detection rules]])</f>
        <v/>
      </c>
      <c r="P62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20" s="29">
        <f>IF(ISERROR(SEARCH(techniques[[#This Row],[id]],techniques[[#This Row],[name]])),"ERROR","")</f>
        <v/>
      </c>
      <c r="S62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21">
      <c r="A621" s="74" t="inlineStr">
        <is>
          <t>T1599</t>
        </is>
      </c>
      <c r="B621" s="74" t="inlineStr">
        <is>
          <t>T1599.001</t>
        </is>
      </c>
      <c r="C621" s="13" t="inlineStr">
        <is>
          <t>Network Address Translation Traversal (T1599.001)</t>
        </is>
      </c>
      <c r="D621" s="13" t="inlineStr">
        <is>
          <t>defense-impairment</t>
        </is>
      </c>
      <c r="E621" s="13" t="inlineStr">
        <is>
          <t>Network Traffic: Network Traffic Content|Network Traffic: Network Traffic Flow</t>
        </is>
      </c>
      <c r="F621" s="74" t="n">
        <v>2</v>
      </c>
      <c r="G621" s="72">
        <f t="array" ref="G621">SUM(IF(ISERROR(FIND(sources[data source],techniques[[#This Row],[data sources]])),0,1)*IF(sources[available]="yes",1,0))</f>
        <v/>
      </c>
      <c r="H621" s="73">
        <f t="array" ref="H621">IF(techniques[[#This Row],[technique]]=techniques[[#This Row],[id]],SUM(IF(techniques[[#This Row],[id]]=techniques[technique],1,0))-1,"")</f>
        <v/>
      </c>
      <c r="I621" s="74">
        <f t="array" ref="I621">IF(SUM(IF($C621=detections[],IF(detections[is active]="yes",1,0),0))&gt;0,SUM(IF($C621=detections[],IF(detections[is active]="yes",1,0),0)),"")</f>
        <v/>
      </c>
      <c r="J621" s="74">
        <f t="array" ref="J62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21" s="74">
        <f>IF(AND(ISNUMBER(techniques[[#This Row],[number of sub techniques]]),techniques[[#This Row],[number of sub techniques]]&gt;1),techniques[number of sub techniques],1)</f>
        <v/>
      </c>
      <c r="L621" s="72" t="n"/>
      <c r="M621" s="74">
        <f t="array" ref="M62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2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21" s="26">
        <f>IF(techniques[[#This Row],[detection rules]]&gt;=techniques[[#This Row],[expected detection rules]],1,techniques[[#This Row],[detection rules]]/techniques[[#This Row],[expected detection rules]])</f>
        <v/>
      </c>
      <c r="P62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21" s="29">
        <f>IF(ISERROR(SEARCH(techniques[[#This Row],[id]],techniques[[#This Row],[name]])),"ERROR","")</f>
        <v/>
      </c>
      <c r="S62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22">
      <c r="A622" s="74" t="inlineStr">
        <is>
          <t>T1600</t>
        </is>
      </c>
      <c r="B622" s="74" t="inlineStr">
        <is>
          <t>T1600</t>
        </is>
      </c>
      <c r="C622" s="13" t="inlineStr">
        <is>
          <t>Weaken Encryption (T1600)</t>
        </is>
      </c>
      <c r="D622" s="13" t="inlineStr">
        <is>
          <t>defense-impairment</t>
        </is>
      </c>
      <c r="E622" s="13" t="inlineStr">
        <is>
          <t>File: File Modification|Module: Module Load|Network Traffic: Network Traffic Content</t>
        </is>
      </c>
      <c r="F622" s="74" t="n">
        <v>3</v>
      </c>
      <c r="G622" s="72">
        <f t="array" ref="G622">SUM(IF(ISERROR(FIND(sources[data source],techniques[[#This Row],[data sources]])),0,1)*IF(sources[available]="yes",1,0))</f>
        <v/>
      </c>
      <c r="H622" s="73">
        <f t="array" ref="H622">IF(techniques[[#This Row],[technique]]=techniques[[#This Row],[id]],SUM(IF(techniques[[#This Row],[id]]=techniques[technique],1,0))-1,"")</f>
        <v/>
      </c>
      <c r="I622" s="74">
        <f t="array" ref="I622">IF(SUM(IF($C622=detections[],IF(detections[is active]="yes",1,0),0))&gt;0,SUM(IF($C622=detections[],IF(detections[is active]="yes",1,0),0)),"")</f>
        <v/>
      </c>
      <c r="J622" s="74">
        <f t="array" ref="J62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22" s="74">
        <f>IF(AND(ISNUMBER(techniques[[#This Row],[number of sub techniques]]),techniques[[#This Row],[number of sub techniques]]&gt;1),techniques[number of sub techniques],1)</f>
        <v/>
      </c>
      <c r="L622" s="72" t="n"/>
      <c r="M622" s="74">
        <f t="array" ref="M62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2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22" s="26">
        <f>IF(techniques[[#This Row],[detection rules]]&gt;=techniques[[#This Row],[expected detection rules]],1,techniques[[#This Row],[detection rules]]/techniques[[#This Row],[expected detection rules]])</f>
        <v/>
      </c>
      <c r="P62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22" s="29">
        <f>IF(ISERROR(SEARCH(techniques[[#This Row],[id]],techniques[[#This Row],[name]])),"ERROR","")</f>
        <v/>
      </c>
      <c r="S62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23">
      <c r="A623" s="74" t="inlineStr">
        <is>
          <t>T1600</t>
        </is>
      </c>
      <c r="B623" s="74" t="inlineStr">
        <is>
          <t>T1600.001</t>
        </is>
      </c>
      <c r="C623" s="13" t="inlineStr">
        <is>
          <t>Reduce Key Space (T1600.001)</t>
        </is>
      </c>
      <c r="D623" s="13" t="inlineStr">
        <is>
          <t>defense-impairment</t>
        </is>
      </c>
      <c r="E623" s="13" t="inlineStr">
        <is>
          <t>Command: Command Execution|File: File Modification|Network Traffic: Network Traffic Content</t>
        </is>
      </c>
      <c r="F623" s="74" t="n">
        <v>3</v>
      </c>
      <c r="G623" s="72">
        <f t="array" ref="G623">SUM(IF(ISERROR(FIND(sources[data source],techniques[[#This Row],[data sources]])),0,1)*IF(sources[available]="yes",1,0))</f>
        <v/>
      </c>
      <c r="H623" s="73">
        <f t="array" ref="H623">IF(techniques[[#This Row],[technique]]=techniques[[#This Row],[id]],SUM(IF(techniques[[#This Row],[id]]=techniques[technique],1,0))-1,"")</f>
        <v/>
      </c>
      <c r="I623" s="74">
        <f t="array" ref="I623">IF(SUM(IF($C623=detections[],IF(detections[is active]="yes",1,0),0))&gt;0,SUM(IF($C623=detections[],IF(detections[is active]="yes",1,0),0)),"")</f>
        <v/>
      </c>
      <c r="J623" s="74">
        <f t="array" ref="J62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23" s="74">
        <f>IF(AND(ISNUMBER(techniques[[#This Row],[number of sub techniques]]),techniques[[#This Row],[number of sub techniques]]&gt;1),techniques[number of sub techniques],1)</f>
        <v/>
      </c>
      <c r="L623" s="72" t="n"/>
      <c r="M623" s="74">
        <f t="array" ref="M62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2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23" s="26">
        <f>IF(techniques[[#This Row],[detection rules]]&gt;=techniques[[#This Row],[expected detection rules]],1,techniques[[#This Row],[detection rules]]/techniques[[#This Row],[expected detection rules]])</f>
        <v/>
      </c>
      <c r="P62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23" s="29">
        <f>IF(ISERROR(SEARCH(techniques[[#This Row],[id]],techniques[[#This Row],[name]])),"ERROR","")</f>
        <v/>
      </c>
      <c r="S62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24">
      <c r="A624" s="74" t="inlineStr">
        <is>
          <t>T1600</t>
        </is>
      </c>
      <c r="B624" s="74" t="inlineStr">
        <is>
          <t>T1600.002</t>
        </is>
      </c>
      <c r="C624" s="13" t="inlineStr">
        <is>
          <t>Disable Crypto Hardware (T1600.002)</t>
        </is>
      </c>
      <c r="D624" s="13" t="inlineStr">
        <is>
          <t>defense-impairment</t>
        </is>
      </c>
      <c r="E624" s="13" t="inlineStr">
        <is>
          <t>Command: Command Execution|File: File Modification|Network Traffic: Network Traffic Content</t>
        </is>
      </c>
      <c r="F624" s="74" t="n">
        <v>3</v>
      </c>
      <c r="G624" s="72">
        <f t="array" ref="G624">SUM(IF(ISERROR(FIND(sources[data source],techniques[[#This Row],[data sources]])),0,1)*IF(sources[available]="yes",1,0))</f>
        <v/>
      </c>
      <c r="H624" s="73">
        <f t="array" ref="H624">IF(techniques[[#This Row],[technique]]=techniques[[#This Row],[id]],SUM(IF(techniques[[#This Row],[id]]=techniques[technique],1,0))-1,"")</f>
        <v/>
      </c>
      <c r="I624" s="74">
        <f t="array" ref="I624">IF(SUM(IF($C624=detections[],IF(detections[is active]="yes",1,0),0))&gt;0,SUM(IF($C624=detections[],IF(detections[is active]="yes",1,0),0)),"")</f>
        <v/>
      </c>
      <c r="J624" s="74">
        <f t="array" ref="J62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24" s="74">
        <f>IF(AND(ISNUMBER(techniques[[#This Row],[number of sub techniques]]),techniques[[#This Row],[number of sub techniques]]&gt;1),techniques[number of sub techniques],1)</f>
        <v/>
      </c>
      <c r="L624" s="72" t="n"/>
      <c r="M624" s="74">
        <f t="array" ref="M62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2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24" s="26">
        <f>IF(techniques[[#This Row],[detection rules]]&gt;=techniques[[#This Row],[expected detection rules]],1,techniques[[#This Row],[detection rules]]/techniques[[#This Row],[expected detection rules]])</f>
        <v/>
      </c>
      <c r="P62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24" s="29">
        <f>IF(ISERROR(SEARCH(techniques[[#This Row],[id]],techniques[[#This Row],[name]])),"ERROR","")</f>
        <v/>
      </c>
      <c r="S62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25">
      <c r="A625" s="74" t="inlineStr">
        <is>
          <t>T1601</t>
        </is>
      </c>
      <c r="B625" s="74" t="inlineStr">
        <is>
          <t>T1601</t>
        </is>
      </c>
      <c r="C625" s="13" t="inlineStr">
        <is>
          <t>Modify System Image (T1601)</t>
        </is>
      </c>
      <c r="D625" s="13" t="inlineStr">
        <is>
          <t>defense-impairment</t>
        </is>
      </c>
      <c r="E625" s="13" t="inlineStr">
        <is>
          <t>Command: Command Execution|File: File Modification</t>
        </is>
      </c>
      <c r="F625" s="74" t="n">
        <v>2</v>
      </c>
      <c r="G625" s="72">
        <f t="array" ref="G625">SUM(IF(ISERROR(FIND(sources[data source],techniques[[#This Row],[data sources]])),0,1)*IF(sources[available]="yes",1,0))</f>
        <v/>
      </c>
      <c r="H625" s="73">
        <f t="array" ref="H625">IF(techniques[[#This Row],[technique]]=techniques[[#This Row],[id]],SUM(IF(techniques[[#This Row],[id]]=techniques[technique],1,0))-1,"")</f>
        <v/>
      </c>
      <c r="I625" s="74">
        <f t="array" ref="I625">IF(SUM(IF($C625=detections[],IF(detections[is active]="yes",1,0),0))&gt;0,SUM(IF($C625=detections[],IF(detections[is active]="yes",1,0),0)),"")</f>
        <v/>
      </c>
      <c r="J625" s="74">
        <f t="array" ref="J62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25" s="74">
        <f>IF(AND(ISNUMBER(techniques[[#This Row],[number of sub techniques]]),techniques[[#This Row],[number of sub techniques]]&gt;1),techniques[number of sub techniques],1)</f>
        <v/>
      </c>
      <c r="L625" s="72" t="n"/>
      <c r="M625" s="74">
        <f t="array" ref="M62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2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25" s="26">
        <f>IF(techniques[[#This Row],[detection rules]]&gt;=techniques[[#This Row],[expected detection rules]],1,techniques[[#This Row],[detection rules]]/techniques[[#This Row],[expected detection rules]])</f>
        <v/>
      </c>
      <c r="P62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25" s="29">
        <f>IF(ISERROR(SEARCH(techniques[[#This Row],[id]],techniques[[#This Row],[name]])),"ERROR","")</f>
        <v/>
      </c>
      <c r="S62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26">
      <c r="A626" s="74" t="inlineStr">
        <is>
          <t>T1601</t>
        </is>
      </c>
      <c r="B626" s="74" t="inlineStr">
        <is>
          <t>T1601.001</t>
        </is>
      </c>
      <c r="C626" s="13" t="inlineStr">
        <is>
          <t>Patch System Image (T1601.001)</t>
        </is>
      </c>
      <c r="D626" s="13" t="inlineStr">
        <is>
          <t>defense-impairment</t>
        </is>
      </c>
      <c r="E626" s="13" t="inlineStr">
        <is>
          <t>Command: Command Execution|File: File Modification|Firmware: Firmware Modification</t>
        </is>
      </c>
      <c r="F626" s="74" t="n">
        <v>3</v>
      </c>
      <c r="G626" s="72">
        <f t="array" ref="G626">SUM(IF(ISERROR(FIND(sources[data source],techniques[[#This Row],[data sources]])),0,1)*IF(sources[available]="yes",1,0))</f>
        <v/>
      </c>
      <c r="H626" s="73">
        <f t="array" ref="H626">IF(techniques[[#This Row],[technique]]=techniques[[#This Row],[id]],SUM(IF(techniques[[#This Row],[id]]=techniques[technique],1,0))-1,"")</f>
        <v/>
      </c>
      <c r="I626" s="74">
        <f t="array" ref="I626">IF(SUM(IF($C626=detections[],IF(detections[is active]="yes",1,0),0))&gt;0,SUM(IF($C626=detections[],IF(detections[is active]="yes",1,0),0)),"")</f>
        <v/>
      </c>
      <c r="J626" s="74">
        <f t="array" ref="J62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26" s="74">
        <f>IF(AND(ISNUMBER(techniques[[#This Row],[number of sub techniques]]),techniques[[#This Row],[number of sub techniques]]&gt;1),techniques[number of sub techniques],1)</f>
        <v/>
      </c>
      <c r="L626" s="72" t="n"/>
      <c r="M626" s="74">
        <f t="array" ref="M62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2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26" s="26">
        <f>IF(techniques[[#This Row],[detection rules]]&gt;=techniques[[#This Row],[expected detection rules]],1,techniques[[#This Row],[detection rules]]/techniques[[#This Row],[expected detection rules]])</f>
        <v/>
      </c>
      <c r="P62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26" s="29">
        <f>IF(ISERROR(SEARCH(techniques[[#This Row],[id]],techniques[[#This Row],[name]])),"ERROR","")</f>
        <v/>
      </c>
      <c r="S62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27">
      <c r="A627" s="74" t="inlineStr">
        <is>
          <t>T1601</t>
        </is>
      </c>
      <c r="B627" s="74" t="inlineStr">
        <is>
          <t>T1601.002</t>
        </is>
      </c>
      <c r="C627" s="13" t="inlineStr">
        <is>
          <t>Downgrade System Image (T1601.002)</t>
        </is>
      </c>
      <c r="D627" s="13" t="inlineStr">
        <is>
          <t>defense-impairment</t>
        </is>
      </c>
      <c r="E627" s="13" t="inlineStr">
        <is>
          <t>Command: Command Execution|File: File Metadata|File: File Modification</t>
        </is>
      </c>
      <c r="F627" s="74" t="n">
        <v>3</v>
      </c>
      <c r="G627" s="72">
        <f t="array" ref="G627">SUM(IF(ISERROR(FIND(sources[data source],techniques[[#This Row],[data sources]])),0,1)*IF(sources[available]="yes",1,0))</f>
        <v/>
      </c>
      <c r="H627" s="73">
        <f t="array" ref="H627">IF(techniques[[#This Row],[technique]]=techniques[[#This Row],[id]],SUM(IF(techniques[[#This Row],[id]]=techniques[technique],1,0))-1,"")</f>
        <v/>
      </c>
      <c r="I627" s="74">
        <f t="array" ref="I627">IF(SUM(IF($C627=detections[],IF(detections[is active]="yes",1,0),0))&gt;0,SUM(IF($C627=detections[],IF(detections[is active]="yes",1,0),0)),"")</f>
        <v/>
      </c>
      <c r="J627" s="74">
        <f t="array" ref="J62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27" s="74">
        <f>IF(AND(ISNUMBER(techniques[[#This Row],[number of sub techniques]]),techniques[[#This Row],[number of sub techniques]]&gt;1),techniques[number of sub techniques],1)</f>
        <v/>
      </c>
      <c r="L627" s="72" t="n"/>
      <c r="M627" s="74">
        <f t="array" ref="M62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2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27" s="26">
        <f>IF(techniques[[#This Row],[detection rules]]&gt;=techniques[[#This Row],[expected detection rules]],1,techniques[[#This Row],[detection rules]]/techniques[[#This Row],[expected detection rules]])</f>
        <v/>
      </c>
      <c r="P62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27" s="29">
        <f>IF(ISERROR(SEARCH(techniques[[#This Row],[id]],techniques[[#This Row],[name]])),"ERROR","")</f>
        <v/>
      </c>
      <c r="S62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28">
      <c r="A628" s="74" t="inlineStr">
        <is>
          <t>T1602</t>
        </is>
      </c>
      <c r="B628" s="74" t="inlineStr">
        <is>
          <t>T1602</t>
        </is>
      </c>
      <c r="C628" s="13" t="inlineStr">
        <is>
          <t>Data from Configuration Repository (T1602)</t>
        </is>
      </c>
      <c r="D628" s="13" t="inlineStr">
        <is>
          <t>collection</t>
        </is>
      </c>
      <c r="E628" s="13" t="inlineStr">
        <is>
          <t>Network Traffic: Network Connection Creation|Network Traffic: Network Traffic Content</t>
        </is>
      </c>
      <c r="F628" s="74" t="n">
        <v>2</v>
      </c>
      <c r="G628" s="72">
        <f t="array" ref="G628">SUM(IF(ISERROR(FIND(sources[data source],techniques[[#This Row],[data sources]])),0,1)*IF(sources[available]="yes",1,0))</f>
        <v/>
      </c>
      <c r="H628" s="73">
        <f t="array" ref="H628">IF(techniques[[#This Row],[technique]]=techniques[[#This Row],[id]],SUM(IF(techniques[[#This Row],[id]]=techniques[technique],1,0))-1,"")</f>
        <v/>
      </c>
      <c r="I628" s="74">
        <f t="array" ref="I628">IF(SUM(IF($C628=detections[],IF(detections[is active]="yes",1,0),0))&gt;0,SUM(IF($C628=detections[],IF(detections[is active]="yes",1,0),0)),"")</f>
        <v/>
      </c>
      <c r="J628" s="74">
        <f t="array" ref="J62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28" s="74">
        <f>IF(AND(ISNUMBER(techniques[[#This Row],[number of sub techniques]]),techniques[[#This Row],[number of sub techniques]]&gt;1),techniques[number of sub techniques],1)</f>
        <v/>
      </c>
      <c r="L628" s="72" t="n"/>
      <c r="M628" s="74">
        <f t="array" ref="M62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2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28" s="26">
        <f>IF(techniques[[#This Row],[detection rules]]&gt;=techniques[[#This Row],[expected detection rules]],1,techniques[[#This Row],[detection rules]]/techniques[[#This Row],[expected detection rules]])</f>
        <v/>
      </c>
      <c r="P62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28" s="29">
        <f>IF(ISERROR(SEARCH(techniques[[#This Row],[id]],techniques[[#This Row],[name]])),"ERROR","")</f>
        <v/>
      </c>
      <c r="S62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29">
      <c r="A629" s="74" t="inlineStr">
        <is>
          <t>T1602</t>
        </is>
      </c>
      <c r="B629" s="74" t="inlineStr">
        <is>
          <t>T1602.001</t>
        </is>
      </c>
      <c r="C629" s="13" t="inlineStr">
        <is>
          <t>SNMP (MIB Dump) (T1602.001)</t>
        </is>
      </c>
      <c r="D629" s="13" t="inlineStr">
        <is>
          <t>collection</t>
        </is>
      </c>
      <c r="E629" s="13" t="inlineStr">
        <is>
          <t>File: File Modification|Network Traffic: Network Connection Creation|Network Traffic: Network Traffic Content</t>
        </is>
      </c>
      <c r="F629" s="74" t="n">
        <v>3</v>
      </c>
      <c r="G629" s="72">
        <f t="array" ref="G629">SUM(IF(ISERROR(FIND(sources[data source],techniques[[#This Row],[data sources]])),0,1)*IF(sources[available]="yes",1,0))</f>
        <v/>
      </c>
      <c r="H629" s="73">
        <f t="array" ref="H629">IF(techniques[[#This Row],[technique]]=techniques[[#This Row],[id]],SUM(IF(techniques[[#This Row],[id]]=techniques[technique],1,0))-1,"")</f>
        <v/>
      </c>
      <c r="I629" s="74">
        <f t="array" ref="I629">IF(SUM(IF($C629=detections[],IF(detections[is active]="yes",1,0),0))&gt;0,SUM(IF($C629=detections[],IF(detections[is active]="yes",1,0),0)),"")</f>
        <v/>
      </c>
      <c r="J629" s="74">
        <f t="array" ref="J62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29" s="74">
        <f>IF(AND(ISNUMBER(techniques[[#This Row],[number of sub techniques]]),techniques[[#This Row],[number of sub techniques]]&gt;1),techniques[number of sub techniques],1)</f>
        <v/>
      </c>
      <c r="L629" s="72" t="n"/>
      <c r="M629" s="74">
        <f t="array" ref="M62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2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29" s="26">
        <f>IF(techniques[[#This Row],[detection rules]]&gt;=techniques[[#This Row],[expected detection rules]],1,techniques[[#This Row],[detection rules]]/techniques[[#This Row],[expected detection rules]])</f>
        <v/>
      </c>
      <c r="P62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29" s="29">
        <f>IF(ISERROR(SEARCH(techniques[[#This Row],[id]],techniques[[#This Row],[name]])),"ERROR","")</f>
        <v/>
      </c>
      <c r="S62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30">
      <c r="A630" s="74" t="inlineStr">
        <is>
          <t>T1602</t>
        </is>
      </c>
      <c r="B630" s="74" t="inlineStr">
        <is>
          <t>T1602.002</t>
        </is>
      </c>
      <c r="C630" s="13" t="inlineStr">
        <is>
          <t>Network Device Configuration Dump (T1602.002)</t>
        </is>
      </c>
      <c r="D630" s="13" t="inlineStr">
        <is>
          <t>collection</t>
        </is>
      </c>
      <c r="E630" s="13" t="inlineStr">
        <is>
          <t>Command: Command Execution|Network Traffic: Network Connection Creation|Network Traffic: Network Traffic Content|User Account: User Account Authentication</t>
        </is>
      </c>
      <c r="F630" s="74" t="n">
        <v>4</v>
      </c>
      <c r="G630" s="72">
        <f t="array" ref="G630">SUM(IF(ISERROR(FIND(sources[data source],techniques[[#This Row],[data sources]])),0,1)*IF(sources[available]="yes",1,0))</f>
        <v/>
      </c>
      <c r="H630" s="73">
        <f t="array" ref="H630">IF(techniques[[#This Row],[technique]]=techniques[[#This Row],[id]],SUM(IF(techniques[[#This Row],[id]]=techniques[technique],1,0))-1,"")</f>
        <v/>
      </c>
      <c r="I630" s="74">
        <f t="array" ref="I630">IF(SUM(IF($C630=detections[],IF(detections[is active]="yes",1,0),0))&gt;0,SUM(IF($C630=detections[],IF(detections[is active]="yes",1,0),0)),"")</f>
        <v/>
      </c>
      <c r="J630" s="74">
        <f t="array" ref="J63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30" s="74">
        <f>IF(AND(ISNUMBER(techniques[[#This Row],[number of sub techniques]]),techniques[[#This Row],[number of sub techniques]]&gt;1),techniques[number of sub techniques],1)</f>
        <v/>
      </c>
      <c r="L630" s="72" t="n"/>
      <c r="M630" s="74">
        <f t="array" ref="M63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3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30" s="26">
        <f>IF(techniques[[#This Row],[detection rules]]&gt;=techniques[[#This Row],[expected detection rules]],1,techniques[[#This Row],[detection rules]]/techniques[[#This Row],[expected detection rules]])</f>
        <v/>
      </c>
      <c r="P63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30" s="29">
        <f>IF(ISERROR(SEARCH(techniques[[#This Row],[id]],techniques[[#This Row],[name]])),"ERROR","")</f>
        <v/>
      </c>
      <c r="S63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31">
      <c r="A631" s="74" t="inlineStr">
        <is>
          <t>T1606</t>
        </is>
      </c>
      <c r="B631" s="74" t="inlineStr">
        <is>
          <t>T1606</t>
        </is>
      </c>
      <c r="C631" s="13" t="inlineStr">
        <is>
          <t>Forge Web Credentials (T1606)</t>
        </is>
      </c>
      <c r="D631" s="13" t="inlineStr">
        <is>
          <t>credential-access</t>
        </is>
      </c>
      <c r="E631" s="13" t="inlineStr">
        <is>
          <t>File: File Access|Logon Session: Logon Session Creation|Network Traffic: Network Traffic Content|Process: Process Access|Web Credential: Web Credential Creation|Web Credential: Web Credential Usage</t>
        </is>
      </c>
      <c r="F631" s="74" t="n">
        <v>6</v>
      </c>
      <c r="G631" s="72">
        <f t="array" ref="G631">SUM(IF(ISERROR(FIND(sources[data source],techniques[[#This Row],[data sources]])),0,1)*IF(sources[available]="yes",1,0))</f>
        <v/>
      </c>
      <c r="H631" s="73">
        <f t="array" ref="H631">IF(techniques[[#This Row],[technique]]=techniques[[#This Row],[id]],SUM(IF(techniques[[#This Row],[id]]=techniques[technique],1,0))-1,"")</f>
        <v/>
      </c>
      <c r="I631" s="74">
        <f t="array" ref="I631">IF(SUM(IF($C631=detections[],IF(detections[is active]="yes",1,0),0))&gt;0,SUM(IF($C631=detections[],IF(detections[is active]="yes",1,0),0)),"")</f>
        <v/>
      </c>
      <c r="J631" s="74">
        <f t="array" ref="J63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31" s="74">
        <f>IF(AND(ISNUMBER(techniques[[#This Row],[number of sub techniques]]),techniques[[#This Row],[number of sub techniques]]&gt;1),techniques[number of sub techniques],1)</f>
        <v/>
      </c>
      <c r="L631" s="72" t="n"/>
      <c r="M631" s="74">
        <f t="array" ref="M63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3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31" s="26">
        <f>IF(techniques[[#This Row],[detection rules]]&gt;=techniques[[#This Row],[expected detection rules]],1,techniques[[#This Row],[detection rules]]/techniques[[#This Row],[expected detection rules]])</f>
        <v/>
      </c>
      <c r="P63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31" s="29">
        <f>IF(ISERROR(SEARCH(techniques[[#This Row],[id]],techniques[[#This Row],[name]])),"ERROR","")</f>
        <v/>
      </c>
      <c r="S63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32">
      <c r="A632" s="74" t="inlineStr">
        <is>
          <t>T1606</t>
        </is>
      </c>
      <c r="B632" s="74" t="inlineStr">
        <is>
          <t>T1606.001</t>
        </is>
      </c>
      <c r="C632" s="13" t="inlineStr">
        <is>
          <t>Web Cookies (T1606.001)</t>
        </is>
      </c>
      <c r="D632" s="13" t="inlineStr">
        <is>
          <t>credential-access</t>
        </is>
      </c>
      <c r="E632" s="13" t="inlineStr">
        <is>
          <t>File: File Access|File: File Creation|Logon Session: Logon Session Creation|Network Traffic: Network Connection Creation|Web Credential: Web Credential Usage</t>
        </is>
      </c>
      <c r="F632" s="74" t="n">
        <v>5</v>
      </c>
      <c r="G632" s="72">
        <f t="array" ref="G632">SUM(IF(ISERROR(FIND(sources[data source],techniques[[#This Row],[data sources]])),0,1)*IF(sources[available]="yes",1,0))</f>
        <v/>
      </c>
      <c r="H632" s="73">
        <f t="array" ref="H632">IF(techniques[[#This Row],[technique]]=techniques[[#This Row],[id]],SUM(IF(techniques[[#This Row],[id]]=techniques[technique],1,0))-1,"")</f>
        <v/>
      </c>
      <c r="I632" s="74">
        <f t="array" ref="I632">IF(SUM(IF($C632=detections[],IF(detections[is active]="yes",1,0),0))&gt;0,SUM(IF($C632=detections[],IF(detections[is active]="yes",1,0),0)),"")</f>
        <v/>
      </c>
      <c r="J632" s="74">
        <f t="array" ref="J63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32" s="74">
        <f>IF(AND(ISNUMBER(techniques[[#This Row],[number of sub techniques]]),techniques[[#This Row],[number of sub techniques]]&gt;1),techniques[number of sub techniques],1)</f>
        <v/>
      </c>
      <c r="L632" s="72" t="n"/>
      <c r="M632" s="74">
        <f t="array" ref="M63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3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32" s="26">
        <f>IF(techniques[[#This Row],[detection rules]]&gt;=techniques[[#This Row],[expected detection rules]],1,techniques[[#This Row],[detection rules]]/techniques[[#This Row],[expected detection rules]])</f>
        <v/>
      </c>
      <c r="P63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32" s="29">
        <f>IF(ISERROR(SEARCH(techniques[[#This Row],[id]],techniques[[#This Row],[name]])),"ERROR","")</f>
        <v/>
      </c>
      <c r="S63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33">
      <c r="A633" s="74" t="inlineStr">
        <is>
          <t>T1606</t>
        </is>
      </c>
      <c r="B633" s="74" t="inlineStr">
        <is>
          <t>T1606.002</t>
        </is>
      </c>
      <c r="C633" s="13" t="inlineStr">
        <is>
          <t>SAML Tokens (T1606.002)</t>
        </is>
      </c>
      <c r="D633" s="13" t="inlineStr">
        <is>
          <t>credential-access</t>
        </is>
      </c>
      <c r="E633" s="13" t="inlineStr">
        <is>
          <t>Logon Session: Logon Session Creation|Logon Session: Logon Session Metadata|User Account: User Account Authentication|Web Credential: Web Credential Creation|Web Credential: Web Credential Usage</t>
        </is>
      </c>
      <c r="F633" s="74" t="n">
        <v>5</v>
      </c>
      <c r="G633" s="72">
        <f t="array" ref="G633">SUM(IF(ISERROR(FIND(sources[data source],techniques[[#This Row],[data sources]])),0,1)*IF(sources[available]="yes",1,0))</f>
        <v/>
      </c>
      <c r="H633" s="73">
        <f t="array" ref="H633">IF(techniques[[#This Row],[technique]]=techniques[[#This Row],[id]],SUM(IF(techniques[[#This Row],[id]]=techniques[technique],1,0))-1,"")</f>
        <v/>
      </c>
      <c r="I633" s="74">
        <f t="array" ref="I633">IF(SUM(IF($C633=detections[],IF(detections[is active]="yes",1,0),0))&gt;0,SUM(IF($C633=detections[],IF(detections[is active]="yes",1,0),0)),"")</f>
        <v/>
      </c>
      <c r="J633" s="74">
        <f t="array" ref="J63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33" s="74">
        <f>IF(AND(ISNUMBER(techniques[[#This Row],[number of sub techniques]]),techniques[[#This Row],[number of sub techniques]]&gt;1),techniques[number of sub techniques],1)</f>
        <v/>
      </c>
      <c r="L633" s="72" t="n"/>
      <c r="M633" s="74">
        <f t="array" ref="M63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3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33" s="26">
        <f>IF(techniques[[#This Row],[detection rules]]&gt;=techniques[[#This Row],[expected detection rules]],1,techniques[[#This Row],[detection rules]]/techniques[[#This Row],[expected detection rules]])</f>
        <v/>
      </c>
      <c r="P63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33" s="29">
        <f>IF(ISERROR(SEARCH(techniques[[#This Row],[id]],techniques[[#This Row],[name]])),"ERROR","")</f>
        <v/>
      </c>
      <c r="S63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34">
      <c r="A634" s="74" t="inlineStr">
        <is>
          <t>T1608</t>
        </is>
      </c>
      <c r="B634" s="74" t="inlineStr">
        <is>
          <t>T1608</t>
        </is>
      </c>
      <c r="C634" s="13" t="inlineStr">
        <is>
          <t>Stage Capabilities (T1608)</t>
        </is>
      </c>
      <c r="D634" s="13" t="inlineStr">
        <is>
          <t>resource-development</t>
        </is>
      </c>
      <c r="E634" s="13" t="inlineStr">
        <is>
          <t>Internet Scan: Response Content</t>
        </is>
      </c>
      <c r="F634" s="74" t="n">
        <v>1</v>
      </c>
      <c r="G634" s="72">
        <f t="array" ref="G634">SUM(IF(ISERROR(FIND(sources[data source],techniques[[#This Row],[data sources]])),0,1)*IF(sources[available]="yes",1,0))</f>
        <v/>
      </c>
      <c r="H634" s="73">
        <f t="array" ref="H634">IF(techniques[[#This Row],[technique]]=techniques[[#This Row],[id]],SUM(IF(techniques[[#This Row],[id]]=techniques[technique],1,0))-1,"")</f>
        <v/>
      </c>
      <c r="I634" s="74">
        <f t="array" ref="I634">IF(SUM(IF($C634=detections[],IF(detections[is active]="yes",1,0),0))&gt;0,SUM(IF($C634=detections[],IF(detections[is active]="yes",1,0),0)),"")</f>
        <v/>
      </c>
      <c r="J634" s="74">
        <f t="array" ref="J63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34" s="74">
        <f>IF(AND(ISNUMBER(techniques[[#This Row],[number of sub techniques]]),techniques[[#This Row],[number of sub techniques]]&gt;1),techniques[number of sub techniques],1)</f>
        <v/>
      </c>
      <c r="L634" s="72" t="n"/>
      <c r="M634" s="74">
        <f t="array" ref="M63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3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34" s="26">
        <f>IF(techniques[[#This Row],[detection rules]]&gt;=techniques[[#This Row],[expected detection rules]],1,techniques[[#This Row],[detection rules]]/techniques[[#This Row],[expected detection rules]])</f>
        <v/>
      </c>
      <c r="P63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34" s="29">
        <f>IF(ISERROR(SEARCH(techniques[[#This Row],[id]],techniques[[#This Row],[name]])),"ERROR","")</f>
        <v/>
      </c>
      <c r="S63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35">
      <c r="A635" s="74" t="inlineStr">
        <is>
          <t>T1608</t>
        </is>
      </c>
      <c r="B635" s="74" t="inlineStr">
        <is>
          <t>T1608.001</t>
        </is>
      </c>
      <c r="C635" s="13" t="inlineStr">
        <is>
          <t>Upload Malware (T1608.001)</t>
        </is>
      </c>
      <c r="D635" s="13" t="inlineStr">
        <is>
          <t>resource-development</t>
        </is>
      </c>
      <c r="E635" s="13" t="inlineStr">
        <is>
          <t>Internet Scan: Response Content</t>
        </is>
      </c>
      <c r="F635" s="74" t="n">
        <v>1</v>
      </c>
      <c r="G635" s="72">
        <f t="array" ref="G635">SUM(IF(ISERROR(FIND(sources[data source],techniques[[#This Row],[data sources]])),0,1)*IF(sources[available]="yes",1,0))</f>
        <v/>
      </c>
      <c r="H635" s="73">
        <f t="array" ref="H635">IF(techniques[[#This Row],[technique]]=techniques[[#This Row],[id]],SUM(IF(techniques[[#This Row],[id]]=techniques[technique],1,0))-1,"")</f>
        <v/>
      </c>
      <c r="I635" s="74">
        <f t="array" ref="I635">IF(SUM(IF($C635=detections[],IF(detections[is active]="yes",1,0),0))&gt;0,SUM(IF($C635=detections[],IF(detections[is active]="yes",1,0),0)),"")</f>
        <v/>
      </c>
      <c r="J635" s="74">
        <f t="array" ref="J63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35" s="74">
        <f>IF(AND(ISNUMBER(techniques[[#This Row],[number of sub techniques]]),techniques[[#This Row],[number of sub techniques]]&gt;1),techniques[number of sub techniques],1)</f>
        <v/>
      </c>
      <c r="L635" s="72" t="n"/>
      <c r="M635" s="74">
        <f t="array" ref="M63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3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35" s="26">
        <f>IF(techniques[[#This Row],[detection rules]]&gt;=techniques[[#This Row],[expected detection rules]],1,techniques[[#This Row],[detection rules]]/techniques[[#This Row],[expected detection rules]])</f>
        <v/>
      </c>
      <c r="P63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35" s="29">
        <f>IF(ISERROR(SEARCH(techniques[[#This Row],[id]],techniques[[#This Row],[name]])),"ERROR","")</f>
        <v/>
      </c>
      <c r="S63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36">
      <c r="A636" s="74" t="inlineStr">
        <is>
          <t>T1608</t>
        </is>
      </c>
      <c r="B636" s="74" t="inlineStr">
        <is>
          <t>T1608.002</t>
        </is>
      </c>
      <c r="C636" s="13" t="inlineStr">
        <is>
          <t>Upload Tool (T1608.002)</t>
        </is>
      </c>
      <c r="D636" s="13" t="inlineStr">
        <is>
          <t>resource-development</t>
        </is>
      </c>
      <c r="E636" s="13" t="inlineStr">
        <is>
          <t>Internet Scan: Response Content</t>
        </is>
      </c>
      <c r="F636" s="74" t="n">
        <v>1</v>
      </c>
      <c r="G636" s="72">
        <f t="array" ref="G636">SUM(IF(ISERROR(FIND(sources[data source],techniques[[#This Row],[data sources]])),0,1)*IF(sources[available]="yes",1,0))</f>
        <v/>
      </c>
      <c r="H636" s="73">
        <f t="array" ref="H636">IF(techniques[[#This Row],[technique]]=techniques[[#This Row],[id]],SUM(IF(techniques[[#This Row],[id]]=techniques[technique],1,0))-1,"")</f>
        <v/>
      </c>
      <c r="I636" s="74">
        <f t="array" ref="I636">IF(SUM(IF($C636=detections[],IF(detections[is active]="yes",1,0),0))&gt;0,SUM(IF($C636=detections[],IF(detections[is active]="yes",1,0),0)),"")</f>
        <v/>
      </c>
      <c r="J636" s="74">
        <f t="array" ref="J63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36" s="74">
        <f>IF(AND(ISNUMBER(techniques[[#This Row],[number of sub techniques]]),techniques[[#This Row],[number of sub techniques]]&gt;1),techniques[number of sub techniques],1)</f>
        <v/>
      </c>
      <c r="L636" s="72" t="n"/>
      <c r="M636" s="74">
        <f t="array" ref="M63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3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36" s="26">
        <f>IF(techniques[[#This Row],[detection rules]]&gt;=techniques[[#This Row],[expected detection rules]],1,techniques[[#This Row],[detection rules]]/techniques[[#This Row],[expected detection rules]])</f>
        <v/>
      </c>
      <c r="P63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36" s="29">
        <f>IF(ISERROR(SEARCH(techniques[[#This Row],[id]],techniques[[#This Row],[name]])),"ERROR","")</f>
        <v/>
      </c>
      <c r="S63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37">
      <c r="A637" s="74" t="inlineStr">
        <is>
          <t>T1608</t>
        </is>
      </c>
      <c r="B637" s="74" t="inlineStr">
        <is>
          <t>T1608.003</t>
        </is>
      </c>
      <c r="C637" s="13" t="inlineStr">
        <is>
          <t>Install Digital Certificate (T1608.003)</t>
        </is>
      </c>
      <c r="D637" s="13" t="inlineStr">
        <is>
          <t>resource-development</t>
        </is>
      </c>
      <c r="E637" s="13" t="inlineStr">
        <is>
          <t>Internet Scan: Response Content</t>
        </is>
      </c>
      <c r="F637" s="74" t="n">
        <v>1</v>
      </c>
      <c r="G637" s="72">
        <f t="array" ref="G637">SUM(IF(ISERROR(FIND(sources[data source],techniques[[#This Row],[data sources]])),0,1)*IF(sources[available]="yes",1,0))</f>
        <v/>
      </c>
      <c r="H637" s="73">
        <f t="array" ref="H637">IF(techniques[[#This Row],[technique]]=techniques[[#This Row],[id]],SUM(IF(techniques[[#This Row],[id]]=techniques[technique],1,0))-1,"")</f>
        <v/>
      </c>
      <c r="I637" s="74">
        <f t="array" ref="I637">IF(SUM(IF($C637=detections[],IF(detections[is active]="yes",1,0),0))&gt;0,SUM(IF($C637=detections[],IF(detections[is active]="yes",1,0),0)),"")</f>
        <v/>
      </c>
      <c r="J637" s="74">
        <f t="array" ref="J63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37" s="74">
        <f>IF(AND(ISNUMBER(techniques[[#This Row],[number of sub techniques]]),techniques[[#This Row],[number of sub techniques]]&gt;1),techniques[number of sub techniques],1)</f>
        <v/>
      </c>
      <c r="L637" s="72" t="n"/>
      <c r="M637" s="74">
        <f t="array" ref="M63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3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37" s="26">
        <f>IF(techniques[[#This Row],[detection rules]]&gt;=techniques[[#This Row],[expected detection rules]],1,techniques[[#This Row],[detection rules]]/techniques[[#This Row],[expected detection rules]])</f>
        <v/>
      </c>
      <c r="P63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37" s="29">
        <f>IF(ISERROR(SEARCH(techniques[[#This Row],[id]],techniques[[#This Row],[name]])),"ERROR","")</f>
        <v/>
      </c>
      <c r="S63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38">
      <c r="A638" s="74" t="inlineStr">
        <is>
          <t>T1608</t>
        </is>
      </c>
      <c r="B638" s="74" t="inlineStr">
        <is>
          <t>T1608.004</t>
        </is>
      </c>
      <c r="C638" s="13" t="inlineStr">
        <is>
          <t>Drive-by Target (T1608.004)</t>
        </is>
      </c>
      <c r="D638" s="13" t="inlineStr">
        <is>
          <t>resource-development</t>
        </is>
      </c>
      <c r="E638" s="13" t="inlineStr">
        <is>
          <t>Internet Scan: Response Content</t>
        </is>
      </c>
      <c r="F638" s="74" t="n">
        <v>1</v>
      </c>
      <c r="G638" s="72">
        <f t="array" ref="G638">SUM(IF(ISERROR(FIND(sources[data source],techniques[[#This Row],[data sources]])),0,1)*IF(sources[available]="yes",1,0))</f>
        <v/>
      </c>
      <c r="H638" s="73">
        <f t="array" ref="H638">IF(techniques[[#This Row],[technique]]=techniques[[#This Row],[id]],SUM(IF(techniques[[#This Row],[id]]=techniques[technique],1,0))-1,"")</f>
        <v/>
      </c>
      <c r="I638" s="74">
        <f t="array" ref="I638">IF(SUM(IF($C638=detections[],IF(detections[is active]="yes",1,0),0))&gt;0,SUM(IF($C638=detections[],IF(detections[is active]="yes",1,0),0)),"")</f>
        <v/>
      </c>
      <c r="J638" s="74">
        <f t="array" ref="J63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38" s="74">
        <f>IF(AND(ISNUMBER(techniques[[#This Row],[number of sub techniques]]),techniques[[#This Row],[number of sub techniques]]&gt;1),techniques[number of sub techniques],1)</f>
        <v/>
      </c>
      <c r="L638" s="72" t="n"/>
      <c r="M638" s="74">
        <f t="array" ref="M63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3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38" s="26">
        <f>IF(techniques[[#This Row],[detection rules]]&gt;=techniques[[#This Row],[expected detection rules]],1,techniques[[#This Row],[detection rules]]/techniques[[#This Row],[expected detection rules]])</f>
        <v/>
      </c>
      <c r="P63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38" s="29">
        <f>IF(ISERROR(SEARCH(techniques[[#This Row],[id]],techniques[[#This Row],[name]])),"ERROR","")</f>
        <v/>
      </c>
      <c r="S63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39">
      <c r="A639" s="74" t="inlineStr">
        <is>
          <t>T1608</t>
        </is>
      </c>
      <c r="B639" s="74" t="inlineStr">
        <is>
          <t>T1608.005</t>
        </is>
      </c>
      <c r="C639" s="13" t="inlineStr">
        <is>
          <t>Link Target (T1608.005)</t>
        </is>
      </c>
      <c r="D639" s="13" t="inlineStr">
        <is>
          <t>resource-development</t>
        </is>
      </c>
      <c r="E639" s="13" t="inlineStr">
        <is>
          <t>Internet Scan: Response Content</t>
        </is>
      </c>
      <c r="F639" s="74" t="n">
        <v>1</v>
      </c>
      <c r="G639" s="72">
        <f t="array" ref="G639">SUM(IF(ISERROR(FIND(sources[data source],techniques[[#This Row],[data sources]])),0,1)*IF(sources[available]="yes",1,0))</f>
        <v/>
      </c>
      <c r="H639" s="73">
        <f t="array" ref="H639">IF(techniques[[#This Row],[technique]]=techniques[[#This Row],[id]],SUM(IF(techniques[[#This Row],[id]]=techniques[technique],1,0))-1,"")</f>
        <v/>
      </c>
      <c r="I639" s="74">
        <f t="array" ref="I639">IF(SUM(IF($C639=detections[],IF(detections[is active]="yes",1,0),0))&gt;0,SUM(IF($C639=detections[],IF(detections[is active]="yes",1,0),0)),"")</f>
        <v/>
      </c>
      <c r="J639" s="74">
        <f t="array" ref="J63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39" s="74">
        <f>IF(AND(ISNUMBER(techniques[[#This Row],[number of sub techniques]]),techniques[[#This Row],[number of sub techniques]]&gt;1),techniques[number of sub techniques],1)</f>
        <v/>
      </c>
      <c r="L639" s="72" t="n"/>
      <c r="M639" s="74">
        <f t="array" ref="M63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3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39" s="26">
        <f>IF(techniques[[#This Row],[detection rules]]&gt;=techniques[[#This Row],[expected detection rules]],1,techniques[[#This Row],[detection rules]]/techniques[[#This Row],[expected detection rules]])</f>
        <v/>
      </c>
      <c r="P63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39" s="29">
        <f>IF(ISERROR(SEARCH(techniques[[#This Row],[id]],techniques[[#This Row],[name]])),"ERROR","")</f>
        <v/>
      </c>
      <c r="S63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40">
      <c r="A640" s="74" t="inlineStr">
        <is>
          <t>T1608</t>
        </is>
      </c>
      <c r="B640" s="74" t="inlineStr">
        <is>
          <t>T1608.006</t>
        </is>
      </c>
      <c r="C640" s="13" t="inlineStr">
        <is>
          <t>SEO Poisoning (T1608.006)</t>
        </is>
      </c>
      <c r="D640" s="13" t="inlineStr">
        <is>
          <t>resource-development</t>
        </is>
      </c>
      <c r="E640" s="13" t="inlineStr">
        <is>
          <t>Internet Scan: Response Content</t>
        </is>
      </c>
      <c r="F640" s="74" t="n">
        <v>1</v>
      </c>
      <c r="G640" s="72">
        <f t="array" ref="G640">SUM(IF(ISERROR(FIND(sources[data source],techniques[[#This Row],[data sources]])),0,1)*IF(sources[available]="yes",1,0))</f>
        <v/>
      </c>
      <c r="H640" s="73">
        <f t="array" ref="H640">IF(techniques[[#This Row],[technique]]=techniques[[#This Row],[id]],SUM(IF(techniques[[#This Row],[id]]=techniques[technique],1,0))-1,"")</f>
        <v/>
      </c>
      <c r="I640" s="74">
        <f t="array" ref="I640">IF(SUM(IF($C640=detections[],IF(detections[is active]="yes",1,0),0))&gt;0,SUM(IF($C640=detections[],IF(detections[is active]="yes",1,0),0)),"")</f>
        <v/>
      </c>
      <c r="J640" s="74">
        <f t="array" ref="J64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40" s="74">
        <f>IF(AND(ISNUMBER(techniques[[#This Row],[number of sub techniques]]),techniques[[#This Row],[number of sub techniques]]&gt;1),techniques[number of sub techniques],1)</f>
        <v/>
      </c>
      <c r="L640" s="72" t="n"/>
      <c r="M640" s="74">
        <f t="array" ref="M64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4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40" s="26">
        <f>IF(techniques[[#This Row],[detection rules]]&gt;=techniques[[#This Row],[expected detection rules]],1,techniques[[#This Row],[detection rules]]/techniques[[#This Row],[expected detection rules]])</f>
        <v/>
      </c>
      <c r="P64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40" s="29">
        <f>IF(ISERROR(SEARCH(techniques[[#This Row],[id]],techniques[[#This Row],[name]])),"ERROR","")</f>
        <v/>
      </c>
      <c r="S64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41">
      <c r="A641" s="74" t="inlineStr">
        <is>
          <t>T1609</t>
        </is>
      </c>
      <c r="B641" s="74" t="inlineStr">
        <is>
          <t>T1609</t>
        </is>
      </c>
      <c r="C641" s="13" t="inlineStr">
        <is>
          <t>Container Administration Command (T1609)</t>
        </is>
      </c>
      <c r="D641" s="13" t="inlineStr">
        <is>
          <t>execution</t>
        </is>
      </c>
      <c r="E641" s="13" t="inlineStr">
        <is>
          <t>Command: Command Execution|Process: Process Creation</t>
        </is>
      </c>
      <c r="F641" s="74" t="n">
        <v>2</v>
      </c>
      <c r="G641" s="72">
        <f t="array" ref="G641">SUM(IF(ISERROR(FIND(sources[data source],techniques[[#This Row],[data sources]])),0,1)*IF(sources[available]="yes",1,0))</f>
        <v/>
      </c>
      <c r="H641" s="73">
        <f t="array" ref="H641">IF(techniques[[#This Row],[technique]]=techniques[[#This Row],[id]],SUM(IF(techniques[[#This Row],[id]]=techniques[technique],1,0))-1,"")</f>
        <v/>
      </c>
      <c r="I641" s="74">
        <f t="array" ref="I641">IF(SUM(IF($C641=detections[],IF(detections[is active]="yes",1,0),0))&gt;0,SUM(IF($C641=detections[],IF(detections[is active]="yes",1,0),0)),"")</f>
        <v/>
      </c>
      <c r="J641" s="74">
        <f t="array" ref="J64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41" s="74">
        <f>IF(AND(ISNUMBER(techniques[[#This Row],[number of sub techniques]]),techniques[[#This Row],[number of sub techniques]]&gt;1),techniques[number of sub techniques],1)</f>
        <v/>
      </c>
      <c r="L641" s="72" t="n"/>
      <c r="M641" s="74">
        <f t="array" ref="M64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4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41" s="26">
        <f>IF(techniques[[#This Row],[detection rules]]&gt;=techniques[[#This Row],[expected detection rules]],1,techniques[[#This Row],[detection rules]]/techniques[[#This Row],[expected detection rules]])</f>
        <v/>
      </c>
      <c r="P64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41" s="29">
        <f>IF(ISERROR(SEARCH(techniques[[#This Row],[id]],techniques[[#This Row],[name]])),"ERROR","")</f>
        <v/>
      </c>
      <c r="S64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42">
      <c r="A642" s="74" t="inlineStr">
        <is>
          <t>T1610</t>
        </is>
      </c>
      <c r="B642" s="74" t="inlineStr">
        <is>
          <t>T1610</t>
        </is>
      </c>
      <c r="C642" s="13" t="inlineStr">
        <is>
          <t>Deploy Container (T1610)</t>
        </is>
      </c>
      <c r="D642" s="13" t="inlineStr">
        <is>
          <t>execution</t>
        </is>
      </c>
      <c r="E642" s="13" t="inlineStr">
        <is>
          <t>Application Log: Application Log Content|Container: Container Start|Network Traffic: Network Traffic Content|Process: Process Creation</t>
        </is>
      </c>
      <c r="F642" s="74" t="n">
        <v>4</v>
      </c>
      <c r="G642" s="72">
        <f t="array" ref="G642">SUM(IF(ISERROR(FIND(sources[data source],techniques[[#This Row],[data sources]])),0,1)*IF(sources[available]="yes",1,0))</f>
        <v/>
      </c>
      <c r="H642" s="73">
        <f t="array" ref="H642">IF(techniques[[#This Row],[technique]]=techniques[[#This Row],[id]],SUM(IF(techniques[[#This Row],[id]]=techniques[technique],1,0))-1,"")</f>
        <v/>
      </c>
      <c r="I642" s="74">
        <f t="array" ref="I642">IF(SUM(IF($C642=detections[],IF(detections[is active]="yes",1,0),0))&gt;0,SUM(IF($C642=detections[],IF(detections[is active]="yes",1,0),0)),"")</f>
        <v/>
      </c>
      <c r="J642" s="74">
        <f t="array" ref="J64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42" s="74">
        <f>IF(AND(ISNUMBER(techniques[[#This Row],[number of sub techniques]]),techniques[[#This Row],[number of sub techniques]]&gt;1),techniques[number of sub techniques],1)</f>
        <v/>
      </c>
      <c r="L642" s="72" t="n"/>
      <c r="M642" s="74">
        <f t="array" ref="M64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4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42" s="26">
        <f>IF(techniques[[#This Row],[detection rules]]&gt;=techniques[[#This Row],[expected detection rules]],1,techniques[[#This Row],[detection rules]]/techniques[[#This Row],[expected detection rules]])</f>
        <v/>
      </c>
      <c r="P64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42" s="29">
        <f>IF(ISERROR(SEARCH(techniques[[#This Row],[id]],techniques[[#This Row],[name]])),"ERROR","")</f>
        <v/>
      </c>
      <c r="S64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43">
      <c r="A643" s="74" t="inlineStr">
        <is>
          <t>T1611</t>
        </is>
      </c>
      <c r="B643" s="74" t="inlineStr">
        <is>
          <t>T1611</t>
        </is>
      </c>
      <c r="C643" s="13" t="inlineStr">
        <is>
          <t>Escape to Host (T1611)</t>
        </is>
      </c>
      <c r="D643" s="13" t="inlineStr">
        <is>
          <t>privilege-escalation</t>
        </is>
      </c>
      <c r="E643" s="13" t="inlineStr">
        <is>
          <t>Container: Container Creation|File: File Creation|Kernel: Kernel Module Load|Process: OS API Execution|Process: Process Creation|Volume: Volume Modification</t>
        </is>
      </c>
      <c r="F643" s="74" t="n">
        <v>6</v>
      </c>
      <c r="G643" s="72">
        <f t="array" ref="G643">SUM(IF(ISERROR(FIND(sources[data source],techniques[[#This Row],[data sources]])),0,1)*IF(sources[available]="yes",1,0))</f>
        <v/>
      </c>
      <c r="H643" s="73">
        <f t="array" ref="H643">IF(techniques[[#This Row],[technique]]=techniques[[#This Row],[id]],SUM(IF(techniques[[#This Row],[id]]=techniques[technique],1,0))-1,"")</f>
        <v/>
      </c>
      <c r="I643" s="74">
        <f t="array" ref="I643">IF(SUM(IF($C643=detections[],IF(detections[is active]="yes",1,0),0))&gt;0,SUM(IF($C643=detections[],IF(detections[is active]="yes",1,0),0)),"")</f>
        <v/>
      </c>
      <c r="J643" s="74">
        <f t="array" ref="J64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43" s="74">
        <f>IF(AND(ISNUMBER(techniques[[#This Row],[number of sub techniques]]),techniques[[#This Row],[number of sub techniques]]&gt;1),techniques[number of sub techniques],1)</f>
        <v/>
      </c>
      <c r="L643" s="72" t="n"/>
      <c r="M643" s="74">
        <f t="array" ref="M64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4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43" s="26">
        <f>IF(techniques[[#This Row],[detection rules]]&gt;=techniques[[#This Row],[expected detection rules]],1,techniques[[#This Row],[detection rules]]/techniques[[#This Row],[expected detection rules]])</f>
        <v/>
      </c>
      <c r="P64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43" s="29">
        <f>IF(ISERROR(SEARCH(techniques[[#This Row],[id]],techniques[[#This Row],[name]])),"ERROR","")</f>
        <v/>
      </c>
      <c r="S64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44">
      <c r="A644" s="74" t="inlineStr">
        <is>
          <t>T1612</t>
        </is>
      </c>
      <c r="B644" s="74" t="inlineStr">
        <is>
          <t>T1612</t>
        </is>
      </c>
      <c r="C644" s="13" t="inlineStr">
        <is>
          <t>Build Image on Host (T1612)</t>
        </is>
      </c>
      <c r="D644" s="13" t="inlineStr">
        <is>
          <t>stealth</t>
        </is>
      </c>
      <c r="E644" s="13" t="inlineStr">
        <is>
          <t>Image: Image Creation|Network Traffic: Network Connection Creation</t>
        </is>
      </c>
      <c r="F644" s="74" t="n">
        <v>2</v>
      </c>
      <c r="G644" s="72">
        <f t="array" ref="G644">SUM(IF(ISERROR(FIND(sources[data source],techniques[[#This Row],[data sources]])),0,1)*IF(sources[available]="yes",1,0))</f>
        <v/>
      </c>
      <c r="H644" s="73">
        <f t="array" ref="H644">IF(techniques[[#This Row],[technique]]=techniques[[#This Row],[id]],SUM(IF(techniques[[#This Row],[id]]=techniques[technique],1,0))-1,"")</f>
        <v/>
      </c>
      <c r="I644" s="74">
        <f t="array" ref="I644">IF(SUM(IF($C644=detections[],IF(detections[is active]="yes",1,0),0))&gt;0,SUM(IF($C644=detections[],IF(detections[is active]="yes",1,0),0)),"")</f>
        <v/>
      </c>
      <c r="J644" s="74">
        <f t="array" ref="J64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44" s="74">
        <f>IF(AND(ISNUMBER(techniques[[#This Row],[number of sub techniques]]),techniques[[#This Row],[number of sub techniques]]&gt;1),techniques[number of sub techniques],1)</f>
        <v/>
      </c>
      <c r="L644" s="72" t="n"/>
      <c r="M644" s="74">
        <f t="array" ref="M64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4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44" s="26">
        <f>IF(techniques[[#This Row],[detection rules]]&gt;=techniques[[#This Row],[expected detection rules]],1,techniques[[#This Row],[detection rules]]/techniques[[#This Row],[expected detection rules]])</f>
        <v/>
      </c>
      <c r="P64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44" s="29">
        <f>IF(ISERROR(SEARCH(techniques[[#This Row],[id]],techniques[[#This Row],[name]])),"ERROR","")</f>
        <v/>
      </c>
      <c r="S64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45">
      <c r="A645" s="74" t="inlineStr">
        <is>
          <t>T1613</t>
        </is>
      </c>
      <c r="B645" s="74" t="inlineStr">
        <is>
          <t>T1613</t>
        </is>
      </c>
      <c r="C645" s="13" t="inlineStr">
        <is>
          <t>Container and Resource Discovery (T1613)</t>
        </is>
      </c>
      <c r="D645" s="13" t="inlineStr">
        <is>
          <t>discovery</t>
        </is>
      </c>
      <c r="E645" s="13" t="inlineStr">
        <is>
          <t>Container: Container Enumeration|Pod: Pod Enumeration</t>
        </is>
      </c>
      <c r="F645" s="74" t="n">
        <v>2</v>
      </c>
      <c r="G645" s="72">
        <f t="array" ref="G645">SUM(IF(ISERROR(FIND(sources[data source],techniques[[#This Row],[data sources]])),0,1)*IF(sources[available]="yes",1,0))</f>
        <v/>
      </c>
      <c r="H645" s="73">
        <f t="array" ref="H645">IF(techniques[[#This Row],[technique]]=techniques[[#This Row],[id]],SUM(IF(techniques[[#This Row],[id]]=techniques[technique],1,0))-1,"")</f>
        <v/>
      </c>
      <c r="I645" s="74">
        <f t="array" ref="I645">IF(SUM(IF($C645=detections[],IF(detections[is active]="yes",1,0),0))&gt;0,SUM(IF($C645=detections[],IF(detections[is active]="yes",1,0),0)),"")</f>
        <v/>
      </c>
      <c r="J645" s="74">
        <f t="array" ref="J64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45" s="74">
        <f>IF(AND(ISNUMBER(techniques[[#This Row],[number of sub techniques]]),techniques[[#This Row],[number of sub techniques]]&gt;1),techniques[number of sub techniques],1)</f>
        <v/>
      </c>
      <c r="L645" s="72" t="n"/>
      <c r="M645" s="74">
        <f t="array" ref="M64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4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45" s="26">
        <f>IF(techniques[[#This Row],[detection rules]]&gt;=techniques[[#This Row],[expected detection rules]],1,techniques[[#This Row],[detection rules]]/techniques[[#This Row],[expected detection rules]])</f>
        <v/>
      </c>
      <c r="P64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45" s="29">
        <f>IF(ISERROR(SEARCH(techniques[[#This Row],[id]],techniques[[#This Row],[name]])),"ERROR","")</f>
        <v/>
      </c>
      <c r="S64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46">
      <c r="A646" s="74" t="inlineStr">
        <is>
          <t>T1614</t>
        </is>
      </c>
      <c r="B646" s="74" t="inlineStr">
        <is>
          <t>T1614</t>
        </is>
      </c>
      <c r="C646" s="13" t="inlineStr">
        <is>
          <t>System Location Discovery (T1614)</t>
        </is>
      </c>
      <c r="D646" s="13" t="inlineStr">
        <is>
          <t>discovery</t>
        </is>
      </c>
      <c r="E646" s="13" t="inlineStr">
        <is>
          <t>Command: Command Execution|Network Traffic: Network Traffic Content|Process: OS API Execution|Process: Process Creation</t>
        </is>
      </c>
      <c r="F646" s="74" t="n">
        <v>4</v>
      </c>
      <c r="G646" s="72">
        <f t="array" ref="G646">SUM(IF(ISERROR(FIND(sources[data source],techniques[[#This Row],[data sources]])),0,1)*IF(sources[available]="yes",1,0))</f>
        <v/>
      </c>
      <c r="H646" s="73">
        <f t="array" ref="H646">IF(techniques[[#This Row],[technique]]=techniques[[#This Row],[id]],SUM(IF(techniques[[#This Row],[id]]=techniques[technique],1,0))-1,"")</f>
        <v/>
      </c>
      <c r="I646" s="74">
        <f t="array" ref="I646">IF(SUM(IF($C646=detections[],IF(detections[is active]="yes",1,0),0))&gt;0,SUM(IF($C646=detections[],IF(detections[is active]="yes",1,0),0)),"")</f>
        <v/>
      </c>
      <c r="J646" s="74">
        <f t="array" ref="J64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46" s="74">
        <f>IF(AND(ISNUMBER(techniques[[#This Row],[number of sub techniques]]),techniques[[#This Row],[number of sub techniques]]&gt;1),techniques[number of sub techniques],1)</f>
        <v/>
      </c>
      <c r="L646" s="72" t="n"/>
      <c r="M646" s="74">
        <f t="array" ref="M64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4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46" s="26">
        <f>IF(techniques[[#This Row],[detection rules]]&gt;=techniques[[#This Row],[expected detection rules]],1,techniques[[#This Row],[detection rules]]/techniques[[#This Row],[expected detection rules]])</f>
        <v/>
      </c>
      <c r="P64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46" s="29">
        <f>IF(ISERROR(SEARCH(techniques[[#This Row],[id]],techniques[[#This Row],[name]])),"ERROR","")</f>
        <v/>
      </c>
      <c r="S64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47">
      <c r="A647" s="74" t="inlineStr">
        <is>
          <t>T1614</t>
        </is>
      </c>
      <c r="B647" s="74" t="inlineStr">
        <is>
          <t>T1614.001</t>
        </is>
      </c>
      <c r="C647" s="13" t="inlineStr">
        <is>
          <t>System Language Discovery (T1614.001)</t>
        </is>
      </c>
      <c r="D647" s="13" t="inlineStr">
        <is>
          <t>discovery</t>
        </is>
      </c>
      <c r="E647" s="13" t="inlineStr">
        <is>
          <t>Command: Command Execution|Process: OS API Execution|Process: Process Creation|Windows Registry: Windows Registry Key Access</t>
        </is>
      </c>
      <c r="F647" s="74" t="n">
        <v>4</v>
      </c>
      <c r="G647" s="72">
        <f t="array" ref="G647">SUM(IF(ISERROR(FIND(sources[data source],techniques[[#This Row],[data sources]])),0,1)*IF(sources[available]="yes",1,0))</f>
        <v/>
      </c>
      <c r="H647" s="73">
        <f t="array" ref="H647">IF(techniques[[#This Row],[technique]]=techniques[[#This Row],[id]],SUM(IF(techniques[[#This Row],[id]]=techniques[technique],1,0))-1,"")</f>
        <v/>
      </c>
      <c r="I647" s="74">
        <f t="array" ref="I647">IF(SUM(IF($C647=detections[],IF(detections[is active]="yes",1,0),0))&gt;0,SUM(IF($C647=detections[],IF(detections[is active]="yes",1,0),0)),"")</f>
        <v/>
      </c>
      <c r="J647" s="74">
        <f t="array" ref="J64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47" s="74">
        <f>IF(AND(ISNUMBER(techniques[[#This Row],[number of sub techniques]]),techniques[[#This Row],[number of sub techniques]]&gt;1),techniques[number of sub techniques],1)</f>
        <v/>
      </c>
      <c r="L647" s="72" t="n"/>
      <c r="M647" s="74">
        <f t="array" ref="M64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4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47" s="26">
        <f>IF(techniques[[#This Row],[detection rules]]&gt;=techniques[[#This Row],[expected detection rules]],1,techniques[[#This Row],[detection rules]]/techniques[[#This Row],[expected detection rules]])</f>
        <v/>
      </c>
      <c r="P64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47" s="29">
        <f>IF(ISERROR(SEARCH(techniques[[#This Row],[id]],techniques[[#This Row],[name]])),"ERROR","")</f>
        <v/>
      </c>
      <c r="S64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48">
      <c r="A648" s="74" t="inlineStr">
        <is>
          <t>T1615</t>
        </is>
      </c>
      <c r="B648" s="74" t="inlineStr">
        <is>
          <t>T1615</t>
        </is>
      </c>
      <c r="C648" s="13" t="inlineStr">
        <is>
          <t>Group Policy Discovery (T1615)</t>
        </is>
      </c>
      <c r="D648" s="13" t="inlineStr">
        <is>
          <t>discovery</t>
        </is>
      </c>
      <c r="E648" s="13" t="inlineStr">
        <is>
          <t>Active Directory: Active Directory Object Access|Command: Command Execution|Network Traffic: Network Traffic Content|Process: Process Creation</t>
        </is>
      </c>
      <c r="F648" s="74" t="n">
        <v>4</v>
      </c>
      <c r="G648" s="72">
        <f t="array" ref="G648">SUM(IF(ISERROR(FIND(sources[data source],techniques[[#This Row],[data sources]])),0,1)*IF(sources[available]="yes",1,0))</f>
        <v/>
      </c>
      <c r="H648" s="73">
        <f t="array" ref="H648">IF(techniques[[#This Row],[technique]]=techniques[[#This Row],[id]],SUM(IF(techniques[[#This Row],[id]]=techniques[technique],1,0))-1,"")</f>
        <v/>
      </c>
      <c r="I648" s="74">
        <f t="array" ref="I648">IF(SUM(IF($C648=detections[],IF(detections[is active]="yes",1,0),0))&gt;0,SUM(IF($C648=detections[],IF(detections[is active]="yes",1,0),0)),"")</f>
        <v/>
      </c>
      <c r="J648" s="74">
        <f t="array" ref="J64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48" s="74">
        <f>IF(AND(ISNUMBER(techniques[[#This Row],[number of sub techniques]]),techniques[[#This Row],[number of sub techniques]]&gt;1),techniques[number of sub techniques],1)</f>
        <v/>
      </c>
      <c r="L648" s="72" t="n"/>
      <c r="M648" s="74">
        <f t="array" ref="M64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4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48" s="26">
        <f>IF(techniques[[#This Row],[detection rules]]&gt;=techniques[[#This Row],[expected detection rules]],1,techniques[[#This Row],[detection rules]]/techniques[[#This Row],[expected detection rules]])</f>
        <v/>
      </c>
      <c r="P64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48" s="29">
        <f>IF(ISERROR(SEARCH(techniques[[#This Row],[id]],techniques[[#This Row],[name]])),"ERROR","")</f>
        <v/>
      </c>
      <c r="S64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49">
      <c r="A649" s="74" t="inlineStr">
        <is>
          <t>T1619</t>
        </is>
      </c>
      <c r="B649" s="74" t="inlineStr">
        <is>
          <t>T1619</t>
        </is>
      </c>
      <c r="C649" s="13" t="inlineStr">
        <is>
          <t>Cloud Storage Object Discovery (T1619)</t>
        </is>
      </c>
      <c r="D649" s="13" t="inlineStr">
        <is>
          <t>discovery</t>
        </is>
      </c>
      <c r="E649" s="13" t="inlineStr">
        <is>
          <t>Cloud Storage: Cloud Storage Access|Cloud Storage: Cloud Storage Enumeration</t>
        </is>
      </c>
      <c r="F649" s="74" t="n">
        <v>2</v>
      </c>
      <c r="G649" s="72">
        <f t="array" ref="G649">SUM(IF(ISERROR(FIND(sources[data source],techniques[[#This Row],[data sources]])),0,1)*IF(sources[available]="yes",1,0))</f>
        <v/>
      </c>
      <c r="H649" s="73">
        <f t="array" ref="H649">IF(techniques[[#This Row],[technique]]=techniques[[#This Row],[id]],SUM(IF(techniques[[#This Row],[id]]=techniques[technique],1,0))-1,"")</f>
        <v/>
      </c>
      <c r="I649" s="74">
        <f t="array" ref="I649">IF(SUM(IF($C649=detections[],IF(detections[is active]="yes",1,0),0))&gt;0,SUM(IF($C649=detections[],IF(detections[is active]="yes",1,0),0)),"")</f>
        <v/>
      </c>
      <c r="J649" s="74">
        <f t="array" ref="J64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49" s="74">
        <f>IF(AND(ISNUMBER(techniques[[#This Row],[number of sub techniques]]),techniques[[#This Row],[number of sub techniques]]&gt;1),techniques[number of sub techniques],1)</f>
        <v/>
      </c>
      <c r="L649" s="72" t="n"/>
      <c r="M649" s="74">
        <f t="array" ref="M64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4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49" s="26">
        <f>IF(techniques[[#This Row],[detection rules]]&gt;=techniques[[#This Row],[expected detection rules]],1,techniques[[#This Row],[detection rules]]/techniques[[#This Row],[expected detection rules]])</f>
        <v/>
      </c>
      <c r="P64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49" s="29">
        <f>IF(ISERROR(SEARCH(techniques[[#This Row],[id]],techniques[[#This Row],[name]])),"ERROR","")</f>
        <v/>
      </c>
      <c r="S64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50">
      <c r="A650" s="74" t="inlineStr">
        <is>
          <t>T1620</t>
        </is>
      </c>
      <c r="B650" s="74" t="inlineStr">
        <is>
          <t>T1620</t>
        </is>
      </c>
      <c r="C650" s="13" t="inlineStr">
        <is>
          <t>Reflective Code Loading (T1620)</t>
        </is>
      </c>
      <c r="D650" s="13" t="inlineStr">
        <is>
          <t>stealth</t>
        </is>
      </c>
      <c r="E650" s="13" t="inlineStr">
        <is>
          <t>Module: Module Load|Process: OS API Execution|Process: Process Access|Process: Process Creation|Script: Script Execution</t>
        </is>
      </c>
      <c r="F650" s="74" t="n">
        <v>5</v>
      </c>
      <c r="G650" s="72">
        <f t="array" ref="G650">SUM(IF(ISERROR(FIND(sources[data source],techniques[[#This Row],[data sources]])),0,1)*IF(sources[available]="yes",1,0))</f>
        <v/>
      </c>
      <c r="H650" s="73">
        <f t="array" ref="H650">IF(techniques[[#This Row],[technique]]=techniques[[#This Row],[id]],SUM(IF(techniques[[#This Row],[id]]=techniques[technique],1,0))-1,"")</f>
        <v/>
      </c>
      <c r="I650" s="74">
        <f t="array" ref="I650">IF(SUM(IF($C650=detections[],IF(detections[is active]="yes",1,0),0))&gt;0,SUM(IF($C650=detections[],IF(detections[is active]="yes",1,0),0)),"")</f>
        <v/>
      </c>
      <c r="J650" s="74">
        <f t="array" ref="J65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50" s="74">
        <f>IF(AND(ISNUMBER(techniques[[#This Row],[number of sub techniques]]),techniques[[#This Row],[number of sub techniques]]&gt;1),techniques[number of sub techniques],1)</f>
        <v/>
      </c>
      <c r="L650" s="72" t="n"/>
      <c r="M650" s="74">
        <f t="array" ref="M65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5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50" s="26">
        <f>IF(techniques[[#This Row],[detection rules]]&gt;=techniques[[#This Row],[expected detection rules]],1,techniques[[#This Row],[detection rules]]/techniques[[#This Row],[expected detection rules]])</f>
        <v/>
      </c>
      <c r="P65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50" s="29">
        <f>IF(ISERROR(SEARCH(techniques[[#This Row],[id]],techniques[[#This Row],[name]])),"ERROR","")</f>
        <v/>
      </c>
      <c r="S65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51">
      <c r="A651" s="74" t="inlineStr">
        <is>
          <t>T1621</t>
        </is>
      </c>
      <c r="B651" s="74" t="inlineStr">
        <is>
          <t>T1621</t>
        </is>
      </c>
      <c r="C651" s="13" t="inlineStr">
        <is>
          <t>Multi-Factor Authentication Request Generation (T1621)</t>
        </is>
      </c>
      <c r="D651" s="13" t="inlineStr">
        <is>
          <t>credential-access</t>
        </is>
      </c>
      <c r="E651" s="13" t="inlineStr">
        <is>
          <t>Application Log: Application Log Content|Logon Session: Logon Session Metadata|User Account: User Account Authentication</t>
        </is>
      </c>
      <c r="F651" s="74" t="n">
        <v>3</v>
      </c>
      <c r="G651" s="72">
        <f t="array" ref="G651">SUM(IF(ISERROR(FIND(sources[data source],techniques[[#This Row],[data sources]])),0,1)*IF(sources[available]="yes",1,0))</f>
        <v/>
      </c>
      <c r="H651" s="73">
        <f t="array" ref="H651">IF(techniques[[#This Row],[technique]]=techniques[[#This Row],[id]],SUM(IF(techniques[[#This Row],[id]]=techniques[technique],1,0))-1,"")</f>
        <v/>
      </c>
      <c r="I651" s="74">
        <f t="array" ref="I651">IF(SUM(IF($C651=detections[],IF(detections[is active]="yes",1,0),0))&gt;0,SUM(IF($C651=detections[],IF(detections[is active]="yes",1,0),0)),"")</f>
        <v/>
      </c>
      <c r="J651" s="74">
        <f t="array" ref="J65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51" s="74">
        <f>IF(AND(ISNUMBER(techniques[[#This Row],[number of sub techniques]]),techniques[[#This Row],[number of sub techniques]]&gt;1),techniques[number of sub techniques],1)</f>
        <v/>
      </c>
      <c r="L651" s="72" t="n"/>
      <c r="M651" s="74">
        <f t="array" ref="M65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5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51" s="26">
        <f>IF(techniques[[#This Row],[detection rules]]&gt;=techniques[[#This Row],[expected detection rules]],1,techniques[[#This Row],[detection rules]]/techniques[[#This Row],[expected detection rules]])</f>
        <v/>
      </c>
      <c r="P65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51" s="29">
        <f>IF(ISERROR(SEARCH(techniques[[#This Row],[id]],techniques[[#This Row],[name]])),"ERROR","")</f>
        <v/>
      </c>
      <c r="S65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52">
      <c r="A652" s="74" t="inlineStr">
        <is>
          <t>T1622</t>
        </is>
      </c>
      <c r="B652" s="74" t="inlineStr">
        <is>
          <t>T1622</t>
        </is>
      </c>
      <c r="C652" s="13" t="inlineStr">
        <is>
          <t>Debugger Evasion (T1622)</t>
        </is>
      </c>
      <c r="D652" s="13" t="inlineStr">
        <is>
          <t>stealth|discovery</t>
        </is>
      </c>
      <c r="E652" s="13" t="inlineStr">
        <is>
          <t>File: File Access|Process: OS API Execution|Process: Process Creation</t>
        </is>
      </c>
      <c r="F652" s="74" t="n">
        <v>3</v>
      </c>
      <c r="G652" s="72">
        <f t="array" ref="G652">SUM(IF(ISERROR(FIND(sources[data source],techniques[[#This Row],[data sources]])),0,1)*IF(sources[available]="yes",1,0))</f>
        <v/>
      </c>
      <c r="H652" s="73">
        <f t="array" ref="H652">IF(techniques[[#This Row],[technique]]=techniques[[#This Row],[id]],SUM(IF(techniques[[#This Row],[id]]=techniques[technique],1,0))-1,"")</f>
        <v/>
      </c>
      <c r="I652" s="74">
        <f t="array" ref="I652">IF(SUM(IF($C652=detections[],IF(detections[is active]="yes",1,0),0))&gt;0,SUM(IF($C652=detections[],IF(detections[is active]="yes",1,0),0)),"")</f>
        <v/>
      </c>
      <c r="J652" s="74">
        <f t="array" ref="J65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52" s="74">
        <f>IF(AND(ISNUMBER(techniques[[#This Row],[number of sub techniques]]),techniques[[#This Row],[number of sub techniques]]&gt;1),techniques[number of sub techniques],1)</f>
        <v/>
      </c>
      <c r="L652" s="72" t="n"/>
      <c r="M652" s="74">
        <f t="array" ref="M65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5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52" s="26">
        <f>IF(techniques[[#This Row],[detection rules]]&gt;=techniques[[#This Row],[expected detection rules]],1,techniques[[#This Row],[detection rules]]/techniques[[#This Row],[expected detection rules]])</f>
        <v/>
      </c>
      <c r="P65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52" s="29">
        <f>IF(ISERROR(SEARCH(techniques[[#This Row],[id]],techniques[[#This Row],[name]])),"ERROR","")</f>
        <v/>
      </c>
      <c r="S65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53">
      <c r="A653" s="74" t="inlineStr">
        <is>
          <t>T1647</t>
        </is>
      </c>
      <c r="B653" s="74" t="inlineStr">
        <is>
          <t>T1647</t>
        </is>
      </c>
      <c r="C653" s="13" t="inlineStr">
        <is>
          <t>Plist File Modification (T1647)</t>
        </is>
      </c>
      <c r="D653" s="13" t="inlineStr">
        <is>
          <t>defense-impairment</t>
        </is>
      </c>
      <c r="E653" s="13" t="inlineStr">
        <is>
          <t>Command: Command Execution|File: File Modification|Process: Process Creation</t>
        </is>
      </c>
      <c r="F653" s="74" t="n">
        <v>3</v>
      </c>
      <c r="G653" s="72">
        <f t="array" ref="G653">SUM(IF(ISERROR(FIND(sources[data source],techniques[[#This Row],[data sources]])),0,1)*IF(sources[available]="yes",1,0))</f>
        <v/>
      </c>
      <c r="H653" s="73">
        <f t="array" ref="H653">IF(techniques[[#This Row],[technique]]=techniques[[#This Row],[id]],SUM(IF(techniques[[#This Row],[id]]=techniques[technique],1,0))-1,"")</f>
        <v/>
      </c>
      <c r="I653" s="74">
        <f t="array" ref="I653">IF(SUM(IF($C653=detections[],IF(detections[is active]="yes",1,0),0))&gt;0,SUM(IF($C653=detections[],IF(detections[is active]="yes",1,0),0)),"")</f>
        <v/>
      </c>
      <c r="J653" s="74">
        <f t="array" ref="J65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53" s="74">
        <f>IF(AND(ISNUMBER(techniques[[#This Row],[number of sub techniques]]),techniques[[#This Row],[number of sub techniques]]&gt;1),techniques[number of sub techniques],1)</f>
        <v/>
      </c>
      <c r="L653" s="72" t="n"/>
      <c r="M653" s="74">
        <f t="array" ref="M65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5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53" s="26">
        <f>IF(techniques[[#This Row],[detection rules]]&gt;=techniques[[#This Row],[expected detection rules]],1,techniques[[#This Row],[detection rules]]/techniques[[#This Row],[expected detection rules]])</f>
        <v/>
      </c>
      <c r="P65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53" s="29">
        <f>IF(ISERROR(SEARCH(techniques[[#This Row],[id]],techniques[[#This Row],[name]])),"ERROR","")</f>
        <v/>
      </c>
      <c r="S65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54">
      <c r="A654" s="74" t="inlineStr">
        <is>
          <t>T1648</t>
        </is>
      </c>
      <c r="B654" s="74" t="inlineStr">
        <is>
          <t>T1648</t>
        </is>
      </c>
      <c r="C654" s="13" t="inlineStr">
        <is>
          <t>Serverless Execution (T1648)</t>
        </is>
      </c>
      <c r="D654" s="13" t="inlineStr">
        <is>
          <t>execution</t>
        </is>
      </c>
      <c r="E654" s="13" t="inlineStr">
        <is>
          <t>Application Log: Application Log Content|Cloud Service: Cloud Service Modification</t>
        </is>
      </c>
      <c r="F654" s="74" t="n">
        <v>2</v>
      </c>
      <c r="G654" s="72">
        <f t="array" ref="G654">SUM(IF(ISERROR(FIND(sources[data source],techniques[[#This Row],[data sources]])),0,1)*IF(sources[available]="yes",1,0))</f>
        <v/>
      </c>
      <c r="H654" s="73">
        <f t="array" ref="H654">IF(techniques[[#This Row],[technique]]=techniques[[#This Row],[id]],SUM(IF(techniques[[#This Row],[id]]=techniques[technique],1,0))-1,"")</f>
        <v/>
      </c>
      <c r="I654" s="74">
        <f t="array" ref="I654">IF(SUM(IF($C654=detections[],IF(detections[is active]="yes",1,0),0))&gt;0,SUM(IF($C654=detections[],IF(detections[is active]="yes",1,0),0)),"")</f>
        <v/>
      </c>
      <c r="J654" s="74">
        <f t="array" ref="J65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54" s="74">
        <f>IF(AND(ISNUMBER(techniques[[#This Row],[number of sub techniques]]),techniques[[#This Row],[number of sub techniques]]&gt;1),techniques[number of sub techniques],1)</f>
        <v/>
      </c>
      <c r="L654" s="72" t="n"/>
      <c r="M654" s="74">
        <f t="array" ref="M65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5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54" s="26">
        <f>IF(techniques[[#This Row],[detection rules]]&gt;=techniques[[#This Row],[expected detection rules]],1,techniques[[#This Row],[detection rules]]/techniques[[#This Row],[expected detection rules]])</f>
        <v/>
      </c>
      <c r="P65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54" s="29">
        <f>IF(ISERROR(SEARCH(techniques[[#This Row],[id]],techniques[[#This Row],[name]])),"ERROR","")</f>
        <v/>
      </c>
      <c r="S65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55">
      <c r="A655" s="74" t="inlineStr">
        <is>
          <t>T1649</t>
        </is>
      </c>
      <c r="B655" s="74" t="inlineStr">
        <is>
          <t>T1649</t>
        </is>
      </c>
      <c r="C655" s="13" t="inlineStr">
        <is>
          <t>Steal or Forge Authentication Certificates (T1649)</t>
        </is>
      </c>
      <c r="D655" s="13" t="inlineStr">
        <is>
          <t>credential-access</t>
        </is>
      </c>
      <c r="E655" s="13" t="inlineStr">
        <is>
          <t>Active Directory: Active Directory Credential Request|Active Directory: Active Directory Object Modification|Application Log: Application Log Content|Command: Command Execution|File: File Access|Windows Registry: Windows Registry Key Access</t>
        </is>
      </c>
      <c r="F655" s="74" t="n">
        <v>6</v>
      </c>
      <c r="G655" s="72">
        <f t="array" ref="G655">SUM(IF(ISERROR(FIND(sources[data source],techniques[[#This Row],[data sources]])),0,1)*IF(sources[available]="yes",1,0))</f>
        <v/>
      </c>
      <c r="H655" s="73">
        <f t="array" ref="H655">IF(techniques[[#This Row],[technique]]=techniques[[#This Row],[id]],SUM(IF(techniques[[#This Row],[id]]=techniques[technique],1,0))-1,"")</f>
        <v/>
      </c>
      <c r="I655" s="74">
        <f t="array" ref="I655">IF(SUM(IF($C655=detections[],IF(detections[is active]="yes",1,0),0))&gt;0,SUM(IF($C655=detections[],IF(detections[is active]="yes",1,0),0)),"")</f>
        <v/>
      </c>
      <c r="J655" s="74">
        <f t="array" ref="J65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55" s="74">
        <f>IF(AND(ISNUMBER(techniques[[#This Row],[number of sub techniques]]),techniques[[#This Row],[number of sub techniques]]&gt;1),techniques[number of sub techniques],1)</f>
        <v/>
      </c>
      <c r="L655" s="72" t="n"/>
      <c r="M655" s="74">
        <f t="array" ref="M65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5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55" s="26">
        <f>IF(techniques[[#This Row],[detection rules]]&gt;=techniques[[#This Row],[expected detection rules]],1,techniques[[#This Row],[detection rules]]/techniques[[#This Row],[expected detection rules]])</f>
        <v/>
      </c>
      <c r="P65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55" s="29">
        <f>IF(ISERROR(SEARCH(techniques[[#This Row],[id]],techniques[[#This Row],[name]])),"ERROR","")</f>
        <v/>
      </c>
      <c r="S65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56">
      <c r="A656" s="74" t="inlineStr">
        <is>
          <t>T1650</t>
        </is>
      </c>
      <c r="B656" s="74" t="inlineStr">
        <is>
          <t>T1650</t>
        </is>
      </c>
      <c r="C656" s="13" t="inlineStr">
        <is>
          <t>Acquire Access (T1650)</t>
        </is>
      </c>
      <c r="D656" s="13" t="inlineStr">
        <is>
          <t>resource-development</t>
        </is>
      </c>
      <c r="E656" s="13" t="inlineStr"/>
      <c r="F656" s="74" t="n">
        <v>0</v>
      </c>
      <c r="G656" s="72">
        <f t="array" ref="G656">SUM(IF(ISERROR(FIND(sources[data source],techniques[[#This Row],[data sources]])),0,1)*IF(sources[available]="yes",1,0))</f>
        <v/>
      </c>
      <c r="H656" s="73">
        <f t="array" ref="H656">IF(techniques[[#This Row],[technique]]=techniques[[#This Row],[id]],SUM(IF(techniques[[#This Row],[id]]=techniques[technique],1,0))-1,"")</f>
        <v/>
      </c>
      <c r="I656" s="74">
        <f t="array" ref="I656">IF(SUM(IF($C656=detections[],IF(detections[is active]="yes",1,0),0))&gt;0,SUM(IF($C656=detections[],IF(detections[is active]="yes",1,0),0)),"")</f>
        <v/>
      </c>
      <c r="J656" s="74">
        <f t="array" ref="J65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56" s="74">
        <f>IF(AND(ISNUMBER(techniques[[#This Row],[number of sub techniques]]),techniques[[#This Row],[number of sub techniques]]&gt;1),techniques[number of sub techniques],1)</f>
        <v/>
      </c>
      <c r="L656" s="72" t="n"/>
      <c r="M656" s="74">
        <f t="array" ref="M65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5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56" s="26">
        <f>IF(techniques[[#This Row],[detection rules]]&gt;=techniques[[#This Row],[expected detection rules]],1,techniques[[#This Row],[detection rules]]/techniques[[#This Row],[expected detection rules]])</f>
        <v/>
      </c>
      <c r="P65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56" s="29">
        <f>IF(ISERROR(SEARCH(techniques[[#This Row],[id]],techniques[[#This Row],[name]])),"ERROR","")</f>
        <v/>
      </c>
      <c r="S65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57">
      <c r="A657" s="74" t="inlineStr">
        <is>
          <t>T1651</t>
        </is>
      </c>
      <c r="B657" s="74" t="inlineStr">
        <is>
          <t>T1651</t>
        </is>
      </c>
      <c r="C657" s="13" t="inlineStr">
        <is>
          <t>Cloud Administration Command (T1651)</t>
        </is>
      </c>
      <c r="D657" s="13" t="inlineStr">
        <is>
          <t>execution</t>
        </is>
      </c>
      <c r="E657" s="13" t="inlineStr">
        <is>
          <t>Command: Command Execution|Process: Process Creation|Script: Script Execution</t>
        </is>
      </c>
      <c r="F657" s="74" t="n">
        <v>3</v>
      </c>
      <c r="G657" s="72">
        <f t="array" ref="G657">SUM(IF(ISERROR(FIND(sources[data source],techniques[[#This Row],[data sources]])),0,1)*IF(sources[available]="yes",1,0))</f>
        <v/>
      </c>
      <c r="H657" s="73">
        <f t="array" ref="H657">IF(techniques[[#This Row],[technique]]=techniques[[#This Row],[id]],SUM(IF(techniques[[#This Row],[id]]=techniques[technique],1,0))-1,"")</f>
        <v/>
      </c>
      <c r="I657" s="74">
        <f t="array" ref="I657">IF(SUM(IF($C657=detections[],IF(detections[is active]="yes",1,0),0))&gt;0,SUM(IF($C657=detections[],IF(detections[is active]="yes",1,0),0)),"")</f>
        <v/>
      </c>
      <c r="J657" s="74">
        <f t="array" ref="J65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57" s="74">
        <f>IF(AND(ISNUMBER(techniques[[#This Row],[number of sub techniques]]),techniques[[#This Row],[number of sub techniques]]&gt;1),techniques[number of sub techniques],1)</f>
        <v/>
      </c>
      <c r="L657" s="72" t="n"/>
      <c r="M657" s="74">
        <f t="array" ref="M65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5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57" s="26">
        <f>IF(techniques[[#This Row],[detection rules]]&gt;=techniques[[#This Row],[expected detection rules]],1,techniques[[#This Row],[detection rules]]/techniques[[#This Row],[expected detection rules]])</f>
        <v/>
      </c>
      <c r="P65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57" s="29">
        <f>IF(ISERROR(SEARCH(techniques[[#This Row],[id]],techniques[[#This Row],[name]])),"ERROR","")</f>
        <v/>
      </c>
      <c r="S65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58">
      <c r="A658" s="74" t="inlineStr">
        <is>
          <t>T1652</t>
        </is>
      </c>
      <c r="B658" s="74" t="inlineStr">
        <is>
          <t>T1652</t>
        </is>
      </c>
      <c r="C658" s="13" t="inlineStr">
        <is>
          <t>Device Driver Discovery (T1652)</t>
        </is>
      </c>
      <c r="D658" s="13" t="inlineStr">
        <is>
          <t>discovery</t>
        </is>
      </c>
      <c r="E658" s="13" t="inlineStr">
        <is>
          <t>Command: Command Execution|File: File Access|Process: Process Creation|Windows Registry: Windows Registry Key Modification</t>
        </is>
      </c>
      <c r="F658" s="74" t="n">
        <v>4</v>
      </c>
      <c r="G658" s="72">
        <f t="array" ref="G658">SUM(IF(ISERROR(FIND(sources[data source],techniques[[#This Row],[data sources]])),0,1)*IF(sources[available]="yes",1,0))</f>
        <v/>
      </c>
      <c r="H658" s="73">
        <f t="array" ref="H658">IF(techniques[[#This Row],[technique]]=techniques[[#This Row],[id]],SUM(IF(techniques[[#This Row],[id]]=techniques[technique],1,0))-1,"")</f>
        <v/>
      </c>
      <c r="I658" s="74">
        <f t="array" ref="I658">IF(SUM(IF($C658=detections[],IF(detections[is active]="yes",1,0),0))&gt;0,SUM(IF($C658=detections[],IF(detections[is active]="yes",1,0),0)),"")</f>
        <v/>
      </c>
      <c r="J658" s="74">
        <f t="array" ref="J65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58" s="74">
        <f>IF(AND(ISNUMBER(techniques[[#This Row],[number of sub techniques]]),techniques[[#This Row],[number of sub techniques]]&gt;1),techniques[number of sub techniques],1)</f>
        <v/>
      </c>
      <c r="L658" s="72" t="n"/>
      <c r="M658" s="74">
        <f t="array" ref="M65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5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58" s="26">
        <f>IF(techniques[[#This Row],[detection rules]]&gt;=techniques[[#This Row],[expected detection rules]],1,techniques[[#This Row],[detection rules]]/techniques[[#This Row],[expected detection rules]])</f>
        <v/>
      </c>
      <c r="P65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58" s="29">
        <f>IF(ISERROR(SEARCH(techniques[[#This Row],[id]],techniques[[#This Row],[name]])),"ERROR","")</f>
        <v/>
      </c>
      <c r="S65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59">
      <c r="A659" s="74" t="inlineStr">
        <is>
          <t>T1653</t>
        </is>
      </c>
      <c r="B659" s="74" t="inlineStr">
        <is>
          <t>T1653</t>
        </is>
      </c>
      <c r="C659" s="13" t="inlineStr">
        <is>
          <t>Power Settings (T1653)</t>
        </is>
      </c>
      <c r="D659" s="13" t="inlineStr">
        <is>
          <t>persistence</t>
        </is>
      </c>
      <c r="E659" s="13" t="inlineStr">
        <is>
          <t>Command: Command Execution|File: File Modification|Process: Process Creation</t>
        </is>
      </c>
      <c r="F659" s="74" t="n">
        <v>3</v>
      </c>
      <c r="G659" s="72">
        <f t="array" ref="G659">SUM(IF(ISERROR(FIND(sources[data source],techniques[[#This Row],[data sources]])),0,1)*IF(sources[available]="yes",1,0))</f>
        <v/>
      </c>
      <c r="H659" s="73">
        <f t="array" ref="H659">IF(techniques[[#This Row],[technique]]=techniques[[#This Row],[id]],SUM(IF(techniques[[#This Row],[id]]=techniques[technique],1,0))-1,"")</f>
        <v/>
      </c>
      <c r="I659" s="74">
        <f t="array" ref="I659">IF(SUM(IF($C659=detections[],IF(detections[is active]="yes",1,0),0))&gt;0,SUM(IF($C659=detections[],IF(detections[is active]="yes",1,0),0)),"")</f>
        <v/>
      </c>
      <c r="J659" s="74">
        <f t="array" ref="J65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59" s="74">
        <f>IF(AND(ISNUMBER(techniques[[#This Row],[number of sub techniques]]),techniques[[#This Row],[number of sub techniques]]&gt;1),techniques[number of sub techniques],1)</f>
        <v/>
      </c>
      <c r="L659" s="72" t="n"/>
      <c r="M659" s="74">
        <f t="array" ref="M65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5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59" s="26">
        <f>IF(techniques[[#This Row],[detection rules]]&gt;=techniques[[#This Row],[expected detection rules]],1,techniques[[#This Row],[detection rules]]/techniques[[#This Row],[expected detection rules]])</f>
        <v/>
      </c>
      <c r="P65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59" s="29">
        <f>IF(ISERROR(SEARCH(techniques[[#This Row],[id]],techniques[[#This Row],[name]])),"ERROR","")</f>
        <v/>
      </c>
      <c r="S65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60">
      <c r="A660" s="74" t="inlineStr">
        <is>
          <t>T1654</t>
        </is>
      </c>
      <c r="B660" s="74" t="inlineStr">
        <is>
          <t>T1654</t>
        </is>
      </c>
      <c r="C660" s="13" t="inlineStr">
        <is>
          <t>Log Enumeration (T1654)</t>
        </is>
      </c>
      <c r="D660" s="13" t="inlineStr">
        <is>
          <t>discovery</t>
        </is>
      </c>
      <c r="E660" s="13" t="inlineStr">
        <is>
          <t>Command: Command Execution|File: File Access|Process: Process Creation</t>
        </is>
      </c>
      <c r="F660" s="74" t="n">
        <v>3</v>
      </c>
      <c r="G660" s="72">
        <f t="array" ref="G660">SUM(IF(ISERROR(FIND(sources[data source],techniques[[#This Row],[data sources]])),0,1)*IF(sources[available]="yes",1,0))</f>
        <v/>
      </c>
      <c r="H660" s="73">
        <f t="array" ref="H660">IF(techniques[[#This Row],[technique]]=techniques[[#This Row],[id]],SUM(IF(techniques[[#This Row],[id]]=techniques[technique],1,0))-1,"")</f>
        <v/>
      </c>
      <c r="I660" s="74">
        <f t="array" ref="I660">IF(SUM(IF($C660=detections[],IF(detections[is active]="yes",1,0),0))&gt;0,SUM(IF($C660=detections[],IF(detections[is active]="yes",1,0),0)),"")</f>
        <v/>
      </c>
      <c r="J660" s="74">
        <f t="array" ref="J66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60" s="74">
        <f>IF(AND(ISNUMBER(techniques[[#This Row],[number of sub techniques]]),techniques[[#This Row],[number of sub techniques]]&gt;1),techniques[number of sub techniques],1)</f>
        <v/>
      </c>
      <c r="L660" s="72" t="n"/>
      <c r="M660" s="74">
        <f t="array" ref="M66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6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60" s="26">
        <f>IF(techniques[[#This Row],[detection rules]]&gt;=techniques[[#This Row],[expected detection rules]],1,techniques[[#This Row],[detection rules]]/techniques[[#This Row],[expected detection rules]])</f>
        <v/>
      </c>
      <c r="P66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60" s="29">
        <f>IF(ISERROR(SEARCH(techniques[[#This Row],[id]],techniques[[#This Row],[name]])),"ERROR","")</f>
        <v/>
      </c>
      <c r="S66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61">
      <c r="A661" s="74" t="inlineStr">
        <is>
          <t>T1657</t>
        </is>
      </c>
      <c r="B661" s="74" t="inlineStr">
        <is>
          <t>T1657</t>
        </is>
      </c>
      <c r="C661" s="13" t="inlineStr">
        <is>
          <t>Financial Theft (T1657)</t>
        </is>
      </c>
      <c r="D661" s="13" t="inlineStr">
        <is>
          <t>impact</t>
        </is>
      </c>
      <c r="E661" s="13" t="inlineStr">
        <is>
          <t>Application Log: Application Log Content|Command: Command Execution|File: File Modification|Logon Session: Logon Session Creation|Process: Process Creation</t>
        </is>
      </c>
      <c r="F661" s="74" t="n">
        <v>5</v>
      </c>
      <c r="G661" s="72">
        <f t="array" ref="G661">SUM(IF(ISERROR(FIND(sources[data source],techniques[[#This Row],[data sources]])),0,1)*IF(sources[available]="yes",1,0))</f>
        <v/>
      </c>
      <c r="H661" s="73">
        <f t="array" ref="H661">IF(techniques[[#This Row],[technique]]=techniques[[#This Row],[id]],SUM(IF(techniques[[#This Row],[id]]=techniques[technique],1,0))-1,"")</f>
        <v/>
      </c>
      <c r="I661" s="74">
        <f t="array" ref="I661">IF(SUM(IF($C661=detections[],IF(detections[is active]="yes",1,0),0))&gt;0,SUM(IF($C661=detections[],IF(detections[is active]="yes",1,0),0)),"")</f>
        <v/>
      </c>
      <c r="J661" s="74">
        <f t="array" ref="J66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61" s="74">
        <f>IF(AND(ISNUMBER(techniques[[#This Row],[number of sub techniques]]),techniques[[#This Row],[number of sub techniques]]&gt;1),techniques[number of sub techniques],1)</f>
        <v/>
      </c>
      <c r="L661" s="72" t="n"/>
      <c r="M661" s="74">
        <f t="array" ref="M66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6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61" s="26">
        <f>IF(techniques[[#This Row],[detection rules]]&gt;=techniques[[#This Row],[expected detection rules]],1,techniques[[#This Row],[detection rules]]/techniques[[#This Row],[expected detection rules]])</f>
        <v/>
      </c>
      <c r="P66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61" s="29">
        <f>IF(ISERROR(SEARCH(techniques[[#This Row],[id]],techniques[[#This Row],[name]])),"ERROR","")</f>
        <v/>
      </c>
      <c r="S66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62">
      <c r="A662" s="74" t="inlineStr">
        <is>
          <t>T1659</t>
        </is>
      </c>
      <c r="B662" s="74" t="inlineStr">
        <is>
          <t>T1659</t>
        </is>
      </c>
      <c r="C662" s="13" t="inlineStr">
        <is>
          <t>Content Injection (T1659)</t>
        </is>
      </c>
      <c r="D662" s="13" t="inlineStr">
        <is>
          <t>initial-access|command-and-control</t>
        </is>
      </c>
      <c r="E662" s="13" t="inlineStr">
        <is>
          <t>Command: Command Execution|File: File Creation|Network Traffic: Network Traffic Content|Process: Process Creation</t>
        </is>
      </c>
      <c r="F662" s="74" t="n">
        <v>4</v>
      </c>
      <c r="G662" s="72">
        <f t="array" ref="G662">SUM(IF(ISERROR(FIND(sources[data source],techniques[[#This Row],[data sources]])),0,1)*IF(sources[available]="yes",1,0))</f>
        <v/>
      </c>
      <c r="H662" s="73">
        <f t="array" ref="H662">IF(techniques[[#This Row],[technique]]=techniques[[#This Row],[id]],SUM(IF(techniques[[#This Row],[id]]=techniques[technique],1,0))-1,"")</f>
        <v/>
      </c>
      <c r="I662" s="74">
        <f t="array" ref="I662">IF(SUM(IF($C662=detections[],IF(detections[is active]="yes",1,0),0))&gt;0,SUM(IF($C662=detections[],IF(detections[is active]="yes",1,0),0)),"")</f>
        <v/>
      </c>
      <c r="J662" s="74">
        <f t="array" ref="J66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62" s="74">
        <f>IF(AND(ISNUMBER(techniques[[#This Row],[number of sub techniques]]),techniques[[#This Row],[number of sub techniques]]&gt;1),techniques[number of sub techniques],1)</f>
        <v/>
      </c>
      <c r="L662" s="72" t="n"/>
      <c r="M662" s="74">
        <f t="array" ref="M66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6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62" s="26">
        <f>IF(techniques[[#This Row],[detection rules]]&gt;=techniques[[#This Row],[expected detection rules]],1,techniques[[#This Row],[detection rules]]/techniques[[#This Row],[expected detection rules]])</f>
        <v/>
      </c>
      <c r="P66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62" s="29">
        <f>IF(ISERROR(SEARCH(techniques[[#This Row],[id]],techniques[[#This Row],[name]])),"ERROR","")</f>
        <v/>
      </c>
      <c r="S66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63">
      <c r="A663" s="74" t="inlineStr">
        <is>
          <t>T1665</t>
        </is>
      </c>
      <c r="B663" s="74" t="inlineStr">
        <is>
          <t>T1665</t>
        </is>
      </c>
      <c r="C663" s="13" t="inlineStr">
        <is>
          <t>Hide Infrastructure (T1665)</t>
        </is>
      </c>
      <c r="D663" s="13" t="inlineStr">
        <is>
          <t>command-and-control</t>
        </is>
      </c>
      <c r="E663" s="13" t="inlineStr">
        <is>
          <t>Domain Name: Domain Registration|Internet Scan: Response Content|Internet Scan: Response Metadata|Network Traffic: Network Connection Creation|Network Traffic: Network Traffic Content|Process: Process Creation</t>
        </is>
      </c>
      <c r="F663" s="74" t="n">
        <v>6</v>
      </c>
      <c r="G663" s="72">
        <f t="array" ref="G663">SUM(IF(ISERROR(FIND(sources[data source],techniques[[#This Row],[data sources]])),0,1)*IF(sources[available]="yes",1,0))</f>
        <v/>
      </c>
      <c r="H663" s="73">
        <f t="array" ref="H663">IF(techniques[[#This Row],[technique]]=techniques[[#This Row],[id]],SUM(IF(techniques[[#This Row],[id]]=techniques[technique],1,0))-1,"")</f>
        <v/>
      </c>
      <c r="I663" s="74">
        <f t="array" ref="I663">IF(SUM(IF($C663=detections[],IF(detections[is active]="yes",1,0),0))&gt;0,SUM(IF($C663=detections[],IF(detections[is active]="yes",1,0),0)),"")</f>
        <v/>
      </c>
      <c r="J663" s="74">
        <f t="array" ref="J66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63" s="74">
        <f>IF(AND(ISNUMBER(techniques[[#This Row],[number of sub techniques]]),techniques[[#This Row],[number of sub techniques]]&gt;1),techniques[number of sub techniques],1)</f>
        <v/>
      </c>
      <c r="L663" s="72" t="n"/>
      <c r="M663" s="74">
        <f t="array" ref="M66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6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63" s="26">
        <f>IF(techniques[[#This Row],[detection rules]]&gt;=techniques[[#This Row],[expected detection rules]],1,techniques[[#This Row],[detection rules]]/techniques[[#This Row],[expected detection rules]])</f>
        <v/>
      </c>
      <c r="P66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63" s="29">
        <f>IF(ISERROR(SEARCH(techniques[[#This Row],[id]],techniques[[#This Row],[name]])),"ERROR","")</f>
        <v/>
      </c>
      <c r="S66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64">
      <c r="A664" s="74" t="inlineStr">
        <is>
          <t>T1666</t>
        </is>
      </c>
      <c r="B664" s="74" t="inlineStr">
        <is>
          <t>T1666</t>
        </is>
      </c>
      <c r="C664" s="13" t="inlineStr">
        <is>
          <t>Modify Cloud Resource Hierarchy (T1666)</t>
        </is>
      </c>
      <c r="D664" s="13" t="inlineStr">
        <is>
          <t>defense-impairment</t>
        </is>
      </c>
      <c r="E664" s="13" t="inlineStr">
        <is>
          <t>Cloud Service: Cloud Service Modification</t>
        </is>
      </c>
      <c r="F664" s="74" t="n">
        <v>1</v>
      </c>
      <c r="G664" s="72">
        <f t="array" ref="G664">SUM(IF(ISERROR(FIND(sources[data source],techniques[[#This Row],[data sources]])),0,1)*IF(sources[available]="yes",1,0))</f>
        <v/>
      </c>
      <c r="H664" s="73">
        <f t="array" ref="H664">IF(techniques[[#This Row],[technique]]=techniques[[#This Row],[id]],SUM(IF(techniques[[#This Row],[id]]=techniques[technique],1,0))-1,"")</f>
        <v/>
      </c>
      <c r="I664" s="74">
        <f t="array" ref="I664">IF(SUM(IF($C664=detections[],IF(detections[is active]="yes",1,0),0))&gt;0,SUM(IF($C664=detections[],IF(detections[is active]="yes",1,0),0)),"")</f>
        <v/>
      </c>
      <c r="J664" s="74">
        <f t="array" ref="J66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64" s="74">
        <f>IF(AND(ISNUMBER(techniques[[#This Row],[number of sub techniques]]),techniques[[#This Row],[number of sub techniques]]&gt;1),techniques[number of sub techniques],1)</f>
        <v/>
      </c>
      <c r="L664" s="72" t="n"/>
      <c r="M664" s="74">
        <f t="array" ref="M66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6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64" s="26">
        <f>IF(techniques[[#This Row],[detection rules]]&gt;=techniques[[#This Row],[expected detection rules]],1,techniques[[#This Row],[detection rules]]/techniques[[#This Row],[expected detection rules]])</f>
        <v/>
      </c>
      <c r="P66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64" s="29">
        <f>IF(ISERROR(SEARCH(techniques[[#This Row],[id]],techniques[[#This Row],[name]])),"ERROR","")</f>
        <v/>
      </c>
      <c r="S66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65">
      <c r="A665" s="74" t="inlineStr">
        <is>
          <t>T1667</t>
        </is>
      </c>
      <c r="B665" s="74" t="inlineStr">
        <is>
          <t>T1667</t>
        </is>
      </c>
      <c r="C665" s="13" t="inlineStr">
        <is>
          <t>Email Bombing (T1667)</t>
        </is>
      </c>
      <c r="D665" s="13" t="inlineStr">
        <is>
          <t>impact</t>
        </is>
      </c>
      <c r="E665" s="13" t="inlineStr">
        <is>
          <t>Application Log: Application Log Content|File: File Creation</t>
        </is>
      </c>
      <c r="F665" s="74" t="n">
        <v>2</v>
      </c>
      <c r="G665" s="72">
        <f t="array" ref="G665">SUM(IF(ISERROR(FIND(sources[data source],techniques[[#This Row],[data sources]])),0,1)*IF(sources[available]="yes",1,0))</f>
        <v/>
      </c>
      <c r="H665" s="73">
        <f t="array" ref="H665">IF(techniques[[#This Row],[technique]]=techniques[[#This Row],[id]],SUM(IF(techniques[[#This Row],[id]]=techniques[technique],1,0))-1,"")</f>
        <v/>
      </c>
      <c r="I665" s="74">
        <f t="array" ref="I665">IF(SUM(IF($C665=detections[],IF(detections[is active]="yes",1,0),0))&gt;0,SUM(IF($C665=detections[],IF(detections[is active]="yes",1,0),0)),"")</f>
        <v/>
      </c>
      <c r="J665" s="74">
        <f t="array" ref="J66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65" s="74">
        <f>IF(AND(ISNUMBER(techniques[[#This Row],[number of sub techniques]]),techniques[[#This Row],[number of sub techniques]]&gt;1),techniques[number of sub techniques],1)</f>
        <v/>
      </c>
      <c r="L665" s="72" t="n"/>
      <c r="M665" s="74">
        <f t="array" ref="M66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6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65" s="26">
        <f>IF(techniques[[#This Row],[detection rules]]&gt;=techniques[[#This Row],[expected detection rules]],1,techniques[[#This Row],[detection rules]]/techniques[[#This Row],[expected detection rules]])</f>
        <v/>
      </c>
      <c r="P66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65" s="29">
        <f>IF(ISERROR(SEARCH(techniques[[#This Row],[id]],techniques[[#This Row],[name]])),"ERROR","")</f>
        <v/>
      </c>
      <c r="S66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66">
      <c r="A666" s="74" t="inlineStr">
        <is>
          <t>T1668</t>
        </is>
      </c>
      <c r="B666" s="74" t="inlineStr">
        <is>
          <t>T1668</t>
        </is>
      </c>
      <c r="C666" s="13" t="inlineStr">
        <is>
          <t>Exclusive Control (T1668)</t>
        </is>
      </c>
      <c r="D666" s="13" t="inlineStr">
        <is>
          <t>persistence</t>
        </is>
      </c>
      <c r="E666" s="13" t="inlineStr">
        <is>
          <t>Command: Command Execution|Process: Process Creation|Process: Process Termination</t>
        </is>
      </c>
      <c r="F666" s="74" t="n">
        <v>3</v>
      </c>
      <c r="G666" s="72">
        <f t="array" ref="G666">SUM(IF(ISERROR(FIND(sources[data source],techniques[[#This Row],[data sources]])),0,1)*IF(sources[available]="yes",1,0))</f>
        <v/>
      </c>
      <c r="H666" s="73">
        <f t="array" ref="H666">IF(techniques[[#This Row],[technique]]=techniques[[#This Row],[id]],SUM(IF(techniques[[#This Row],[id]]=techniques[technique],1,0))-1,"")</f>
        <v/>
      </c>
      <c r="I666" s="74">
        <f t="array" ref="I666">IF(SUM(IF($C666=detections[],IF(detections[is active]="yes",1,0),0))&gt;0,SUM(IF($C666=detections[],IF(detections[is active]="yes",1,0),0)),"")</f>
        <v/>
      </c>
      <c r="J666" s="74">
        <f t="array" ref="J66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66" s="74">
        <f>IF(AND(ISNUMBER(techniques[[#This Row],[number of sub techniques]]),techniques[[#This Row],[number of sub techniques]]&gt;1),techniques[number of sub techniques],1)</f>
        <v/>
      </c>
      <c r="L666" s="72" t="n"/>
      <c r="M666" s="74">
        <f t="array" ref="M66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6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66" s="26">
        <f>IF(techniques[[#This Row],[detection rules]]&gt;=techniques[[#This Row],[expected detection rules]],1,techniques[[#This Row],[detection rules]]/techniques[[#This Row],[expected detection rules]])</f>
        <v/>
      </c>
      <c r="P66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66" s="29">
        <f>IF(ISERROR(SEARCH(techniques[[#This Row],[id]],techniques[[#This Row],[name]])),"ERROR","")</f>
        <v/>
      </c>
      <c r="S66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67">
      <c r="A667" s="74" t="inlineStr">
        <is>
          <t>T1669</t>
        </is>
      </c>
      <c r="B667" s="74" t="inlineStr">
        <is>
          <t>T1669</t>
        </is>
      </c>
      <c r="C667" s="13" t="inlineStr">
        <is>
          <t>Wi-Fi Networks (T1669)</t>
        </is>
      </c>
      <c r="D667" s="13" t="inlineStr">
        <is>
          <t>initial-access</t>
        </is>
      </c>
      <c r="E667" s="13" t="inlineStr">
        <is>
          <t>Firewall: Firewall Rule Modification|Network Traffic: Network Connection Creation|Network Traffic: Network Traffic Content|Network Traffic: Network Traffic Flow|User Account: User Account Authentication</t>
        </is>
      </c>
      <c r="F667" s="74" t="n">
        <v>5</v>
      </c>
      <c r="G667" s="72">
        <f t="array" ref="G667">SUM(IF(ISERROR(FIND(sources[data source],techniques[[#This Row],[data sources]])),0,1)*IF(sources[available]="yes",1,0))</f>
        <v/>
      </c>
      <c r="H667" s="73">
        <f t="array" ref="H667">IF(techniques[[#This Row],[technique]]=techniques[[#This Row],[id]],SUM(IF(techniques[[#This Row],[id]]=techniques[technique],1,0))-1,"")</f>
        <v/>
      </c>
      <c r="I667" s="74">
        <f t="array" ref="I667">IF(SUM(IF($C667=detections[],IF(detections[is active]="yes",1,0),0))&gt;0,SUM(IF($C667=detections[],IF(detections[is active]="yes",1,0),0)),"")</f>
        <v/>
      </c>
      <c r="J667" s="74">
        <f t="array" ref="J66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67" s="74">
        <f>IF(AND(ISNUMBER(techniques[[#This Row],[number of sub techniques]]),techniques[[#This Row],[number of sub techniques]]&gt;1),techniques[number of sub techniques],1)</f>
        <v/>
      </c>
      <c r="L667" s="72" t="n"/>
      <c r="M667" s="74">
        <f t="array" ref="M66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6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67" s="26">
        <f>IF(techniques[[#This Row],[detection rules]]&gt;=techniques[[#This Row],[expected detection rules]],1,techniques[[#This Row],[detection rules]]/techniques[[#This Row],[expected detection rules]])</f>
        <v/>
      </c>
      <c r="P66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67" s="29">
        <f>IF(ISERROR(SEARCH(techniques[[#This Row],[id]],techniques[[#This Row],[name]])),"ERROR","")</f>
        <v/>
      </c>
      <c r="S66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68">
      <c r="A668" s="74" t="inlineStr">
        <is>
          <t>T1671</t>
        </is>
      </c>
      <c r="B668" s="74" t="inlineStr">
        <is>
          <t>T1671</t>
        </is>
      </c>
      <c r="C668" s="13" t="inlineStr">
        <is>
          <t>Cloud Application Integration (T1671)</t>
        </is>
      </c>
      <c r="D668" s="13" t="inlineStr">
        <is>
          <t>persistence</t>
        </is>
      </c>
      <c r="E668" s="13" t="inlineStr">
        <is>
          <t>Active Directory: Active Directory Object Modification|Application Log: Application Log Content|Cloud Service: Cloud Service Modification</t>
        </is>
      </c>
      <c r="F668" s="74" t="n">
        <v>3</v>
      </c>
      <c r="G668" s="72">
        <f t="array" ref="G668">SUM(IF(ISERROR(FIND(sources[data source],techniques[[#This Row],[data sources]])),0,1)*IF(sources[available]="yes",1,0))</f>
        <v/>
      </c>
      <c r="H668" s="73">
        <f t="array" ref="H668">IF(techniques[[#This Row],[technique]]=techniques[[#This Row],[id]],SUM(IF(techniques[[#This Row],[id]]=techniques[technique],1,0))-1,"")</f>
        <v/>
      </c>
      <c r="I668" s="74">
        <f t="array" ref="I668">IF(SUM(IF($C668=detections[],IF(detections[is active]="yes",1,0),0))&gt;0,SUM(IF($C668=detections[],IF(detections[is active]="yes",1,0),0)),"")</f>
        <v/>
      </c>
      <c r="J668" s="74">
        <f t="array" ref="J66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68" s="74">
        <f>IF(AND(ISNUMBER(techniques[[#This Row],[number of sub techniques]]),techniques[[#This Row],[number of sub techniques]]&gt;1),techniques[number of sub techniques],1)</f>
        <v/>
      </c>
      <c r="L668" s="72" t="n"/>
      <c r="M668" s="74">
        <f t="array" ref="M66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6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68" s="26">
        <f>IF(techniques[[#This Row],[detection rules]]&gt;=techniques[[#This Row],[expected detection rules]],1,techniques[[#This Row],[detection rules]]/techniques[[#This Row],[expected detection rules]])</f>
        <v/>
      </c>
      <c r="P66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68" s="29">
        <f>IF(ISERROR(SEARCH(techniques[[#This Row],[id]],techniques[[#This Row],[name]])),"ERROR","")</f>
        <v/>
      </c>
      <c r="S66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69">
      <c r="A669" s="74" t="inlineStr">
        <is>
          <t>T1673</t>
        </is>
      </c>
      <c r="B669" s="74" t="inlineStr">
        <is>
          <t>T1673</t>
        </is>
      </c>
      <c r="C669" s="13" t="inlineStr">
        <is>
          <t>Virtual Machine Discovery (T1673)</t>
        </is>
      </c>
      <c r="D669" s="13" t="inlineStr">
        <is>
          <t>discovery</t>
        </is>
      </c>
      <c r="E669" s="13" t="inlineStr">
        <is>
          <t>Command: Command Execution|Process: Process Creation</t>
        </is>
      </c>
      <c r="F669" s="74" t="n">
        <v>2</v>
      </c>
      <c r="G669" s="72">
        <f t="array" ref="G669">SUM(IF(ISERROR(FIND(sources[data source],techniques[[#This Row],[data sources]])),0,1)*IF(sources[available]="yes",1,0))</f>
        <v/>
      </c>
      <c r="H669" s="73">
        <f t="array" ref="H669">IF(techniques[[#This Row],[technique]]=techniques[[#This Row],[id]],SUM(IF(techniques[[#This Row],[id]]=techniques[technique],1,0))-1,"")</f>
        <v/>
      </c>
      <c r="I669" s="74">
        <f t="array" ref="I669">IF(SUM(IF($C669=detections[],IF(detections[is active]="yes",1,0),0))&gt;0,SUM(IF($C669=detections[],IF(detections[is active]="yes",1,0),0)),"")</f>
        <v/>
      </c>
      <c r="J669" s="74">
        <f t="array" ref="J66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69" s="74">
        <f>IF(AND(ISNUMBER(techniques[[#This Row],[number of sub techniques]]),techniques[[#This Row],[number of sub techniques]]&gt;1),techniques[number of sub techniques],1)</f>
        <v/>
      </c>
      <c r="L669" s="72" t="n"/>
      <c r="M669" s="74">
        <f t="array" ref="M66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6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69" s="26">
        <f>IF(techniques[[#This Row],[detection rules]]&gt;=techniques[[#This Row],[expected detection rules]],1,techniques[[#This Row],[detection rules]]/techniques[[#This Row],[expected detection rules]])</f>
        <v/>
      </c>
      <c r="P66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69" s="29">
        <f>IF(ISERROR(SEARCH(techniques[[#This Row],[id]],techniques[[#This Row],[name]])),"ERROR","")</f>
        <v/>
      </c>
      <c r="S66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70">
      <c r="A670" s="74" t="inlineStr">
        <is>
          <t>T1674</t>
        </is>
      </c>
      <c r="B670" s="74" t="inlineStr">
        <is>
          <t>T1674</t>
        </is>
      </c>
      <c r="C670" s="13" t="inlineStr">
        <is>
          <t>Input Injection (T1674)</t>
        </is>
      </c>
      <c r="D670" s="13" t="inlineStr">
        <is>
          <t>execution</t>
        </is>
      </c>
      <c r="E670" s="13" t="inlineStr">
        <is>
          <t>Command: Command Execution|Drive: Drive Creation|Process: Process Creation|Script: Script Execution</t>
        </is>
      </c>
      <c r="F670" s="74" t="n">
        <v>4</v>
      </c>
      <c r="G670" s="72">
        <f t="array" ref="G670">SUM(IF(ISERROR(FIND(sources[data source],techniques[[#This Row],[data sources]])),0,1)*IF(sources[available]="yes",1,0))</f>
        <v/>
      </c>
      <c r="H670" s="73">
        <f t="array" ref="H670">IF(techniques[[#This Row],[technique]]=techniques[[#This Row],[id]],SUM(IF(techniques[[#This Row],[id]]=techniques[technique],1,0))-1,"")</f>
        <v/>
      </c>
      <c r="I670" s="74">
        <f t="array" ref="I670">IF(SUM(IF($C670=detections[],IF(detections[is active]="yes",1,0),0))&gt;0,SUM(IF($C670=detections[],IF(detections[is active]="yes",1,0),0)),"")</f>
        <v/>
      </c>
      <c r="J670" s="74">
        <f t="array" ref="J67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70" s="74">
        <f>IF(AND(ISNUMBER(techniques[[#This Row],[number of sub techniques]]),techniques[[#This Row],[number of sub techniques]]&gt;1),techniques[number of sub techniques],1)</f>
        <v/>
      </c>
      <c r="L670" s="72" t="n"/>
      <c r="M670" s="74">
        <f t="array" ref="M67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7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70" s="26">
        <f>IF(techniques[[#This Row],[detection rules]]&gt;=techniques[[#This Row],[expected detection rules]],1,techniques[[#This Row],[detection rules]]/techniques[[#This Row],[expected detection rules]])</f>
        <v/>
      </c>
      <c r="P67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70" s="29">
        <f>IF(ISERROR(SEARCH(techniques[[#This Row],[id]],techniques[[#This Row],[name]])),"ERROR","")</f>
        <v/>
      </c>
      <c r="S67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71">
      <c r="A671" s="74" t="inlineStr">
        <is>
          <t>T1675</t>
        </is>
      </c>
      <c r="B671" s="74" t="inlineStr">
        <is>
          <t>T1675</t>
        </is>
      </c>
      <c r="C671" s="13" t="inlineStr">
        <is>
          <t>ESXi Administration Command (T1675)</t>
        </is>
      </c>
      <c r="D671" s="13" t="inlineStr">
        <is>
          <t>execution</t>
        </is>
      </c>
      <c r="E671" s="13" t="inlineStr">
        <is>
          <t>Application Log: Application Log Content</t>
        </is>
      </c>
      <c r="F671" s="74" t="n">
        <v>1</v>
      </c>
      <c r="G671" s="72">
        <f t="array" ref="G671">SUM(IF(ISERROR(FIND(sources[data source],techniques[[#This Row],[data sources]])),0,1)*IF(sources[available]="yes",1,0))</f>
        <v/>
      </c>
      <c r="H671" s="73">
        <f t="array" ref="H671">IF(techniques[[#This Row],[technique]]=techniques[[#This Row],[id]],SUM(IF(techniques[[#This Row],[id]]=techniques[technique],1,0))-1,"")</f>
        <v/>
      </c>
      <c r="I671" s="74">
        <f t="array" ref="I671">IF(SUM(IF($C671=detections[],IF(detections[is active]="yes",1,0),0))&gt;0,SUM(IF($C671=detections[],IF(detections[is active]="yes",1,0),0)),"")</f>
        <v/>
      </c>
      <c r="J671" s="74">
        <f t="array" ref="J67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71" s="74">
        <f>IF(AND(ISNUMBER(techniques[[#This Row],[number of sub techniques]]),techniques[[#This Row],[number of sub techniques]]&gt;1),techniques[number of sub techniques],1)</f>
        <v/>
      </c>
      <c r="L671" s="72" t="n"/>
      <c r="M671" s="74">
        <f t="array" ref="M67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7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71" s="26">
        <f>IF(techniques[[#This Row],[detection rules]]&gt;=techniques[[#This Row],[expected detection rules]],1,techniques[[#This Row],[detection rules]]/techniques[[#This Row],[expected detection rules]])</f>
        <v/>
      </c>
      <c r="P67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71" s="29">
        <f>IF(ISERROR(SEARCH(techniques[[#This Row],[id]],techniques[[#This Row],[name]])),"ERROR","")</f>
        <v/>
      </c>
      <c r="S67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72">
      <c r="A672" s="74" t="inlineStr">
        <is>
          <t>T1677</t>
        </is>
      </c>
      <c r="B672" s="74" t="inlineStr">
        <is>
          <t>T1677</t>
        </is>
      </c>
      <c r="C672" s="13" t="inlineStr">
        <is>
          <t>Poisoned Pipeline Execution (T1677)</t>
        </is>
      </c>
      <c r="D672" s="13" t="inlineStr">
        <is>
          <t>execution</t>
        </is>
      </c>
      <c r="E672" s="13" t="inlineStr">
        <is>
          <t>Cloud Service: Cloud Service Metadata|Cloud Service: Cloud Service Modification|Cloud Storage: Cloud Storage Access|Command: Command Execution|File: File Metadata</t>
        </is>
      </c>
      <c r="F672" s="74" t="n">
        <v>5</v>
      </c>
      <c r="G672" s="72">
        <f t="array" ref="G672">SUM(IF(ISERROR(FIND(sources[data source],techniques[[#This Row],[data sources]])),0,1)*IF(sources[available]="yes",1,0))</f>
        <v/>
      </c>
      <c r="H672" s="73">
        <f t="array" ref="H672">IF(techniques[[#This Row],[technique]]=techniques[[#This Row],[id]],SUM(IF(techniques[[#This Row],[id]]=techniques[technique],1,0))-1,"")</f>
        <v/>
      </c>
      <c r="I672" s="74">
        <f t="array" ref="I672">IF(SUM(IF($C672=detections[],IF(detections[is active]="yes",1,0),0))&gt;0,SUM(IF($C672=detections[],IF(detections[is active]="yes",1,0),0)),"")</f>
        <v/>
      </c>
      <c r="J672" s="74">
        <f t="array" ref="J67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72" s="74">
        <f>IF(AND(ISNUMBER(techniques[[#This Row],[number of sub techniques]]),techniques[[#This Row],[number of sub techniques]]&gt;1),techniques[number of sub techniques],1)</f>
        <v/>
      </c>
      <c r="L672" s="72" t="n"/>
      <c r="M672" s="74">
        <f t="array" ref="M67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7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72" s="26">
        <f>IF(techniques[[#This Row],[detection rules]]&gt;=techniques[[#This Row],[expected detection rules]],1,techniques[[#This Row],[detection rules]]/techniques[[#This Row],[expected detection rules]])</f>
        <v/>
      </c>
      <c r="P67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72" s="29">
        <f>IF(ISERROR(SEARCH(techniques[[#This Row],[id]],techniques[[#This Row],[name]])),"ERROR","")</f>
        <v/>
      </c>
      <c r="S67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73">
      <c r="A673" s="74" t="inlineStr">
        <is>
          <t>T1678</t>
        </is>
      </c>
      <c r="B673" s="74" t="inlineStr">
        <is>
          <t>T1678</t>
        </is>
      </c>
      <c r="C673" s="13" t="inlineStr">
        <is>
          <t>Delay Execution (T1678)</t>
        </is>
      </c>
      <c r="D673" s="13" t="inlineStr">
        <is>
          <t>stealth</t>
        </is>
      </c>
      <c r="E673" s="13" t="inlineStr">
        <is>
          <t>Module: Module Load|Process: Process Creation|Script: Script Execution</t>
        </is>
      </c>
      <c r="F673" s="74" t="n">
        <v>3</v>
      </c>
      <c r="G673" s="72">
        <f t="array" ref="G673">SUM(IF(ISERROR(FIND(sources[data source],techniques[[#This Row],[data sources]])),0,1)*IF(sources[available]="yes",1,0))</f>
        <v/>
      </c>
      <c r="H673" s="73">
        <f t="array" ref="H673">IF(techniques[[#This Row],[technique]]=techniques[[#This Row],[id]],SUM(IF(techniques[[#This Row],[id]]=techniques[technique],1,0))-1,"")</f>
        <v/>
      </c>
      <c r="I673" s="74">
        <f t="array" ref="I673">IF(SUM(IF($C673=detections[],IF(detections[is active]="yes",1,0),0))&gt;0,SUM(IF($C673=detections[],IF(detections[is active]="yes",1,0),0)),"")</f>
        <v/>
      </c>
      <c r="J673" s="74">
        <f t="array" ref="J67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73" s="74">
        <f>IF(AND(ISNUMBER(techniques[[#This Row],[number of sub techniques]]),techniques[[#This Row],[number of sub techniques]]&gt;1),techniques[number of sub techniques],1)</f>
        <v/>
      </c>
      <c r="L673" s="72" t="n"/>
      <c r="M673" s="74">
        <f t="array" ref="M67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7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73" s="26">
        <f>IF(techniques[[#This Row],[detection rules]]&gt;=techniques[[#This Row],[expected detection rules]],1,techniques[[#This Row],[detection rules]]/techniques[[#This Row],[expected detection rules]])</f>
        <v/>
      </c>
      <c r="P67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73" s="29">
        <f>IF(ISERROR(SEARCH(techniques[[#This Row],[id]],techniques[[#This Row],[name]])),"ERROR","")</f>
        <v/>
      </c>
      <c r="S67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74">
      <c r="A674" s="74" t="inlineStr">
        <is>
          <t>T1679</t>
        </is>
      </c>
      <c r="B674" s="74" t="inlineStr">
        <is>
          <t>T1679</t>
        </is>
      </c>
      <c r="C674" s="13" t="inlineStr">
        <is>
          <t>Selective Exclusion (T1679)</t>
        </is>
      </c>
      <c r="D674" s="13" t="inlineStr">
        <is>
          <t>stealth</t>
        </is>
      </c>
      <c r="E674" s="13" t="inlineStr">
        <is>
          <t>Command: Command Execution|File: File Modification|Process: Process Creation</t>
        </is>
      </c>
      <c r="F674" s="74" t="n">
        <v>3</v>
      </c>
      <c r="G674" s="72">
        <f t="array" ref="G674">SUM(IF(ISERROR(FIND(sources[data source],techniques[[#This Row],[data sources]])),0,1)*IF(sources[available]="yes",1,0))</f>
        <v/>
      </c>
      <c r="H674" s="73">
        <f t="array" ref="H674">IF(techniques[[#This Row],[technique]]=techniques[[#This Row],[id]],SUM(IF(techniques[[#This Row],[id]]=techniques[technique],1,0))-1,"")</f>
        <v/>
      </c>
      <c r="I674" s="74">
        <f t="array" ref="I674">IF(SUM(IF($C674=detections[],IF(detections[is active]="yes",1,0),0))&gt;0,SUM(IF($C674=detections[],IF(detections[is active]="yes",1,0),0)),"")</f>
        <v/>
      </c>
      <c r="J674" s="74">
        <f t="array" ref="J67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74" s="74">
        <f>IF(AND(ISNUMBER(techniques[[#This Row],[number of sub techniques]]),techniques[[#This Row],[number of sub techniques]]&gt;1),techniques[number of sub techniques],1)</f>
        <v/>
      </c>
      <c r="L674" s="72" t="n"/>
      <c r="M674" s="74">
        <f t="array" ref="M67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7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74" s="26">
        <f>IF(techniques[[#This Row],[detection rules]]&gt;=techniques[[#This Row],[expected detection rules]],1,techniques[[#This Row],[detection rules]]/techniques[[#This Row],[expected detection rules]])</f>
        <v/>
      </c>
      <c r="P67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74" s="29">
        <f>IF(ISERROR(SEARCH(techniques[[#This Row],[id]],techniques[[#This Row],[name]])),"ERROR","")</f>
        <v/>
      </c>
      <c r="S67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75">
      <c r="A675" s="74" t="inlineStr">
        <is>
          <t>T1680</t>
        </is>
      </c>
      <c r="B675" s="74" t="inlineStr">
        <is>
          <t>T1680</t>
        </is>
      </c>
      <c r="C675" s="13" t="inlineStr">
        <is>
          <t>Local Storage Discovery (T1680)</t>
        </is>
      </c>
      <c r="D675" s="13" t="inlineStr">
        <is>
          <t>discovery</t>
        </is>
      </c>
      <c r="E675" s="13" t="inlineStr">
        <is>
          <t>Command: Command Execution|Process: Process Creation|User Account: User Account Authentication</t>
        </is>
      </c>
      <c r="F675" s="74" t="n">
        <v>3</v>
      </c>
      <c r="G675" s="72">
        <f t="array" ref="G675">SUM(IF(ISERROR(FIND(sources[data source],techniques[[#This Row],[data sources]])),0,1)*IF(sources[available]="yes",1,0))</f>
        <v/>
      </c>
      <c r="H675" s="73">
        <f t="array" ref="H675">IF(techniques[[#This Row],[technique]]=techniques[[#This Row],[id]],SUM(IF(techniques[[#This Row],[id]]=techniques[technique],1,0))-1,"")</f>
        <v/>
      </c>
      <c r="I675" s="74">
        <f t="array" ref="I675">IF(SUM(IF($C675=detections[],IF(detections[is active]="yes",1,0),0))&gt;0,SUM(IF($C675=detections[],IF(detections[is active]="yes",1,0),0)),"")</f>
        <v/>
      </c>
      <c r="J675" s="74">
        <f t="array" ref="J67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75" s="74">
        <f>IF(AND(ISNUMBER(techniques[[#This Row],[number of sub techniques]]),techniques[[#This Row],[number of sub techniques]]&gt;1),techniques[number of sub techniques],1)</f>
        <v/>
      </c>
      <c r="L675" s="72" t="n"/>
      <c r="M675" s="74">
        <f t="array" ref="M67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7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75" s="26">
        <f>IF(techniques[[#This Row],[detection rules]]&gt;=techniques[[#This Row],[expected detection rules]],1,techniques[[#This Row],[detection rules]]/techniques[[#This Row],[expected detection rules]])</f>
        <v/>
      </c>
      <c r="P67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75" s="29">
        <f>IF(ISERROR(SEARCH(techniques[[#This Row],[id]],techniques[[#This Row],[name]])),"ERROR","")</f>
        <v/>
      </c>
      <c r="S67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76">
      <c r="A676" s="74" t="inlineStr">
        <is>
          <t>T1681</t>
        </is>
      </c>
      <c r="B676" s="74" t="inlineStr">
        <is>
          <t>T1681</t>
        </is>
      </c>
      <c r="C676" s="13" t="inlineStr">
        <is>
          <t>Search Threat Vendor Data (T1681)</t>
        </is>
      </c>
      <c r="D676" s="13" t="inlineStr">
        <is>
          <t>reconnaissance</t>
        </is>
      </c>
      <c r="E676" s="13" t="inlineStr"/>
      <c r="F676" s="74" t="n">
        <v>0</v>
      </c>
      <c r="G676" s="72">
        <f t="array" ref="G676">SUM(IF(ISERROR(FIND(sources[data source],techniques[[#This Row],[data sources]])),0,1)*IF(sources[available]="yes",1,0))</f>
        <v/>
      </c>
      <c r="H676" s="73">
        <f t="array" ref="H676">IF(techniques[[#This Row],[technique]]=techniques[[#This Row],[id]],SUM(IF(techniques[[#This Row],[id]]=techniques[technique],1,0))-1,"")</f>
        <v/>
      </c>
      <c r="I676" s="74">
        <f t="array" ref="I676">IF(SUM(IF($C676=detections[],IF(detections[is active]="yes",1,0),0))&gt;0,SUM(IF($C676=detections[],IF(detections[is active]="yes",1,0),0)),"")</f>
        <v/>
      </c>
      <c r="J676" s="74">
        <f t="array" ref="J67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76" s="74">
        <f>IF(AND(ISNUMBER(techniques[[#This Row],[number of sub techniques]]),techniques[[#This Row],[number of sub techniques]]&gt;1),techniques[number of sub techniques],1)</f>
        <v/>
      </c>
      <c r="L676" s="72" t="n"/>
      <c r="M676" s="74">
        <f t="array" ref="M67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7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76" s="26">
        <f>IF(techniques[[#This Row],[detection rules]]&gt;=techniques[[#This Row],[expected detection rules]],1,techniques[[#This Row],[detection rules]]/techniques[[#This Row],[expected detection rules]])</f>
        <v/>
      </c>
      <c r="P67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76" s="29">
        <f>IF(ISERROR(SEARCH(techniques[[#This Row],[id]],techniques[[#This Row],[name]])),"ERROR","")</f>
        <v/>
      </c>
      <c r="S67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77">
      <c r="A677" s="74" t="inlineStr">
        <is>
          <t>T1682</t>
        </is>
      </c>
      <c r="B677" s="74" t="inlineStr">
        <is>
          <t>T1682</t>
        </is>
      </c>
      <c r="C677" s="13" t="inlineStr">
        <is>
          <t>Query Public AI Services (T1682)</t>
        </is>
      </c>
      <c r="D677" s="13" t="inlineStr">
        <is>
          <t>reconnaissance</t>
        </is>
      </c>
      <c r="E677" s="13" t="inlineStr"/>
      <c r="F677" s="74" t="n">
        <v>0</v>
      </c>
      <c r="G677" s="72">
        <f t="array" ref="G677">SUM(IF(ISERROR(FIND(sources[data source],techniques[[#This Row],[data sources]])),0,1)*IF(sources[available]="yes",1,0))</f>
        <v/>
      </c>
      <c r="H677" s="73">
        <f t="array" ref="H677">IF(techniques[[#This Row],[technique]]=techniques[[#This Row],[id]],SUM(IF(techniques[[#This Row],[id]]=techniques[technique],1,0))-1,"")</f>
        <v/>
      </c>
      <c r="I677" s="74">
        <f t="array" ref="I677">IF(SUM(IF($C677=detections[],IF(detections[is active]="yes",1,0),0))&gt;0,SUM(IF($C677=detections[],IF(detections[is active]="yes",1,0),0)),"")</f>
        <v/>
      </c>
      <c r="J677" s="74">
        <f t="array" ref="J67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77" s="74">
        <f>IF(AND(ISNUMBER(techniques[[#This Row],[number of sub techniques]]),techniques[[#This Row],[number of sub techniques]]&gt;1),techniques[number of sub techniques],1)</f>
        <v/>
      </c>
      <c r="L677" s="72" t="n"/>
      <c r="M677" s="74">
        <f t="array" ref="M67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7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77" s="26">
        <f>IF(techniques[[#This Row],[detection rules]]&gt;=techniques[[#This Row],[expected detection rules]],1,techniques[[#This Row],[detection rules]]/techniques[[#This Row],[expected detection rules]])</f>
        <v/>
      </c>
      <c r="P67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77" s="29">
        <f>IF(ISERROR(SEARCH(techniques[[#This Row],[id]],techniques[[#This Row],[name]])),"ERROR","")</f>
        <v/>
      </c>
      <c r="S67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78">
      <c r="A678" s="74" t="inlineStr">
        <is>
          <t>T1683</t>
        </is>
      </c>
      <c r="B678" s="74" t="inlineStr">
        <is>
          <t>T1683</t>
        </is>
      </c>
      <c r="C678" s="13" t="inlineStr">
        <is>
          <t>Generate Content (T1683)</t>
        </is>
      </c>
      <c r="D678" s="13" t="inlineStr">
        <is>
          <t>resource-development</t>
        </is>
      </c>
      <c r="E678" s="13" t="inlineStr"/>
      <c r="F678" s="74" t="n">
        <v>0</v>
      </c>
      <c r="G678" s="72">
        <f t="array" ref="G678">SUM(IF(ISERROR(FIND(sources[data source],techniques[[#This Row],[data sources]])),0,1)*IF(sources[available]="yes",1,0))</f>
        <v/>
      </c>
      <c r="H678" s="73">
        <f t="array" ref="H678">IF(techniques[[#This Row],[technique]]=techniques[[#This Row],[id]],SUM(IF(techniques[[#This Row],[id]]=techniques[technique],1,0))-1,"")</f>
        <v/>
      </c>
      <c r="I678" s="74">
        <f t="array" ref="I678">IF(SUM(IF($C678=detections[],IF(detections[is active]="yes",1,0),0))&gt;0,SUM(IF($C678=detections[],IF(detections[is active]="yes",1,0),0)),"")</f>
        <v/>
      </c>
      <c r="J678" s="74">
        <f t="array" ref="J67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78" s="74">
        <f>IF(AND(ISNUMBER(techniques[[#This Row],[number of sub techniques]]),techniques[[#This Row],[number of sub techniques]]&gt;1),techniques[number of sub techniques],1)</f>
        <v/>
      </c>
      <c r="L678" s="72" t="n"/>
      <c r="M678" s="74">
        <f t="array" ref="M67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7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78" s="26">
        <f>IF(techniques[[#This Row],[detection rules]]&gt;=techniques[[#This Row],[expected detection rules]],1,techniques[[#This Row],[detection rules]]/techniques[[#This Row],[expected detection rules]])</f>
        <v/>
      </c>
      <c r="P67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78" s="29">
        <f>IF(ISERROR(SEARCH(techniques[[#This Row],[id]],techniques[[#This Row],[name]])),"ERROR","")</f>
        <v/>
      </c>
      <c r="S67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79">
      <c r="A679" s="74" t="inlineStr">
        <is>
          <t>T1683</t>
        </is>
      </c>
      <c r="B679" s="74" t="inlineStr">
        <is>
          <t>T1683.001</t>
        </is>
      </c>
      <c r="C679" s="13" t="inlineStr">
        <is>
          <t>Written Content (T1683.001)</t>
        </is>
      </c>
      <c r="D679" s="13" t="inlineStr">
        <is>
          <t>resource-development</t>
        </is>
      </c>
      <c r="E679" s="13" t="inlineStr"/>
      <c r="F679" s="74" t="n">
        <v>0</v>
      </c>
      <c r="G679" s="72">
        <f t="array" ref="G679">SUM(IF(ISERROR(FIND(sources[data source],techniques[[#This Row],[data sources]])),0,1)*IF(sources[available]="yes",1,0))</f>
        <v/>
      </c>
      <c r="H679" s="73">
        <f t="array" ref="H679">IF(techniques[[#This Row],[technique]]=techniques[[#This Row],[id]],SUM(IF(techniques[[#This Row],[id]]=techniques[technique],1,0))-1,"")</f>
        <v/>
      </c>
      <c r="I679" s="74">
        <f t="array" ref="I679">IF(SUM(IF($C679=detections[],IF(detections[is active]="yes",1,0),0))&gt;0,SUM(IF($C679=detections[],IF(detections[is active]="yes",1,0),0)),"")</f>
        <v/>
      </c>
      <c r="J679" s="74">
        <f t="array" ref="J67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79" s="74">
        <f>IF(AND(ISNUMBER(techniques[[#This Row],[number of sub techniques]]),techniques[[#This Row],[number of sub techniques]]&gt;1),techniques[number of sub techniques],1)</f>
        <v/>
      </c>
      <c r="L679" s="72" t="n"/>
      <c r="M679" s="74">
        <f t="array" ref="M67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7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79" s="26">
        <f>IF(techniques[[#This Row],[detection rules]]&gt;=techniques[[#This Row],[expected detection rules]],1,techniques[[#This Row],[detection rules]]/techniques[[#This Row],[expected detection rules]])</f>
        <v/>
      </c>
      <c r="P67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79" s="29">
        <f>IF(ISERROR(SEARCH(techniques[[#This Row],[id]],techniques[[#This Row],[name]])),"ERROR","")</f>
        <v/>
      </c>
      <c r="S67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80">
      <c r="A680" s="74" t="inlineStr">
        <is>
          <t>T1683</t>
        </is>
      </c>
      <c r="B680" s="74" t="inlineStr">
        <is>
          <t>T1683.002</t>
        </is>
      </c>
      <c r="C680" s="13" t="inlineStr">
        <is>
          <t>Audio-Visual Content (T1683.002)</t>
        </is>
      </c>
      <c r="D680" s="13" t="inlineStr">
        <is>
          <t>resource-development</t>
        </is>
      </c>
      <c r="E680" s="13" t="inlineStr"/>
      <c r="F680" s="74" t="n">
        <v>0</v>
      </c>
      <c r="G680" s="72">
        <f t="array" ref="G680">SUM(IF(ISERROR(FIND(sources[data source],techniques[[#This Row],[data sources]])),0,1)*IF(sources[available]="yes",1,0))</f>
        <v/>
      </c>
      <c r="H680" s="73">
        <f t="array" ref="H680">IF(techniques[[#This Row],[technique]]=techniques[[#This Row],[id]],SUM(IF(techniques[[#This Row],[id]]=techniques[technique],1,0))-1,"")</f>
        <v/>
      </c>
      <c r="I680" s="74">
        <f t="array" ref="I680">IF(SUM(IF($C680=detections[],IF(detections[is active]="yes",1,0),0))&gt;0,SUM(IF($C680=detections[],IF(detections[is active]="yes",1,0),0)),"")</f>
        <v/>
      </c>
      <c r="J680" s="74">
        <f t="array" ref="J68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80" s="74">
        <f>IF(AND(ISNUMBER(techniques[[#This Row],[number of sub techniques]]),techniques[[#This Row],[number of sub techniques]]&gt;1),techniques[number of sub techniques],1)</f>
        <v/>
      </c>
      <c r="L680" s="72" t="n"/>
      <c r="M680" s="74">
        <f t="array" ref="M68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8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80" s="26">
        <f>IF(techniques[[#This Row],[detection rules]]&gt;=techniques[[#This Row],[expected detection rules]],1,techniques[[#This Row],[detection rules]]/techniques[[#This Row],[expected detection rules]])</f>
        <v/>
      </c>
      <c r="P68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80" s="29">
        <f>IF(ISERROR(SEARCH(techniques[[#This Row],[id]],techniques[[#This Row],[name]])),"ERROR","")</f>
        <v/>
      </c>
      <c r="S68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81">
      <c r="A681" s="74" t="inlineStr">
        <is>
          <t>T1684</t>
        </is>
      </c>
      <c r="B681" s="74" t="inlineStr">
        <is>
          <t>T1684</t>
        </is>
      </c>
      <c r="C681" s="13" t="inlineStr">
        <is>
          <t>Social Engineering (T1684)</t>
        </is>
      </c>
      <c r="D681" s="13" t="inlineStr">
        <is>
          <t>stealth</t>
        </is>
      </c>
      <c r="E681" s="13" t="inlineStr">
        <is>
          <t>Application Log: Application Log Content|Command: Command Execution|File: File Access|File: File Creation|File: File Modification|Logon Session: Logon Session Creation|Network Traffic: Network Connection Creation|Process: Process Creation|User Account: User Account Authentication</t>
        </is>
      </c>
      <c r="F681" s="74" t="n">
        <v>9</v>
      </c>
      <c r="G681" s="72">
        <f t="array" ref="G681">SUM(IF(ISERROR(FIND(sources[data source],techniques[[#This Row],[data sources]])),0,1)*IF(sources[available]="yes",1,0))</f>
        <v/>
      </c>
      <c r="H681" s="73">
        <f t="array" ref="H681">IF(techniques[[#This Row],[technique]]=techniques[[#This Row],[id]],SUM(IF(techniques[[#This Row],[id]]=techniques[technique],1,0))-1,"")</f>
        <v/>
      </c>
      <c r="I681" s="74">
        <f t="array" ref="I681">IF(SUM(IF($C681=detections[],IF(detections[is active]="yes",1,0),0))&gt;0,SUM(IF($C681=detections[],IF(detections[is active]="yes",1,0),0)),"")</f>
        <v/>
      </c>
      <c r="J681" s="74">
        <f t="array" ref="J68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81" s="74">
        <f>IF(AND(ISNUMBER(techniques[[#This Row],[number of sub techniques]]),techniques[[#This Row],[number of sub techniques]]&gt;1),techniques[number of sub techniques],1)</f>
        <v/>
      </c>
      <c r="L681" s="72" t="n"/>
      <c r="M681" s="74">
        <f t="array" ref="M68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8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81" s="26">
        <f>IF(techniques[[#This Row],[detection rules]]&gt;=techniques[[#This Row],[expected detection rules]],1,techniques[[#This Row],[detection rules]]/techniques[[#This Row],[expected detection rules]])</f>
        <v/>
      </c>
      <c r="P68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81" s="29">
        <f>IF(ISERROR(SEARCH(techniques[[#This Row],[id]],techniques[[#This Row],[name]])),"ERROR","")</f>
        <v/>
      </c>
      <c r="S68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82">
      <c r="A682" s="74" t="inlineStr">
        <is>
          <t>T1684</t>
        </is>
      </c>
      <c r="B682" s="74" t="inlineStr">
        <is>
          <t>T1684.001</t>
        </is>
      </c>
      <c r="C682" s="13" t="inlineStr">
        <is>
          <t>Impersonation (T1684.001)</t>
        </is>
      </c>
      <c r="D682" s="13" t="inlineStr">
        <is>
          <t>stealth</t>
        </is>
      </c>
      <c r="E682" s="13" t="inlineStr">
        <is>
          <t>Application Log: Application Log Content|Command: Command Execution|Logon Session: Logon Session Creation</t>
        </is>
      </c>
      <c r="F682" s="74" t="n">
        <v>3</v>
      </c>
      <c r="G682" s="72">
        <f t="array" ref="G682">SUM(IF(ISERROR(FIND(sources[data source],techniques[[#This Row],[data sources]])),0,1)*IF(sources[available]="yes",1,0))</f>
        <v/>
      </c>
      <c r="H682" s="73">
        <f t="array" ref="H682">IF(techniques[[#This Row],[technique]]=techniques[[#This Row],[id]],SUM(IF(techniques[[#This Row],[id]]=techniques[technique],1,0))-1,"")</f>
        <v/>
      </c>
      <c r="I682" s="74">
        <f t="array" ref="I682">IF(SUM(IF($C682=detections[],IF(detections[is active]="yes",1,0),0))&gt;0,SUM(IF($C682=detections[],IF(detections[is active]="yes",1,0),0)),"")</f>
        <v/>
      </c>
      <c r="J682" s="74">
        <f t="array" ref="J68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82" s="74">
        <f>IF(AND(ISNUMBER(techniques[[#This Row],[number of sub techniques]]),techniques[[#This Row],[number of sub techniques]]&gt;1),techniques[number of sub techniques],1)</f>
        <v/>
      </c>
      <c r="L682" s="72" t="n"/>
      <c r="M682" s="74">
        <f t="array" ref="M68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8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82" s="26">
        <f>IF(techniques[[#This Row],[detection rules]]&gt;=techniques[[#This Row],[expected detection rules]],1,techniques[[#This Row],[detection rules]]/techniques[[#This Row],[expected detection rules]])</f>
        <v/>
      </c>
      <c r="P68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82" s="29">
        <f>IF(ISERROR(SEARCH(techniques[[#This Row],[id]],techniques[[#This Row],[name]])),"ERROR","")</f>
        <v/>
      </c>
      <c r="S68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83">
      <c r="A683" s="74" t="inlineStr">
        <is>
          <t>T1684</t>
        </is>
      </c>
      <c r="B683" s="74" t="inlineStr">
        <is>
          <t>T1684.002</t>
        </is>
      </c>
      <c r="C683" s="13" t="inlineStr">
        <is>
          <t>Email Spoofing (T1684.002)</t>
        </is>
      </c>
      <c r="D683" s="13" t="inlineStr">
        <is>
          <t>stealth</t>
        </is>
      </c>
      <c r="E683" s="13" t="inlineStr">
        <is>
          <t>Application Log: Application Log Content</t>
        </is>
      </c>
      <c r="F683" s="74" t="n">
        <v>1</v>
      </c>
      <c r="G683" s="72">
        <f t="array" ref="G683">SUM(IF(ISERROR(FIND(sources[data source],techniques[[#This Row],[data sources]])),0,1)*IF(sources[available]="yes",1,0))</f>
        <v/>
      </c>
      <c r="H683" s="73">
        <f t="array" ref="H683">IF(techniques[[#This Row],[technique]]=techniques[[#This Row],[id]],SUM(IF(techniques[[#This Row],[id]]=techniques[technique],1,0))-1,"")</f>
        <v/>
      </c>
      <c r="I683" s="74">
        <f t="array" ref="I683">IF(SUM(IF($C683=detections[],IF(detections[is active]="yes",1,0),0))&gt;0,SUM(IF($C683=detections[],IF(detections[is active]="yes",1,0),0)),"")</f>
        <v/>
      </c>
      <c r="J683" s="74">
        <f t="array" ref="J68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83" s="74">
        <f>IF(AND(ISNUMBER(techniques[[#This Row],[number of sub techniques]]),techniques[[#This Row],[number of sub techniques]]&gt;1),techniques[number of sub techniques],1)</f>
        <v/>
      </c>
      <c r="L683" s="72" t="n"/>
      <c r="M683" s="74">
        <f t="array" ref="M68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8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83" s="26">
        <f>IF(techniques[[#This Row],[detection rules]]&gt;=techniques[[#This Row],[expected detection rules]],1,techniques[[#This Row],[detection rules]]/techniques[[#This Row],[expected detection rules]])</f>
        <v/>
      </c>
      <c r="P68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83" s="29">
        <f>IF(ISERROR(SEARCH(techniques[[#This Row],[id]],techniques[[#This Row],[name]])),"ERROR","")</f>
        <v/>
      </c>
      <c r="S68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84">
      <c r="A684" s="74" t="inlineStr">
        <is>
          <t>T1685</t>
        </is>
      </c>
      <c r="B684" s="74" t="inlineStr">
        <is>
          <t>T1685</t>
        </is>
      </c>
      <c r="C684" s="13" t="inlineStr">
        <is>
          <t>Disable or Modify Tools (T1685)</t>
        </is>
      </c>
      <c r="D684" s="13" t="inlineStr">
        <is>
          <t>defense-impairment</t>
        </is>
      </c>
      <c r="E684" s="13" t="inlineStr">
        <is>
          <t>Cloud Service: Cloud Service Modification|Command: Command Execution|Process: Process Creation|Process: Process Termination|Sensor Health: Host Status|Service: Service Creation|Service: Service Metadata|Service: Service Modification|Windows Registry: Windows Registry Key Modification</t>
        </is>
      </c>
      <c r="F684" s="74" t="n">
        <v>9</v>
      </c>
      <c r="G684" s="72">
        <f t="array" ref="G684">SUM(IF(ISERROR(FIND(sources[data source],techniques[[#This Row],[data sources]])),0,1)*IF(sources[available]="yes",1,0))</f>
        <v/>
      </c>
      <c r="H684" s="73">
        <f t="array" ref="H684">IF(techniques[[#This Row],[technique]]=techniques[[#This Row],[id]],SUM(IF(techniques[[#This Row],[id]]=techniques[technique],1,0))-1,"")</f>
        <v/>
      </c>
      <c r="I684" s="74">
        <f t="array" ref="I684">IF(SUM(IF($C684=detections[],IF(detections[is active]="yes",1,0),0))&gt;0,SUM(IF($C684=detections[],IF(detections[is active]="yes",1,0),0)),"")</f>
        <v/>
      </c>
      <c r="J684" s="74">
        <f t="array" ref="J68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84" s="74">
        <f>IF(AND(ISNUMBER(techniques[[#This Row],[number of sub techniques]]),techniques[[#This Row],[number of sub techniques]]&gt;1),techniques[number of sub techniques],1)</f>
        <v/>
      </c>
      <c r="L684" s="72" t="n"/>
      <c r="M684" s="74">
        <f t="array" ref="M68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8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84" s="26">
        <f>IF(techniques[[#This Row],[detection rules]]&gt;=techniques[[#This Row],[expected detection rules]],1,techniques[[#This Row],[detection rules]]/techniques[[#This Row],[expected detection rules]])</f>
        <v/>
      </c>
      <c r="P68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84" s="29">
        <f>IF(ISERROR(SEARCH(techniques[[#This Row],[id]],techniques[[#This Row],[name]])),"ERROR","")</f>
        <v/>
      </c>
      <c r="S68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85">
      <c r="A685" s="74" t="inlineStr">
        <is>
          <t>T1685</t>
        </is>
      </c>
      <c r="B685" s="74" t="inlineStr">
        <is>
          <t>T1685.001</t>
        </is>
      </c>
      <c r="C685" s="13" t="inlineStr">
        <is>
          <t>Disable or Modify Windows Event Log (T1685.001)</t>
        </is>
      </c>
      <c r="D685" s="13" t="inlineStr">
        <is>
          <t>defense-impairment</t>
        </is>
      </c>
      <c r="E685" s="13" t="inlineStr">
        <is>
          <t>Application Log: Application Log Content|Process: Process Creation|Service: Service Metadata|Windows Registry: Windows Registry Key Modification</t>
        </is>
      </c>
      <c r="F685" s="74" t="n">
        <v>4</v>
      </c>
      <c r="G685" s="72">
        <f t="array" ref="G685">SUM(IF(ISERROR(FIND(sources[data source],techniques[[#This Row],[data sources]])),0,1)*IF(sources[available]="yes",1,0))</f>
        <v/>
      </c>
      <c r="H685" s="73">
        <f t="array" ref="H685">IF(techniques[[#This Row],[technique]]=techniques[[#This Row],[id]],SUM(IF(techniques[[#This Row],[id]]=techniques[technique],1,0))-1,"")</f>
        <v/>
      </c>
      <c r="I685" s="74">
        <f t="array" ref="I685">IF(SUM(IF($C685=detections[],IF(detections[is active]="yes",1,0),0))&gt;0,SUM(IF($C685=detections[],IF(detections[is active]="yes",1,0),0)),"")</f>
        <v/>
      </c>
      <c r="J685" s="74">
        <f t="array" ref="J68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85" s="74">
        <f>IF(AND(ISNUMBER(techniques[[#This Row],[number of sub techniques]]),techniques[[#This Row],[number of sub techniques]]&gt;1),techniques[number of sub techniques],1)</f>
        <v/>
      </c>
      <c r="L685" s="72" t="n"/>
      <c r="M685" s="74">
        <f t="array" ref="M68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8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85" s="26">
        <f>IF(techniques[[#This Row],[detection rules]]&gt;=techniques[[#This Row],[expected detection rules]],1,techniques[[#This Row],[detection rules]]/techniques[[#This Row],[expected detection rules]])</f>
        <v/>
      </c>
      <c r="P68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85" s="29">
        <f>IF(ISERROR(SEARCH(techniques[[#This Row],[id]],techniques[[#This Row],[name]])),"ERROR","")</f>
        <v/>
      </c>
      <c r="S68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86">
      <c r="A686" s="74" t="inlineStr">
        <is>
          <t>T1685</t>
        </is>
      </c>
      <c r="B686" s="74" t="inlineStr">
        <is>
          <t>T1685.002</t>
        </is>
      </c>
      <c r="C686" s="13" t="inlineStr">
        <is>
          <t>Disable or Modify Cloud Log (T1685.002)</t>
        </is>
      </c>
      <c r="D686" s="13" t="inlineStr">
        <is>
          <t>defense-impairment</t>
        </is>
      </c>
      <c r="E686" s="13" t="inlineStr">
        <is>
          <t>Cloud Service: Cloud Service Disable|Cloud Service: Cloud Service Modification|User Account: User Account Modification</t>
        </is>
      </c>
      <c r="F686" s="74" t="n">
        <v>3</v>
      </c>
      <c r="G686" s="72">
        <f t="array" ref="G686">SUM(IF(ISERROR(FIND(sources[data source],techniques[[#This Row],[data sources]])),0,1)*IF(sources[available]="yes",1,0))</f>
        <v/>
      </c>
      <c r="H686" s="73">
        <f t="array" ref="H686">IF(techniques[[#This Row],[technique]]=techniques[[#This Row],[id]],SUM(IF(techniques[[#This Row],[id]]=techniques[technique],1,0))-1,"")</f>
        <v/>
      </c>
      <c r="I686" s="74">
        <f t="array" ref="I686">IF(SUM(IF($C686=detections[],IF(detections[is active]="yes",1,0),0))&gt;0,SUM(IF($C686=detections[],IF(detections[is active]="yes",1,0),0)),"")</f>
        <v/>
      </c>
      <c r="J686" s="74">
        <f t="array" ref="J68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86" s="74">
        <f>IF(AND(ISNUMBER(techniques[[#This Row],[number of sub techniques]]),techniques[[#This Row],[number of sub techniques]]&gt;1),techniques[number of sub techniques],1)</f>
        <v/>
      </c>
      <c r="L686" s="72" t="n"/>
      <c r="M686" s="74">
        <f t="array" ref="M68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8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86" s="26">
        <f>IF(techniques[[#This Row],[detection rules]]&gt;=techniques[[#This Row],[expected detection rules]],1,techniques[[#This Row],[detection rules]]/techniques[[#This Row],[expected detection rules]])</f>
        <v/>
      </c>
      <c r="P68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86" s="29">
        <f>IF(ISERROR(SEARCH(techniques[[#This Row],[id]],techniques[[#This Row],[name]])),"ERROR","")</f>
        <v/>
      </c>
      <c r="S68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87">
      <c r="A687" s="74" t="inlineStr">
        <is>
          <t>T1685</t>
        </is>
      </c>
      <c r="B687" s="74" t="inlineStr">
        <is>
          <t>T1685.003</t>
        </is>
      </c>
      <c r="C687" s="13" t="inlineStr">
        <is>
          <t>Modify or Spoof Tool UI (T1685.003)</t>
        </is>
      </c>
      <c r="D687" s="13" t="inlineStr">
        <is>
          <t>defense-impairment</t>
        </is>
      </c>
      <c r="E687" s="13" t="inlineStr">
        <is>
          <t>Process: Process Creation|Sensor Health: Host Status|Service: Service Creation</t>
        </is>
      </c>
      <c r="F687" s="74" t="n">
        <v>3</v>
      </c>
      <c r="G687" s="72">
        <f t="array" ref="G687">SUM(IF(ISERROR(FIND(sources[data source],techniques[[#This Row],[data sources]])),0,1)*IF(sources[available]="yes",1,0))</f>
        <v/>
      </c>
      <c r="H687" s="73">
        <f t="array" ref="H687">IF(techniques[[#This Row],[technique]]=techniques[[#This Row],[id]],SUM(IF(techniques[[#This Row],[id]]=techniques[technique],1,0))-1,"")</f>
        <v/>
      </c>
      <c r="I687" s="74">
        <f t="array" ref="I687">IF(SUM(IF($C687=detections[],IF(detections[is active]="yes",1,0),0))&gt;0,SUM(IF($C687=detections[],IF(detections[is active]="yes",1,0),0)),"")</f>
        <v/>
      </c>
      <c r="J687" s="74">
        <f t="array" ref="J68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87" s="74">
        <f>IF(AND(ISNUMBER(techniques[[#This Row],[number of sub techniques]]),techniques[[#This Row],[number of sub techniques]]&gt;1),techniques[number of sub techniques],1)</f>
        <v/>
      </c>
      <c r="L687" s="72" t="n"/>
      <c r="M687" s="74">
        <f t="array" ref="M68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8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87" s="26">
        <f>IF(techniques[[#This Row],[detection rules]]&gt;=techniques[[#This Row],[expected detection rules]],1,techniques[[#This Row],[detection rules]]/techniques[[#This Row],[expected detection rules]])</f>
        <v/>
      </c>
      <c r="P68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87" s="29">
        <f>IF(ISERROR(SEARCH(techniques[[#This Row],[id]],techniques[[#This Row],[name]])),"ERROR","")</f>
        <v/>
      </c>
      <c r="S68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88">
      <c r="A688" s="74" t="inlineStr">
        <is>
          <t>T1685</t>
        </is>
      </c>
      <c r="B688" s="74" t="inlineStr">
        <is>
          <t>T1685.004</t>
        </is>
      </c>
      <c r="C688" s="13" t="inlineStr">
        <is>
          <t>Disable or Modify Linux Audit System Log (T1685.004)</t>
        </is>
      </c>
      <c r="D688" s="13" t="inlineStr">
        <is>
          <t>defense-impairment</t>
        </is>
      </c>
      <c r="E688" s="13" t="inlineStr">
        <is>
          <t>Command: Command Execution|File: File Modification|Process: Process Modification|Service: Service Metadata</t>
        </is>
      </c>
      <c r="F688" s="74" t="n">
        <v>4</v>
      </c>
      <c r="G688" s="72">
        <f t="array" ref="G688">SUM(IF(ISERROR(FIND(sources[data source],techniques[[#This Row],[data sources]])),0,1)*IF(sources[available]="yes",1,0))</f>
        <v/>
      </c>
      <c r="H688" s="73">
        <f t="array" ref="H688">IF(techniques[[#This Row],[technique]]=techniques[[#This Row],[id]],SUM(IF(techniques[[#This Row],[id]]=techniques[technique],1,0))-1,"")</f>
        <v/>
      </c>
      <c r="I688" s="74">
        <f t="array" ref="I688">IF(SUM(IF($C688=detections[],IF(detections[is active]="yes",1,0),0))&gt;0,SUM(IF($C688=detections[],IF(detections[is active]="yes",1,0),0)),"")</f>
        <v/>
      </c>
      <c r="J688" s="74">
        <f t="array" ref="J68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88" s="74">
        <f>IF(AND(ISNUMBER(techniques[[#This Row],[number of sub techniques]]),techniques[[#This Row],[number of sub techniques]]&gt;1),techniques[number of sub techniques],1)</f>
        <v/>
      </c>
      <c r="L688" s="72" t="n"/>
      <c r="M688" s="74">
        <f t="array" ref="M68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8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88" s="26">
        <f>IF(techniques[[#This Row],[detection rules]]&gt;=techniques[[#This Row],[expected detection rules]],1,techniques[[#This Row],[detection rules]]/techniques[[#This Row],[expected detection rules]])</f>
        <v/>
      </c>
      <c r="P68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88" s="29">
        <f>IF(ISERROR(SEARCH(techniques[[#This Row],[id]],techniques[[#This Row],[name]])),"ERROR","")</f>
        <v/>
      </c>
      <c r="S68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89">
      <c r="A689" s="74" t="inlineStr">
        <is>
          <t>T1685</t>
        </is>
      </c>
      <c r="B689" s="74" t="inlineStr">
        <is>
          <t>T1685.005</t>
        </is>
      </c>
      <c r="C689" s="13" t="inlineStr">
        <is>
          <t>Clear Windows Event Logs (T1685.005)</t>
        </is>
      </c>
      <c r="D689" s="13" t="inlineStr">
        <is>
          <t>defense-impairment</t>
        </is>
      </c>
      <c r="E689" s="13" t="inlineStr">
        <is>
          <t>Application Log: Application Log Content|File: File Deletion|Process: Process Creation</t>
        </is>
      </c>
      <c r="F689" s="74" t="n">
        <v>3</v>
      </c>
      <c r="G689" s="72">
        <f t="array" ref="G689">SUM(IF(ISERROR(FIND(sources[data source],techniques[[#This Row],[data sources]])),0,1)*IF(sources[available]="yes",1,0))</f>
        <v/>
      </c>
      <c r="H689" s="73">
        <f t="array" ref="H689">IF(techniques[[#This Row],[technique]]=techniques[[#This Row],[id]],SUM(IF(techniques[[#This Row],[id]]=techniques[technique],1,0))-1,"")</f>
        <v/>
      </c>
      <c r="I689" s="74">
        <f t="array" ref="I689">IF(SUM(IF($C689=detections[],IF(detections[is active]="yes",1,0),0))&gt;0,SUM(IF($C689=detections[],IF(detections[is active]="yes",1,0),0)),"")</f>
        <v/>
      </c>
      <c r="J689" s="74">
        <f t="array" ref="J689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89" s="74">
        <f>IF(AND(ISNUMBER(techniques[[#This Row],[number of sub techniques]]),techniques[[#This Row],[number of sub techniques]]&gt;1),techniques[number of sub techniques],1)</f>
        <v/>
      </c>
      <c r="L689" s="72" t="n"/>
      <c r="M689" s="74">
        <f t="array" ref="M689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89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89" s="26">
        <f>IF(techniques[[#This Row],[detection rules]]&gt;=techniques[[#This Row],[expected detection rules]],1,techniques[[#This Row],[detection rules]]/techniques[[#This Row],[expected detection rules]])</f>
        <v/>
      </c>
      <c r="P689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89" s="29">
        <f>IF(ISERROR(SEARCH(techniques[[#This Row],[id]],techniques[[#This Row],[name]])),"ERROR","")</f>
        <v/>
      </c>
      <c r="S689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90">
      <c r="A690" s="74" t="inlineStr">
        <is>
          <t>T1685</t>
        </is>
      </c>
      <c r="B690" s="74" t="inlineStr">
        <is>
          <t>T1685.006</t>
        </is>
      </c>
      <c r="C690" s="13" t="inlineStr">
        <is>
          <t>Clear Linux or Mac System Logs (T1685.006)</t>
        </is>
      </c>
      <c r="D690" s="13" t="inlineStr">
        <is>
          <t>defense-impairment</t>
        </is>
      </c>
      <c r="E690" s="13" t="inlineStr">
        <is>
          <t>File: File Deletion|File: File Modification|Process: Process Creation</t>
        </is>
      </c>
      <c r="F690" s="74" t="n">
        <v>3</v>
      </c>
      <c r="G690" s="72">
        <f t="array" ref="G690">SUM(IF(ISERROR(FIND(sources[data source],techniques[[#This Row],[data sources]])),0,1)*IF(sources[available]="yes",1,0))</f>
        <v/>
      </c>
      <c r="H690" s="73">
        <f t="array" ref="H690">IF(techniques[[#This Row],[technique]]=techniques[[#This Row],[id]],SUM(IF(techniques[[#This Row],[id]]=techniques[technique],1,0))-1,"")</f>
        <v/>
      </c>
      <c r="I690" s="74">
        <f t="array" ref="I690">IF(SUM(IF($C690=detections[],IF(detections[is active]="yes",1,0),0))&gt;0,SUM(IF($C690=detections[],IF(detections[is active]="yes",1,0),0)),"")</f>
        <v/>
      </c>
      <c r="J690" s="74">
        <f t="array" ref="J690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90" s="74">
        <f>IF(AND(ISNUMBER(techniques[[#This Row],[number of sub techniques]]),techniques[[#This Row],[number of sub techniques]]&gt;1),techniques[number of sub techniques],1)</f>
        <v/>
      </c>
      <c r="L690" s="72" t="n"/>
      <c r="M690" s="74">
        <f t="array" ref="M690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90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90" s="26">
        <f>IF(techniques[[#This Row],[detection rules]]&gt;=techniques[[#This Row],[expected detection rules]],1,techniques[[#This Row],[detection rules]]/techniques[[#This Row],[expected detection rules]])</f>
        <v/>
      </c>
      <c r="P690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90" s="29">
        <f>IF(ISERROR(SEARCH(techniques[[#This Row],[id]],techniques[[#This Row],[name]])),"ERROR","")</f>
        <v/>
      </c>
      <c r="S690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91">
      <c r="A691" s="74" t="inlineStr">
        <is>
          <t>T1686</t>
        </is>
      </c>
      <c r="B691" s="74" t="inlineStr">
        <is>
          <t>T1686</t>
        </is>
      </c>
      <c r="C691" s="13" t="inlineStr">
        <is>
          <t>Disable or Modify System Firewall (T1686)</t>
        </is>
      </c>
      <c r="D691" s="13" t="inlineStr">
        <is>
          <t>defense-impairment</t>
        </is>
      </c>
      <c r="E691" s="13" t="inlineStr">
        <is>
          <t>Command: Command Execution|Firewall: Firewall Rule Modification|Process: Process Creation|Windows Registry: Windows Registry Key Modification</t>
        </is>
      </c>
      <c r="F691" s="74" t="n">
        <v>4</v>
      </c>
      <c r="G691" s="72">
        <f t="array" ref="G691">SUM(IF(ISERROR(FIND(sources[data source],techniques[[#This Row],[data sources]])),0,1)*IF(sources[available]="yes",1,0))</f>
        <v/>
      </c>
      <c r="H691" s="73">
        <f t="array" ref="H691">IF(techniques[[#This Row],[technique]]=techniques[[#This Row],[id]],SUM(IF(techniques[[#This Row],[id]]=techniques[technique],1,0))-1,"")</f>
        <v/>
      </c>
      <c r="I691" s="74">
        <f t="array" ref="I691">IF(SUM(IF($C691=detections[],IF(detections[is active]="yes",1,0),0))&gt;0,SUM(IF($C691=detections[],IF(detections[is active]="yes",1,0),0)),"")</f>
        <v/>
      </c>
      <c r="J691" s="74">
        <f t="array" ref="J691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91" s="74">
        <f>IF(AND(ISNUMBER(techniques[[#This Row],[number of sub techniques]]),techniques[[#This Row],[number of sub techniques]]&gt;1),techniques[number of sub techniques],1)</f>
        <v/>
      </c>
      <c r="L691" s="72" t="n"/>
      <c r="M691" s="74">
        <f t="array" ref="M691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91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91" s="26">
        <f>IF(techniques[[#This Row],[detection rules]]&gt;=techniques[[#This Row],[expected detection rules]],1,techniques[[#This Row],[detection rules]]/techniques[[#This Row],[expected detection rules]])</f>
        <v/>
      </c>
      <c r="P691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91" s="29">
        <f>IF(ISERROR(SEARCH(techniques[[#This Row],[id]],techniques[[#This Row],[name]])),"ERROR","")</f>
        <v/>
      </c>
      <c r="S691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92">
      <c r="A692" s="74" t="inlineStr">
        <is>
          <t>T1686</t>
        </is>
      </c>
      <c r="B692" s="74" t="inlineStr">
        <is>
          <t>T1686.001</t>
        </is>
      </c>
      <c r="C692" s="13" t="inlineStr">
        <is>
          <t>Cloud Firewall (T1686.001)</t>
        </is>
      </c>
      <c r="D692" s="13" t="inlineStr">
        <is>
          <t>defense-impairment</t>
        </is>
      </c>
      <c r="E692" s="13" t="inlineStr">
        <is>
          <t>Firewall: Firewall Disable|Firewall: Firewall Rule Modification</t>
        </is>
      </c>
      <c r="F692" s="74" t="n">
        <v>2</v>
      </c>
      <c r="G692" s="72">
        <f t="array" ref="G692">SUM(IF(ISERROR(FIND(sources[data source],techniques[[#This Row],[data sources]])),0,1)*IF(sources[available]="yes",1,0))</f>
        <v/>
      </c>
      <c r="H692" s="73">
        <f t="array" ref="H692">IF(techniques[[#This Row],[technique]]=techniques[[#This Row],[id]],SUM(IF(techniques[[#This Row],[id]]=techniques[technique],1,0))-1,"")</f>
        <v/>
      </c>
      <c r="I692" s="74">
        <f t="array" ref="I692">IF(SUM(IF($C692=detections[],IF(detections[is active]="yes",1,0),0))&gt;0,SUM(IF($C692=detections[],IF(detections[is active]="yes",1,0),0)),"")</f>
        <v/>
      </c>
      <c r="J692" s="74">
        <f t="array" ref="J692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92" s="74">
        <f>IF(AND(ISNUMBER(techniques[[#This Row],[number of sub techniques]]),techniques[[#This Row],[number of sub techniques]]&gt;1),techniques[number of sub techniques],1)</f>
        <v/>
      </c>
      <c r="L692" s="72" t="n"/>
      <c r="M692" s="74">
        <f t="array" ref="M692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92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92" s="26">
        <f>IF(techniques[[#This Row],[detection rules]]&gt;=techniques[[#This Row],[expected detection rules]],1,techniques[[#This Row],[detection rules]]/techniques[[#This Row],[expected detection rules]])</f>
        <v/>
      </c>
      <c r="P692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92" s="29">
        <f>IF(ISERROR(SEARCH(techniques[[#This Row],[id]],techniques[[#This Row],[name]])),"ERROR","")</f>
        <v/>
      </c>
      <c r="S692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93">
      <c r="A693" s="74" t="inlineStr">
        <is>
          <t>T1686</t>
        </is>
      </c>
      <c r="B693" s="74" t="inlineStr">
        <is>
          <t>T1686.002</t>
        </is>
      </c>
      <c r="C693" s="13" t="inlineStr">
        <is>
          <t>Network Device Firewall (T1686.002)</t>
        </is>
      </c>
      <c r="D693" s="13" t="inlineStr">
        <is>
          <t>defense-impairment</t>
        </is>
      </c>
      <c r="E693" s="13" t="inlineStr">
        <is>
          <t>Command: Command Execution|Firewall: Firewall Rule Modification|Logon Session: Logon Session Creation|Network Traffic: Network Connection Creation</t>
        </is>
      </c>
      <c r="F693" s="74" t="n">
        <v>4</v>
      </c>
      <c r="G693" s="72">
        <f t="array" ref="G693">SUM(IF(ISERROR(FIND(sources[data source],techniques[[#This Row],[data sources]])),0,1)*IF(sources[available]="yes",1,0))</f>
        <v/>
      </c>
      <c r="H693" s="73">
        <f t="array" ref="H693">IF(techniques[[#This Row],[technique]]=techniques[[#This Row],[id]],SUM(IF(techniques[[#This Row],[id]]=techniques[technique],1,0))-1,"")</f>
        <v/>
      </c>
      <c r="I693" s="74">
        <f t="array" ref="I693">IF(SUM(IF($C693=detections[],IF(detections[is active]="yes",1,0),0))&gt;0,SUM(IF($C693=detections[],IF(detections[is active]="yes",1,0),0)),"")</f>
        <v/>
      </c>
      <c r="J693" s="74">
        <f t="array" ref="J693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93" s="74">
        <f>IF(AND(ISNUMBER(techniques[[#This Row],[number of sub techniques]]),techniques[[#This Row],[number of sub techniques]]&gt;1),techniques[number of sub techniques],1)</f>
        <v/>
      </c>
      <c r="L693" s="72" t="n"/>
      <c r="M693" s="74">
        <f t="array" ref="M693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93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93" s="26">
        <f>IF(techniques[[#This Row],[detection rules]]&gt;=techniques[[#This Row],[expected detection rules]],1,techniques[[#This Row],[detection rules]]/techniques[[#This Row],[expected detection rules]])</f>
        <v/>
      </c>
      <c r="P693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93" s="29">
        <f>IF(ISERROR(SEARCH(techniques[[#This Row],[id]],techniques[[#This Row],[name]])),"ERROR","")</f>
        <v/>
      </c>
      <c r="S693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94">
      <c r="A694" s="74" t="inlineStr">
        <is>
          <t>T1686</t>
        </is>
      </c>
      <c r="B694" s="74" t="inlineStr">
        <is>
          <t>T1686.003</t>
        </is>
      </c>
      <c r="C694" s="13" t="inlineStr">
        <is>
          <t>Windows Host Firewall (T1686.003)</t>
        </is>
      </c>
      <c r="D694" s="13" t="inlineStr">
        <is>
          <t>defense-impairment</t>
        </is>
      </c>
      <c r="E694" s="13" t="inlineStr">
        <is>
          <t>Network Traffic: Network Connection Creation|Process: Process Creation|Service: Service Creation|Windows Registry: Windows Registry Key Creation|Windows Registry: Windows Registry Key Modification</t>
        </is>
      </c>
      <c r="F694" s="74" t="n">
        <v>5</v>
      </c>
      <c r="G694" s="72">
        <f t="array" ref="G694">SUM(IF(ISERROR(FIND(sources[data source],techniques[[#This Row],[data sources]])),0,1)*IF(sources[available]="yes",1,0))</f>
        <v/>
      </c>
      <c r="H694" s="73">
        <f t="array" ref="H694">IF(techniques[[#This Row],[technique]]=techniques[[#This Row],[id]],SUM(IF(techniques[[#This Row],[id]]=techniques[technique],1,0))-1,"")</f>
        <v/>
      </c>
      <c r="I694" s="74">
        <f t="array" ref="I694">IF(SUM(IF($C694=detections[],IF(detections[is active]="yes",1,0),0))&gt;0,SUM(IF($C694=detections[],IF(detections[is active]="yes",1,0),0)),"")</f>
        <v/>
      </c>
      <c r="J694" s="74">
        <f t="array" ref="J694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94" s="74">
        <f>IF(AND(ISNUMBER(techniques[[#This Row],[number of sub techniques]]),techniques[[#This Row],[number of sub techniques]]&gt;1),techniques[number of sub techniques],1)</f>
        <v/>
      </c>
      <c r="L694" s="72" t="n"/>
      <c r="M694" s="74">
        <f t="array" ref="M694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94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94" s="26">
        <f>IF(techniques[[#This Row],[detection rules]]&gt;=techniques[[#This Row],[expected detection rules]],1,techniques[[#This Row],[detection rules]]/techniques[[#This Row],[expected detection rules]])</f>
        <v/>
      </c>
      <c r="P694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94" s="29">
        <f>IF(ISERROR(SEARCH(techniques[[#This Row],[id]],techniques[[#This Row],[name]])),"ERROR","")</f>
        <v/>
      </c>
      <c r="S694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95">
      <c r="A695" s="74" t="inlineStr">
        <is>
          <t>T1687</t>
        </is>
      </c>
      <c r="B695" s="74" t="inlineStr">
        <is>
          <t>T1687</t>
        </is>
      </c>
      <c r="C695" s="13" t="inlineStr">
        <is>
          <t>Exploitation for Defense Impairment (T1687)</t>
        </is>
      </c>
      <c r="D695" s="13" t="inlineStr">
        <is>
          <t>defense-impairment</t>
        </is>
      </c>
      <c r="E695" s="13" t="inlineStr">
        <is>
          <t>Application Log: Application Log Content|Cloud Service: Cloud Service Disable|Command: Command Execution|Driver: Driver Load|Driver: Driver Metadata|Firewall: Firewall Rule Modification|Instance: Instance Modification|Network Traffic: Network Traffic Content|Process: Process Creation|Process: Process Metadata|Service: Service Metadata</t>
        </is>
      </c>
      <c r="F695" s="74" t="n">
        <v>11</v>
      </c>
      <c r="G695" s="72">
        <f t="array" ref="G695">SUM(IF(ISERROR(FIND(sources[data source],techniques[[#This Row],[data sources]])),0,1)*IF(sources[available]="yes",1,0))</f>
        <v/>
      </c>
      <c r="H695" s="73">
        <f t="array" ref="H695">IF(techniques[[#This Row],[technique]]=techniques[[#This Row],[id]],SUM(IF(techniques[[#This Row],[id]]=techniques[technique],1,0))-1,"")</f>
        <v/>
      </c>
      <c r="I695" s="74">
        <f t="array" ref="I695">IF(SUM(IF($C695=detections[],IF(detections[is active]="yes",1,0),0))&gt;0,SUM(IF($C695=detections[],IF(detections[is active]="yes",1,0),0)),"")</f>
        <v/>
      </c>
      <c r="J695" s="74">
        <f t="array" ref="J695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95" s="74">
        <f>IF(AND(ISNUMBER(techniques[[#This Row],[number of sub techniques]]),techniques[[#This Row],[number of sub techniques]]&gt;1),techniques[number of sub techniques],1)</f>
        <v/>
      </c>
      <c r="L695" s="72" t="n"/>
      <c r="M695" s="74">
        <f t="array" ref="M695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95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95" s="26">
        <f>IF(techniques[[#This Row],[detection rules]]&gt;=techniques[[#This Row],[expected detection rules]],1,techniques[[#This Row],[detection rules]]/techniques[[#This Row],[expected detection rules]])</f>
        <v/>
      </c>
      <c r="P695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95" s="29">
        <f>IF(ISERROR(SEARCH(techniques[[#This Row],[id]],techniques[[#This Row],[name]])),"ERROR","")</f>
        <v/>
      </c>
      <c r="S695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96">
      <c r="A696" s="74" t="inlineStr">
        <is>
          <t>T1688</t>
        </is>
      </c>
      <c r="B696" s="74" t="inlineStr">
        <is>
          <t>T1688</t>
        </is>
      </c>
      <c r="C696" s="13" t="inlineStr">
        <is>
          <t>Safe Mode Boot (T1688)</t>
        </is>
      </c>
      <c r="D696" s="13" t="inlineStr">
        <is>
          <t>defense-impairment</t>
        </is>
      </c>
      <c r="E696" s="13" t="inlineStr">
        <is>
          <t>Process: Process Creation|Windows Registry: Windows Registry Key Creation|Windows Registry: Windows Registry Key Modification</t>
        </is>
      </c>
      <c r="F696" s="74" t="n">
        <v>3</v>
      </c>
      <c r="G696" s="72">
        <f t="array" ref="G696">SUM(IF(ISERROR(FIND(sources[data source],techniques[[#This Row],[data sources]])),0,1)*IF(sources[available]="yes",1,0))</f>
        <v/>
      </c>
      <c r="H696" s="73">
        <f t="array" ref="H696">IF(techniques[[#This Row],[technique]]=techniques[[#This Row],[id]],SUM(IF(techniques[[#This Row],[id]]=techniques[technique],1,0))-1,"")</f>
        <v/>
      </c>
      <c r="I696" s="74">
        <f t="array" ref="I696">IF(SUM(IF($C696=detections[],IF(detections[is active]="yes",1,0),0))&gt;0,SUM(IF($C696=detections[],IF(detections[is active]="yes",1,0),0)),"")</f>
        <v/>
      </c>
      <c r="J696" s="74">
        <f t="array" ref="J696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96" s="74">
        <f>IF(AND(ISNUMBER(techniques[[#This Row],[number of sub techniques]]),techniques[[#This Row],[number of sub techniques]]&gt;1),techniques[number of sub techniques],1)</f>
        <v/>
      </c>
      <c r="L696" s="72" t="n"/>
      <c r="M696" s="74">
        <f t="array" ref="M696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96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96" s="26">
        <f>IF(techniques[[#This Row],[detection rules]]&gt;=techniques[[#This Row],[expected detection rules]],1,techniques[[#This Row],[detection rules]]/techniques[[#This Row],[expected detection rules]])</f>
        <v/>
      </c>
      <c r="P696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96" s="29">
        <f>IF(ISERROR(SEARCH(techniques[[#This Row],[id]],techniques[[#This Row],[name]])),"ERROR","")</f>
        <v/>
      </c>
      <c r="S696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97">
      <c r="A697" s="74" t="inlineStr">
        <is>
          <t>T1689</t>
        </is>
      </c>
      <c r="B697" s="74" t="inlineStr">
        <is>
          <t>T1689</t>
        </is>
      </c>
      <c r="C697" s="13" t="inlineStr">
        <is>
          <t>Downgrade Attack (T1689)</t>
        </is>
      </c>
      <c r="D697" s="13" t="inlineStr">
        <is>
          <t>defense-impairment</t>
        </is>
      </c>
      <c r="E697" s="13" t="inlineStr">
        <is>
          <t>Command: Command Execution|Process: Process Creation|Process: Process Metadata|Windows Registry: Windows Registry Key Modification</t>
        </is>
      </c>
      <c r="F697" s="74" t="n">
        <v>4</v>
      </c>
      <c r="G697" s="72">
        <f t="array" ref="G697">SUM(IF(ISERROR(FIND(sources[data source],techniques[[#This Row],[data sources]])),0,1)*IF(sources[available]="yes",1,0))</f>
        <v/>
      </c>
      <c r="H697" s="73">
        <f t="array" ref="H697">IF(techniques[[#This Row],[technique]]=techniques[[#This Row],[id]],SUM(IF(techniques[[#This Row],[id]]=techniques[technique],1,0))-1,"")</f>
        <v/>
      </c>
      <c r="I697" s="74">
        <f t="array" ref="I697">IF(SUM(IF($C697=detections[],IF(detections[is active]="yes",1,0),0))&gt;0,SUM(IF($C697=detections[],IF(detections[is active]="yes",1,0),0)),"")</f>
        <v/>
      </c>
      <c r="J697" s="74">
        <f t="array" ref="J697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97" s="74">
        <f>IF(AND(ISNUMBER(techniques[[#This Row],[number of sub techniques]]),techniques[[#This Row],[number of sub techniques]]&gt;1),techniques[number of sub techniques],1)</f>
        <v/>
      </c>
      <c r="L697" s="72" t="n"/>
      <c r="M697" s="74">
        <f t="array" ref="M697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97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97" s="26">
        <f>IF(techniques[[#This Row],[detection rules]]&gt;=techniques[[#This Row],[expected detection rules]],1,techniques[[#This Row],[detection rules]]/techniques[[#This Row],[expected detection rules]])</f>
        <v/>
      </c>
      <c r="P697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97" s="29">
        <f>IF(ISERROR(SEARCH(techniques[[#This Row],[id]],techniques[[#This Row],[name]])),"ERROR","")</f>
        <v/>
      </c>
      <c r="S697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  <row r="698">
      <c r="A698" s="74" t="inlineStr">
        <is>
          <t>T1690</t>
        </is>
      </c>
      <c r="B698" s="74" t="inlineStr">
        <is>
          <t>T1690</t>
        </is>
      </c>
      <c r="C698" s="13" t="inlineStr">
        <is>
          <t>Prevent Command History Logging (T1690)</t>
        </is>
      </c>
      <c r="D698" s="13" t="inlineStr">
        <is>
          <t>defense-impairment</t>
        </is>
      </c>
      <c r="E698" s="13" t="inlineStr">
        <is>
          <t>Command: Command Execution|Process: Process Creation</t>
        </is>
      </c>
      <c r="F698" s="74" t="n">
        <v>2</v>
      </c>
      <c r="G698" s="72">
        <f t="array" ref="G698">SUM(IF(ISERROR(FIND(sources[data source],techniques[[#This Row],[data sources]])),0,1)*IF(sources[available]="yes",1,0))</f>
        <v/>
      </c>
      <c r="H698" s="73">
        <f t="array" ref="H698">IF(techniques[[#This Row],[technique]]=techniques[[#This Row],[id]],SUM(IF(techniques[[#This Row],[id]]=techniques[technique],1,0))-1,"")</f>
        <v/>
      </c>
      <c r="I698" s="74">
        <f t="array" ref="I698">IF(SUM(IF($C698=detections[],IF(detections[is active]="yes",1,0),0))&gt;0,SUM(IF($C698=detections[],IF(detections[is active]="yes",1,0),0)),"")</f>
        <v/>
      </c>
      <c r="J698" s="74">
        <f t="array" ref="J698">IF(IF(ISNUMBER(techniques[[#This Row],[number of sub techniques]]),techniques[[#This Row],[number of sub techniques]]&gt;0,FALSE),SUM(IF(techniques[[#This Row],[technique]]=techniques[technique],techniques[detection rules for techique],0))-IF(ISNUMBER(techniques[[#This Row],[detection rules for techique]]),techniques[[#This Row],[detection rules for techique]],0),"")</f>
        <v/>
      </c>
      <c r="K698" s="74">
        <f>IF(AND(ISNUMBER(techniques[[#This Row],[number of sub techniques]]),techniques[[#This Row],[number of sub techniques]]&gt;1),techniques[number of sub techniques],1)</f>
        <v/>
      </c>
      <c r="L698" s="72" t="n"/>
      <c r="M698" s="74">
        <f t="array" ref="M698">techniques[[#This Row],[minimum detection rules]]+IF(IF(ISNUMBER(techniques[[#This Row],[number of sub techniques]]),techniques[[#This Row],[number of sub techniques]]&gt;0,FALSE),SUM(IF(techniques[[#This Row],[technique]]=techniques[technique],techniques[detection rules modifier],0)),techniques[[#This Row],[detection rules modifier]])</f>
        <v/>
      </c>
      <c r="N698" s="74">
        <f>IF(ISNUMBER(techniques[[#This Row],[detection rules for techique]]),techniques[[#This Row],[detection rules for techique]],0)+IF(ISNUMBER(techniques[[#This Row],[detection rules for subtech]]),techniques[[#This Row],[detection rules for subtech]],0)</f>
        <v/>
      </c>
      <c r="O698" s="26">
        <f>IF(techniques[[#This Row],[detection rules]]&gt;=techniques[[#This Row],[expected detection rules]],1,techniques[[#This Row],[detection rules]]/techniques[[#This Row],[expected detection rules]])</f>
        <v/>
      </c>
      <c r="P698" s="78">
        <f>IF(techniques[[#This Row],[expected detection rules]]&lt;=0,"disabled",IF(techniques[[#This Row],[data source available]]&gt;0, IF(techniques[[#This Row],[detection rules]]&gt;0,"detect","no detect"),IF(techniques[[#This Row],[detection rules]]&gt;0,"inconsistent","no sources")))</f>
        <v/>
      </c>
      <c r="R698" s="29">
        <f>IF(ISERROR(SEARCH(techniques[[#This Row],[id]],techniques[[#This Row],[name]])),"ERROR","")</f>
        <v/>
      </c>
      <c r="S698" s="31">
        <f>IF(techniques[[#This Row],[expected detection rules]]&lt;0,"expected detection rules negative!",IF(techniques[[#This Row],[detection rules]]&gt;techniques[[#This Row],[expected detection rules]],"more detection rules than expected!",IF(AND(IF(ISNUMBER(techniques[[#This Row],[detection rules for techique]]),techniques[[#This Row],[detection rules for techique]]&gt;0,FALSE),IF(ISNUMBER(techniques[[#This Row],[number of sub techniques]]),techniques[[#This Row],[number of sub techniques]]&gt;0,FALSE)),IF(techniques[[#This Row],[detection rules for techique]] &gt; IF(ISNUMBER(techniques[[#This Row],[detection rules modifier]]),techniques[[#This Row],[detection rules modifier]],0), "modifier should be increased for the technique", ""),"")))</f>
        <v/>
      </c>
    </row>
  </sheetData>
  <autoFilter ref="Q1:S698"/>
  <conditionalFormatting sqref="A2:P698">
    <cfRule type="expression" priority="1" dxfId="35" stopIfTrue="1">
      <formula>COUNTIF($P2,"disabled")</formula>
    </cfRule>
    <cfRule type="expression" priority="2" dxfId="34" stopIfTrue="1">
      <formula>COUNTIF($P2,"detect")</formula>
    </cfRule>
    <cfRule type="expression" priority="3" dxfId="33" stopIfTrue="1">
      <formula>COUNTIF($P2,"no detect")</formula>
    </cfRule>
    <cfRule type="expression" priority="4" dxfId="32" stopIfTrue="1">
      <formula>COUNTIF($P2,"inconsistent")</formula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3"/>
  <sheetViews>
    <sheetView workbookViewId="0">
      <pane ySplit="1" topLeftCell="A46" activePane="bottomLeft" state="frozen"/>
      <selection pane="bottomLeft" activeCell="D76" sqref="D39:D76"/>
    </sheetView>
  </sheetViews>
  <sheetFormatPr baseColWidth="8" defaultRowHeight="12.75"/>
  <cols>
    <col width="18.85546875" bestFit="1" customWidth="1" style="78" min="1" max="1"/>
    <col width="8.85546875" bestFit="1" customWidth="1" style="78" min="2" max="2"/>
    <col width="13" customWidth="1" style="78" min="3" max="3"/>
    <col width="59.7109375" bestFit="1" customWidth="1" style="78" min="4" max="4"/>
    <col width="9.140625" customWidth="1" style="78" min="5" max="16384"/>
  </cols>
  <sheetData>
    <row r="1">
      <c r="A1" s="2" t="inlineStr">
        <is>
          <t>name</t>
        </is>
      </c>
      <c r="B1" s="3" t="inlineStr">
        <is>
          <t>technique</t>
        </is>
      </c>
      <c r="C1" s="3" t="inlineStr">
        <is>
          <t>technique_id</t>
        </is>
      </c>
      <c r="D1" s="2" t="inlineStr">
        <is>
          <t>technique_name</t>
        </is>
      </c>
    </row>
    <row r="2">
      <c r="A2" s="78" t="inlineStr">
        <is>
          <t>collection</t>
        </is>
      </c>
      <c r="B2" s="74" t="inlineStr">
        <is>
          <t>T1005</t>
        </is>
      </c>
      <c r="C2" s="74" t="inlineStr">
        <is>
          <t>T1005</t>
        </is>
      </c>
      <c r="D2" s="78" t="inlineStr">
        <is>
          <t>Data from Local System (T1005)</t>
        </is>
      </c>
    </row>
    <row r="3">
      <c r="A3" s="78" t="inlineStr">
        <is>
          <t>collection</t>
        </is>
      </c>
      <c r="B3" s="74" t="inlineStr">
        <is>
          <t>T1025</t>
        </is>
      </c>
      <c r="C3" s="74" t="inlineStr">
        <is>
          <t>T1025</t>
        </is>
      </c>
      <c r="D3" s="78" t="inlineStr">
        <is>
          <t>Data from Removable Media (T1025)</t>
        </is>
      </c>
    </row>
    <row r="4">
      <c r="A4" s="78" t="inlineStr">
        <is>
          <t>collection</t>
        </is>
      </c>
      <c r="B4" s="74" t="inlineStr">
        <is>
          <t>T1039</t>
        </is>
      </c>
      <c r="C4" s="74" t="inlineStr">
        <is>
          <t>T1039</t>
        </is>
      </c>
      <c r="D4" s="78" t="inlineStr">
        <is>
          <t>Data from Network Shared Drive (T1039)</t>
        </is>
      </c>
    </row>
    <row r="5">
      <c r="A5" s="78" t="inlineStr">
        <is>
          <t>collection</t>
        </is>
      </c>
      <c r="B5" s="74" t="inlineStr">
        <is>
          <t>T1056</t>
        </is>
      </c>
      <c r="C5" s="74" t="inlineStr">
        <is>
          <t>T1056</t>
        </is>
      </c>
      <c r="D5" s="78" t="inlineStr">
        <is>
          <t>Input Capture (T1056)</t>
        </is>
      </c>
    </row>
    <row r="6">
      <c r="A6" s="78" t="inlineStr">
        <is>
          <t>collection</t>
        </is>
      </c>
      <c r="B6" s="74" t="inlineStr">
        <is>
          <t>T1056</t>
        </is>
      </c>
      <c r="C6" s="74" t="inlineStr">
        <is>
          <t>T1056.001</t>
        </is>
      </c>
      <c r="D6" s="78" t="inlineStr">
        <is>
          <t>Keylogging (T1056.001)</t>
        </is>
      </c>
    </row>
    <row r="7">
      <c r="A7" s="78" t="inlineStr">
        <is>
          <t>collection</t>
        </is>
      </c>
      <c r="B7" s="74" t="inlineStr">
        <is>
          <t>T1056</t>
        </is>
      </c>
      <c r="C7" s="74" t="inlineStr">
        <is>
          <t>T1056.002</t>
        </is>
      </c>
      <c r="D7" s="78" t="inlineStr">
        <is>
          <t>GUI Input Capture (T1056.002)</t>
        </is>
      </c>
    </row>
    <row r="8">
      <c r="A8" s="78" t="inlineStr">
        <is>
          <t>collection</t>
        </is>
      </c>
      <c r="B8" s="74" t="inlineStr">
        <is>
          <t>T1056</t>
        </is>
      </c>
      <c r="C8" s="74" t="inlineStr">
        <is>
          <t>T1056.003</t>
        </is>
      </c>
      <c r="D8" s="78" t="inlineStr">
        <is>
          <t>Web Portal Capture (T1056.003)</t>
        </is>
      </c>
    </row>
    <row r="9">
      <c r="A9" s="78" t="inlineStr">
        <is>
          <t>collection</t>
        </is>
      </c>
      <c r="B9" s="74" t="inlineStr">
        <is>
          <t>T1056</t>
        </is>
      </c>
      <c r="C9" s="74" t="inlineStr">
        <is>
          <t>T1056.004</t>
        </is>
      </c>
      <c r="D9" s="78" t="inlineStr">
        <is>
          <t>Credential API Hooking (T1056.004)</t>
        </is>
      </c>
    </row>
    <row r="10">
      <c r="A10" s="78" t="inlineStr">
        <is>
          <t>collection</t>
        </is>
      </c>
      <c r="B10" s="74" t="inlineStr">
        <is>
          <t>T1074</t>
        </is>
      </c>
      <c r="C10" s="74" t="inlineStr">
        <is>
          <t>T1074</t>
        </is>
      </c>
      <c r="D10" s="78" t="inlineStr">
        <is>
          <t>Data Staged (T1074)</t>
        </is>
      </c>
    </row>
    <row r="11">
      <c r="A11" s="78" t="inlineStr">
        <is>
          <t>collection</t>
        </is>
      </c>
      <c r="B11" s="74" t="inlineStr">
        <is>
          <t>T1074</t>
        </is>
      </c>
      <c r="C11" s="74" t="inlineStr">
        <is>
          <t>T1074.001</t>
        </is>
      </c>
      <c r="D11" s="78" t="inlineStr">
        <is>
          <t>Local Data Staging (T1074.001)</t>
        </is>
      </c>
    </row>
    <row r="12">
      <c r="A12" s="78" t="inlineStr">
        <is>
          <t>collection</t>
        </is>
      </c>
      <c r="B12" s="74" t="inlineStr">
        <is>
          <t>T1074</t>
        </is>
      </c>
      <c r="C12" s="74" t="inlineStr">
        <is>
          <t>T1074.002</t>
        </is>
      </c>
      <c r="D12" s="78" t="inlineStr">
        <is>
          <t>Remote Data Staging (T1074.002)</t>
        </is>
      </c>
    </row>
    <row r="13">
      <c r="A13" s="78" t="inlineStr">
        <is>
          <t>collection</t>
        </is>
      </c>
      <c r="B13" s="74" t="inlineStr">
        <is>
          <t>T1113</t>
        </is>
      </c>
      <c r="C13" s="74" t="inlineStr">
        <is>
          <t>T1113</t>
        </is>
      </c>
      <c r="D13" s="78" t="inlineStr">
        <is>
          <t>Screen Capture (T1113)</t>
        </is>
      </c>
    </row>
    <row r="14">
      <c r="A14" s="78" t="inlineStr">
        <is>
          <t>collection</t>
        </is>
      </c>
      <c r="B14" s="74" t="inlineStr">
        <is>
          <t>T1114</t>
        </is>
      </c>
      <c r="C14" s="74" t="inlineStr">
        <is>
          <t>T1114</t>
        </is>
      </c>
      <c r="D14" s="78" t="inlineStr">
        <is>
          <t>Email Collection (T1114)</t>
        </is>
      </c>
    </row>
    <row r="15">
      <c r="A15" s="78" t="inlineStr">
        <is>
          <t>collection</t>
        </is>
      </c>
      <c r="B15" s="74" t="inlineStr">
        <is>
          <t>T1114</t>
        </is>
      </c>
      <c r="C15" s="74" t="inlineStr">
        <is>
          <t>T1114.001</t>
        </is>
      </c>
      <c r="D15" s="78" t="inlineStr">
        <is>
          <t>Local Email Collection (T1114.001)</t>
        </is>
      </c>
    </row>
    <row r="16">
      <c r="A16" s="78" t="inlineStr">
        <is>
          <t>collection</t>
        </is>
      </c>
      <c r="B16" s="74" t="inlineStr">
        <is>
          <t>T1114</t>
        </is>
      </c>
      <c r="C16" s="74" t="inlineStr">
        <is>
          <t>T1114.002</t>
        </is>
      </c>
      <c r="D16" s="78" t="inlineStr">
        <is>
          <t>Remote Email Collection (T1114.002)</t>
        </is>
      </c>
    </row>
    <row r="17">
      <c r="A17" s="78" t="inlineStr">
        <is>
          <t>collection</t>
        </is>
      </c>
      <c r="B17" s="74" t="inlineStr">
        <is>
          <t>T1114</t>
        </is>
      </c>
      <c r="C17" s="74" t="inlineStr">
        <is>
          <t>T1114.003</t>
        </is>
      </c>
      <c r="D17" s="78" t="inlineStr">
        <is>
          <t>Email Forwarding Rule (T1114.003)</t>
        </is>
      </c>
    </row>
    <row r="18">
      <c r="A18" s="78" t="inlineStr">
        <is>
          <t>collection</t>
        </is>
      </c>
      <c r="B18" s="74" t="inlineStr">
        <is>
          <t>T1115</t>
        </is>
      </c>
      <c r="C18" s="74" t="inlineStr">
        <is>
          <t>T1115</t>
        </is>
      </c>
      <c r="D18" s="78" t="inlineStr">
        <is>
          <t>Clipboard Data (T1115)</t>
        </is>
      </c>
    </row>
    <row r="19">
      <c r="A19" s="78" t="inlineStr">
        <is>
          <t>collection</t>
        </is>
      </c>
      <c r="B19" s="74" t="inlineStr">
        <is>
          <t>T1119</t>
        </is>
      </c>
      <c r="C19" s="74" t="inlineStr">
        <is>
          <t>T1119</t>
        </is>
      </c>
      <c r="D19" s="78" t="inlineStr">
        <is>
          <t>Automated Collection (T1119)</t>
        </is>
      </c>
    </row>
    <row r="20">
      <c r="A20" s="78" t="inlineStr">
        <is>
          <t>collection</t>
        </is>
      </c>
      <c r="B20" s="74" t="inlineStr">
        <is>
          <t>T1123</t>
        </is>
      </c>
      <c r="C20" s="74" t="inlineStr">
        <is>
          <t>T1123</t>
        </is>
      </c>
      <c r="D20" s="78" t="inlineStr">
        <is>
          <t>Audio Capture (T1123)</t>
        </is>
      </c>
    </row>
    <row r="21">
      <c r="A21" s="78" t="inlineStr">
        <is>
          <t>collection</t>
        </is>
      </c>
      <c r="B21" s="74" t="inlineStr">
        <is>
          <t>T1125</t>
        </is>
      </c>
      <c r="C21" s="74" t="inlineStr">
        <is>
          <t>T1125</t>
        </is>
      </c>
      <c r="D21" s="78" t="inlineStr">
        <is>
          <t>Video Capture (T1125)</t>
        </is>
      </c>
    </row>
    <row r="22">
      <c r="A22" s="78" t="inlineStr">
        <is>
          <t>collection</t>
        </is>
      </c>
      <c r="B22" s="74" t="inlineStr">
        <is>
          <t>T1185</t>
        </is>
      </c>
      <c r="C22" s="74" t="inlineStr">
        <is>
          <t>T1185</t>
        </is>
      </c>
      <c r="D22" s="78" t="inlineStr">
        <is>
          <t>Browser Session Hijacking (T1185)</t>
        </is>
      </c>
    </row>
    <row r="23">
      <c r="A23" s="78" t="inlineStr">
        <is>
          <t>collection</t>
        </is>
      </c>
      <c r="B23" s="74" t="inlineStr">
        <is>
          <t>T1213</t>
        </is>
      </c>
      <c r="C23" s="74" t="inlineStr">
        <is>
          <t>T1213</t>
        </is>
      </c>
      <c r="D23" s="78" t="inlineStr">
        <is>
          <t>Data from Information Repositories (T1213)</t>
        </is>
      </c>
    </row>
    <row r="24">
      <c r="A24" s="78" t="inlineStr">
        <is>
          <t>collection</t>
        </is>
      </c>
      <c r="B24" s="74" t="inlineStr">
        <is>
          <t>T1213</t>
        </is>
      </c>
      <c r="C24" s="74" t="inlineStr">
        <is>
          <t>T1213.001</t>
        </is>
      </c>
      <c r="D24" s="78" t="inlineStr">
        <is>
          <t>Confluence (T1213.001)</t>
        </is>
      </c>
    </row>
    <row r="25">
      <c r="A25" s="78" t="inlineStr">
        <is>
          <t>collection</t>
        </is>
      </c>
      <c r="B25" s="74" t="inlineStr">
        <is>
          <t>T1213</t>
        </is>
      </c>
      <c r="C25" s="74" t="inlineStr">
        <is>
          <t>T1213.002</t>
        </is>
      </c>
      <c r="D25" s="78" t="inlineStr">
        <is>
          <t>Sharepoint (T1213.002)</t>
        </is>
      </c>
    </row>
    <row r="26">
      <c r="A26" s="78" t="inlineStr">
        <is>
          <t>collection</t>
        </is>
      </c>
      <c r="B26" s="74" t="inlineStr">
        <is>
          <t>T1213</t>
        </is>
      </c>
      <c r="C26" s="74" t="inlineStr">
        <is>
          <t>T1213.003</t>
        </is>
      </c>
      <c r="D26" s="78" t="inlineStr">
        <is>
          <t>Code Repositories (T1213.003)</t>
        </is>
      </c>
    </row>
    <row r="27">
      <c r="A27" s="78" t="inlineStr">
        <is>
          <t>collection</t>
        </is>
      </c>
      <c r="B27" s="74" t="inlineStr">
        <is>
          <t>T1213</t>
        </is>
      </c>
      <c r="C27" s="74" t="inlineStr">
        <is>
          <t>T1213.004</t>
        </is>
      </c>
      <c r="D27" s="78" t="inlineStr">
        <is>
          <t>Customer Relationship Management Software (T1213.004)</t>
        </is>
      </c>
    </row>
    <row r="28">
      <c r="A28" s="78" t="inlineStr">
        <is>
          <t>collection</t>
        </is>
      </c>
      <c r="B28" s="74" t="inlineStr">
        <is>
          <t>T1213</t>
        </is>
      </c>
      <c r="C28" s="74" t="inlineStr">
        <is>
          <t>T1213.005</t>
        </is>
      </c>
      <c r="D28" s="78" t="inlineStr">
        <is>
          <t>Messaging Applications (T1213.005)</t>
        </is>
      </c>
    </row>
    <row r="29">
      <c r="A29" s="78" t="inlineStr">
        <is>
          <t>collection</t>
        </is>
      </c>
      <c r="B29" s="74" t="inlineStr">
        <is>
          <t>T1213</t>
        </is>
      </c>
      <c r="C29" s="74" t="inlineStr">
        <is>
          <t>T1213.006</t>
        </is>
      </c>
      <c r="D29" s="78" t="inlineStr">
        <is>
          <t>Databases (T1213.006)</t>
        </is>
      </c>
    </row>
    <row r="30">
      <c r="A30" s="78" t="inlineStr">
        <is>
          <t>collection</t>
        </is>
      </c>
      <c r="B30" s="74" t="inlineStr">
        <is>
          <t>T1530</t>
        </is>
      </c>
      <c r="C30" s="74" t="inlineStr">
        <is>
          <t>T1530</t>
        </is>
      </c>
      <c r="D30" s="78" t="inlineStr">
        <is>
          <t>Data from Cloud Storage (T1530)</t>
        </is>
      </c>
    </row>
    <row r="31">
      <c r="A31" s="78" t="inlineStr">
        <is>
          <t>collection</t>
        </is>
      </c>
      <c r="B31" s="74" t="inlineStr">
        <is>
          <t>T1557</t>
        </is>
      </c>
      <c r="C31" s="74" t="inlineStr">
        <is>
          <t>T1557</t>
        </is>
      </c>
      <c r="D31" s="78" t="inlineStr">
        <is>
          <t>Adversary-in-the-Middle (T1557)</t>
        </is>
      </c>
    </row>
    <row r="32">
      <c r="A32" s="78" t="inlineStr">
        <is>
          <t>collection</t>
        </is>
      </c>
      <c r="B32" s="74" t="inlineStr">
        <is>
          <t>T1557</t>
        </is>
      </c>
      <c r="C32" s="74" t="inlineStr">
        <is>
          <t>T1557.001</t>
        </is>
      </c>
      <c r="D32" s="78" t="inlineStr">
        <is>
          <t>Name Resolution Poisoning and SMB Relay (T1557.001)</t>
        </is>
      </c>
    </row>
    <row r="33">
      <c r="A33" s="78" t="inlineStr">
        <is>
          <t>collection</t>
        </is>
      </c>
      <c r="B33" s="74" t="inlineStr">
        <is>
          <t>T1557</t>
        </is>
      </c>
      <c r="C33" s="74" t="inlineStr">
        <is>
          <t>T1557.002</t>
        </is>
      </c>
      <c r="D33" s="78" t="inlineStr">
        <is>
          <t>ARP Cache Poisoning (T1557.002)</t>
        </is>
      </c>
    </row>
    <row r="34">
      <c r="A34" s="78" t="inlineStr">
        <is>
          <t>collection</t>
        </is>
      </c>
      <c r="B34" s="74" t="inlineStr">
        <is>
          <t>T1557</t>
        </is>
      </c>
      <c r="C34" s="74" t="inlineStr">
        <is>
          <t>T1557.003</t>
        </is>
      </c>
      <c r="D34" s="78" t="inlineStr">
        <is>
          <t>DHCP Spoofing (T1557.003)</t>
        </is>
      </c>
    </row>
    <row r="35">
      <c r="A35" s="78" t="inlineStr">
        <is>
          <t>collection</t>
        </is>
      </c>
      <c r="B35" s="74" t="inlineStr">
        <is>
          <t>T1557</t>
        </is>
      </c>
      <c r="C35" s="74" t="inlineStr">
        <is>
          <t>T1557.004</t>
        </is>
      </c>
      <c r="D35" s="78" t="inlineStr">
        <is>
          <t>Evil Twin (T1557.004)</t>
        </is>
      </c>
    </row>
    <row r="36">
      <c r="A36" s="78" t="inlineStr">
        <is>
          <t>collection</t>
        </is>
      </c>
      <c r="B36" s="74" t="inlineStr">
        <is>
          <t>T1560</t>
        </is>
      </c>
      <c r="C36" s="74" t="inlineStr">
        <is>
          <t>T1560</t>
        </is>
      </c>
      <c r="D36" s="78" t="inlineStr">
        <is>
          <t>Archive Collected Data (T1560)</t>
        </is>
      </c>
    </row>
    <row r="37">
      <c r="A37" s="78" t="inlineStr">
        <is>
          <t>collection</t>
        </is>
      </c>
      <c r="B37" s="74" t="inlineStr">
        <is>
          <t>T1560</t>
        </is>
      </c>
      <c r="C37" s="74" t="inlineStr">
        <is>
          <t>T1560.001</t>
        </is>
      </c>
      <c r="D37" s="78" t="inlineStr">
        <is>
          <t>Archive via Utility (T1560.001)</t>
        </is>
      </c>
    </row>
    <row r="38">
      <c r="A38" s="78" t="inlineStr">
        <is>
          <t>collection</t>
        </is>
      </c>
      <c r="B38" s="74" t="inlineStr">
        <is>
          <t>T1560</t>
        </is>
      </c>
      <c r="C38" s="74" t="inlineStr">
        <is>
          <t>T1560.002</t>
        </is>
      </c>
      <c r="D38" s="78" t="inlineStr">
        <is>
          <t>Archive via Library (T1560.002)</t>
        </is>
      </c>
    </row>
    <row r="39">
      <c r="A39" s="78" t="inlineStr">
        <is>
          <t>collection</t>
        </is>
      </c>
      <c r="B39" s="74" t="inlineStr">
        <is>
          <t>T1560</t>
        </is>
      </c>
      <c r="C39" s="74" t="inlineStr">
        <is>
          <t>T1560.003</t>
        </is>
      </c>
      <c r="D39" s="78" t="inlineStr">
        <is>
          <t>Archive via Custom Method (T1560.003)</t>
        </is>
      </c>
    </row>
    <row r="40">
      <c r="A40" s="78" t="inlineStr">
        <is>
          <t>collection</t>
        </is>
      </c>
      <c r="B40" s="74" t="inlineStr">
        <is>
          <t>T1602</t>
        </is>
      </c>
      <c r="C40" s="74" t="inlineStr">
        <is>
          <t>T1602</t>
        </is>
      </c>
      <c r="D40" s="78" t="inlineStr">
        <is>
          <t>Data from Configuration Repository (T1602)</t>
        </is>
      </c>
    </row>
    <row r="41">
      <c r="A41" s="78" t="inlineStr">
        <is>
          <t>collection</t>
        </is>
      </c>
      <c r="B41" s="74" t="inlineStr">
        <is>
          <t>T1602</t>
        </is>
      </c>
      <c r="C41" s="74" t="inlineStr">
        <is>
          <t>T1602.001</t>
        </is>
      </c>
      <c r="D41" s="78" t="inlineStr">
        <is>
          <t>SNMP (MIB Dump) (T1602.001)</t>
        </is>
      </c>
    </row>
    <row r="42">
      <c r="A42" s="78" t="inlineStr">
        <is>
          <t>collection</t>
        </is>
      </c>
      <c r="B42" s="74" t="inlineStr">
        <is>
          <t>T1602</t>
        </is>
      </c>
      <c r="C42" s="74" t="inlineStr">
        <is>
          <t>T1602.002</t>
        </is>
      </c>
      <c r="D42" s="78" t="inlineStr">
        <is>
          <t>Network Device Configuration Dump (T1602.002)</t>
        </is>
      </c>
    </row>
    <row r="43">
      <c r="A43" s="78" t="inlineStr">
        <is>
          <t>command-and-control</t>
        </is>
      </c>
      <c r="B43" s="74" t="inlineStr">
        <is>
          <t>T1001</t>
        </is>
      </c>
      <c r="C43" s="74" t="inlineStr">
        <is>
          <t>T1001</t>
        </is>
      </c>
      <c r="D43" s="78" t="inlineStr">
        <is>
          <t>Data Obfuscation (T1001)</t>
        </is>
      </c>
    </row>
    <row r="44">
      <c r="A44" s="78" t="inlineStr">
        <is>
          <t>command-and-control</t>
        </is>
      </c>
      <c r="B44" s="74" t="inlineStr">
        <is>
          <t>T1001</t>
        </is>
      </c>
      <c r="C44" s="74" t="inlineStr">
        <is>
          <t>T1001.001</t>
        </is>
      </c>
      <c r="D44" s="78" t="inlineStr">
        <is>
          <t>Junk Data (T1001.001)</t>
        </is>
      </c>
    </row>
    <row r="45">
      <c r="A45" s="78" t="inlineStr">
        <is>
          <t>command-and-control</t>
        </is>
      </c>
      <c r="B45" s="74" t="inlineStr">
        <is>
          <t>T1001</t>
        </is>
      </c>
      <c r="C45" s="74" t="inlineStr">
        <is>
          <t>T1001.002</t>
        </is>
      </c>
      <c r="D45" s="78" t="inlineStr">
        <is>
          <t>Steganography (T1001.002)</t>
        </is>
      </c>
    </row>
    <row r="46">
      <c r="A46" s="78" t="inlineStr">
        <is>
          <t>command-and-control</t>
        </is>
      </c>
      <c r="B46" s="74" t="inlineStr">
        <is>
          <t>T1001</t>
        </is>
      </c>
      <c r="C46" s="74" t="inlineStr">
        <is>
          <t>T1001.003</t>
        </is>
      </c>
      <c r="D46" s="78" t="inlineStr">
        <is>
          <t>Protocol or Service Impersonation (T1001.003)</t>
        </is>
      </c>
    </row>
    <row r="47">
      <c r="A47" s="78" t="inlineStr">
        <is>
          <t>command-and-control</t>
        </is>
      </c>
      <c r="B47" s="74" t="inlineStr">
        <is>
          <t>T1008</t>
        </is>
      </c>
      <c r="C47" s="74" t="inlineStr">
        <is>
          <t>T1008</t>
        </is>
      </c>
      <c r="D47" s="78" t="inlineStr">
        <is>
          <t>Fallback Channels (T1008)</t>
        </is>
      </c>
    </row>
    <row r="48">
      <c r="A48" s="78" t="inlineStr">
        <is>
          <t>command-and-control</t>
        </is>
      </c>
      <c r="B48" s="74" t="inlineStr">
        <is>
          <t>T1071</t>
        </is>
      </c>
      <c r="C48" s="74" t="inlineStr">
        <is>
          <t>T1071</t>
        </is>
      </c>
      <c r="D48" s="78" t="inlineStr">
        <is>
          <t>Application Layer Protocol (T1071)</t>
        </is>
      </c>
    </row>
    <row r="49">
      <c r="A49" s="78" t="inlineStr">
        <is>
          <t>command-and-control</t>
        </is>
      </c>
      <c r="B49" s="74" t="inlineStr">
        <is>
          <t>T1071</t>
        </is>
      </c>
      <c r="C49" s="74" t="inlineStr">
        <is>
          <t>T1071.001</t>
        </is>
      </c>
      <c r="D49" s="78" t="inlineStr">
        <is>
          <t>Web Protocols (T1071.001)</t>
        </is>
      </c>
    </row>
    <row r="50">
      <c r="A50" s="78" t="inlineStr">
        <is>
          <t>command-and-control</t>
        </is>
      </c>
      <c r="B50" s="74" t="inlineStr">
        <is>
          <t>T1071</t>
        </is>
      </c>
      <c r="C50" s="74" t="inlineStr">
        <is>
          <t>T1071.002</t>
        </is>
      </c>
      <c r="D50" s="78" t="inlineStr">
        <is>
          <t>File Transfer Protocols (T1071.002)</t>
        </is>
      </c>
    </row>
    <row r="51">
      <c r="A51" s="78" t="inlineStr">
        <is>
          <t>command-and-control</t>
        </is>
      </c>
      <c r="B51" s="74" t="inlineStr">
        <is>
          <t>T1071</t>
        </is>
      </c>
      <c r="C51" s="74" t="inlineStr">
        <is>
          <t>T1071.003</t>
        </is>
      </c>
      <c r="D51" s="78" t="inlineStr">
        <is>
          <t>Mail Protocols (T1071.003)</t>
        </is>
      </c>
    </row>
    <row r="52">
      <c r="A52" s="78" t="inlineStr">
        <is>
          <t>command-and-control</t>
        </is>
      </c>
      <c r="B52" s="74" t="inlineStr">
        <is>
          <t>T1071</t>
        </is>
      </c>
      <c r="C52" s="74" t="inlineStr">
        <is>
          <t>T1071.004</t>
        </is>
      </c>
      <c r="D52" s="78" t="inlineStr">
        <is>
          <t>DNS (T1071.004)</t>
        </is>
      </c>
    </row>
    <row r="53">
      <c r="A53" s="78" t="inlineStr">
        <is>
          <t>command-and-control</t>
        </is>
      </c>
      <c r="B53" s="74" t="inlineStr">
        <is>
          <t>T1071</t>
        </is>
      </c>
      <c r="C53" s="74" t="inlineStr">
        <is>
          <t>T1071.005</t>
        </is>
      </c>
      <c r="D53" s="78" t="inlineStr">
        <is>
          <t>Publish/Subscribe Protocols (T1071.005)</t>
        </is>
      </c>
    </row>
    <row r="54">
      <c r="A54" s="78" t="inlineStr">
        <is>
          <t>command-and-control</t>
        </is>
      </c>
      <c r="B54" s="74" t="inlineStr">
        <is>
          <t>T1090</t>
        </is>
      </c>
      <c r="C54" s="74" t="inlineStr">
        <is>
          <t>T1090</t>
        </is>
      </c>
      <c r="D54" s="78" t="inlineStr">
        <is>
          <t>Proxy (T1090)</t>
        </is>
      </c>
    </row>
    <row r="55">
      <c r="A55" s="78" t="inlineStr">
        <is>
          <t>command-and-control</t>
        </is>
      </c>
      <c r="B55" s="74" t="inlineStr">
        <is>
          <t>T1090</t>
        </is>
      </c>
      <c r="C55" s="74" t="inlineStr">
        <is>
          <t>T1090.001</t>
        </is>
      </c>
      <c r="D55" s="78" t="inlineStr">
        <is>
          <t>Internal Proxy (T1090.001)</t>
        </is>
      </c>
    </row>
    <row r="56">
      <c r="A56" s="78" t="inlineStr">
        <is>
          <t>command-and-control</t>
        </is>
      </c>
      <c r="B56" s="74" t="inlineStr">
        <is>
          <t>T1090</t>
        </is>
      </c>
      <c r="C56" s="74" t="inlineStr">
        <is>
          <t>T1090.002</t>
        </is>
      </c>
      <c r="D56" s="78" t="inlineStr">
        <is>
          <t>External Proxy (T1090.002)</t>
        </is>
      </c>
    </row>
    <row r="57">
      <c r="A57" s="78" t="inlineStr">
        <is>
          <t>command-and-control</t>
        </is>
      </c>
      <c r="B57" s="74" t="inlineStr">
        <is>
          <t>T1090</t>
        </is>
      </c>
      <c r="C57" s="74" t="inlineStr">
        <is>
          <t>T1090.003</t>
        </is>
      </c>
      <c r="D57" s="78" t="inlineStr">
        <is>
          <t>Multi-hop Proxy (T1090.003)</t>
        </is>
      </c>
    </row>
    <row r="58">
      <c r="A58" s="78" t="inlineStr">
        <is>
          <t>command-and-control</t>
        </is>
      </c>
      <c r="B58" s="74" t="inlineStr">
        <is>
          <t>T1090</t>
        </is>
      </c>
      <c r="C58" s="74" t="inlineStr">
        <is>
          <t>T1090.004</t>
        </is>
      </c>
      <c r="D58" s="78" t="inlineStr">
        <is>
          <t>Domain Fronting (T1090.004)</t>
        </is>
      </c>
    </row>
    <row r="59">
      <c r="A59" s="78" t="inlineStr">
        <is>
          <t>command-and-control</t>
        </is>
      </c>
      <c r="B59" s="74" t="inlineStr">
        <is>
          <t>T1092</t>
        </is>
      </c>
      <c r="C59" s="74" t="inlineStr">
        <is>
          <t>T1092</t>
        </is>
      </c>
      <c r="D59" s="78" t="inlineStr">
        <is>
          <t>Communication Through Removable Media (T1092)</t>
        </is>
      </c>
    </row>
    <row r="60">
      <c r="A60" s="78" t="inlineStr">
        <is>
          <t>command-and-control</t>
        </is>
      </c>
      <c r="B60" s="74" t="inlineStr">
        <is>
          <t>T1095</t>
        </is>
      </c>
      <c r="C60" s="74" t="inlineStr">
        <is>
          <t>T1095</t>
        </is>
      </c>
      <c r="D60" s="78" t="inlineStr">
        <is>
          <t>Non-Application Layer Protocol (T1095)</t>
        </is>
      </c>
    </row>
    <row r="61">
      <c r="A61" s="78" t="inlineStr">
        <is>
          <t>command-and-control</t>
        </is>
      </c>
      <c r="B61" s="74" t="inlineStr">
        <is>
          <t>T1102</t>
        </is>
      </c>
      <c r="C61" s="74" t="inlineStr">
        <is>
          <t>T1102</t>
        </is>
      </c>
      <c r="D61" s="78" t="inlineStr">
        <is>
          <t>Web Service (T1102)</t>
        </is>
      </c>
    </row>
    <row r="62">
      <c r="A62" s="78" t="inlineStr">
        <is>
          <t>command-and-control</t>
        </is>
      </c>
      <c r="B62" s="74" t="inlineStr">
        <is>
          <t>T1102</t>
        </is>
      </c>
      <c r="C62" s="74" t="inlineStr">
        <is>
          <t>T1102.001</t>
        </is>
      </c>
      <c r="D62" s="78" t="inlineStr">
        <is>
          <t>Dead Drop Resolver (T1102.001)</t>
        </is>
      </c>
    </row>
    <row r="63">
      <c r="A63" s="78" t="inlineStr">
        <is>
          <t>command-and-control</t>
        </is>
      </c>
      <c r="B63" s="74" t="inlineStr">
        <is>
          <t>T1102</t>
        </is>
      </c>
      <c r="C63" s="74" t="inlineStr">
        <is>
          <t>T1102.002</t>
        </is>
      </c>
      <c r="D63" s="78" t="inlineStr">
        <is>
          <t>Bidirectional Communication (T1102.002)</t>
        </is>
      </c>
    </row>
    <row r="64">
      <c r="A64" s="78" t="inlineStr">
        <is>
          <t>command-and-control</t>
        </is>
      </c>
      <c r="B64" s="74" t="inlineStr">
        <is>
          <t>T1102</t>
        </is>
      </c>
      <c r="C64" s="74" t="inlineStr">
        <is>
          <t>T1102.003</t>
        </is>
      </c>
      <c r="D64" s="78" t="inlineStr">
        <is>
          <t>One-Way Communication (T1102.003)</t>
        </is>
      </c>
    </row>
    <row r="65">
      <c r="A65" s="78" t="inlineStr">
        <is>
          <t>command-and-control</t>
        </is>
      </c>
      <c r="B65" s="74" t="inlineStr">
        <is>
          <t>T1104</t>
        </is>
      </c>
      <c r="C65" s="74" t="inlineStr">
        <is>
          <t>T1104</t>
        </is>
      </c>
      <c r="D65" s="78" t="inlineStr">
        <is>
          <t>Multi-Stage Channels (T1104)</t>
        </is>
      </c>
    </row>
    <row r="66">
      <c r="A66" s="78" t="inlineStr">
        <is>
          <t>command-and-control</t>
        </is>
      </c>
      <c r="B66" s="74" t="inlineStr">
        <is>
          <t>T1105</t>
        </is>
      </c>
      <c r="C66" s="74" t="inlineStr">
        <is>
          <t>T1105</t>
        </is>
      </c>
      <c r="D66" s="78" t="inlineStr">
        <is>
          <t>Ingress Tool Transfer (T1105)</t>
        </is>
      </c>
    </row>
    <row r="67">
      <c r="A67" s="78" t="inlineStr">
        <is>
          <t>command-and-control</t>
        </is>
      </c>
      <c r="B67" s="74" t="inlineStr">
        <is>
          <t>T1132</t>
        </is>
      </c>
      <c r="C67" s="74" t="inlineStr">
        <is>
          <t>T1132</t>
        </is>
      </c>
      <c r="D67" s="78" t="inlineStr">
        <is>
          <t>Data Encoding (T1132)</t>
        </is>
      </c>
    </row>
    <row r="68">
      <c r="A68" s="78" t="inlineStr">
        <is>
          <t>command-and-control</t>
        </is>
      </c>
      <c r="B68" s="74" t="inlineStr">
        <is>
          <t>T1132</t>
        </is>
      </c>
      <c r="C68" s="74" t="inlineStr">
        <is>
          <t>T1132.001</t>
        </is>
      </c>
      <c r="D68" s="78" t="inlineStr">
        <is>
          <t>Standard Encoding (T1132.001)</t>
        </is>
      </c>
    </row>
    <row r="69">
      <c r="A69" s="78" t="inlineStr">
        <is>
          <t>command-and-control</t>
        </is>
      </c>
      <c r="B69" s="74" t="inlineStr">
        <is>
          <t>T1132</t>
        </is>
      </c>
      <c r="C69" s="74" t="inlineStr">
        <is>
          <t>T1132.002</t>
        </is>
      </c>
      <c r="D69" s="78" t="inlineStr">
        <is>
          <t>Non-Standard Encoding (T1132.002)</t>
        </is>
      </c>
    </row>
    <row r="70">
      <c r="A70" s="78" t="inlineStr">
        <is>
          <t>command-and-control</t>
        </is>
      </c>
      <c r="B70" s="74" t="inlineStr">
        <is>
          <t>T1205</t>
        </is>
      </c>
      <c r="C70" s="74" t="inlineStr">
        <is>
          <t>T1205</t>
        </is>
      </c>
      <c r="D70" s="78" t="inlineStr">
        <is>
          <t>Traffic Signaling (T1205)</t>
        </is>
      </c>
    </row>
    <row r="71">
      <c r="A71" s="78" t="inlineStr">
        <is>
          <t>command-and-control</t>
        </is>
      </c>
      <c r="B71" s="74" t="inlineStr">
        <is>
          <t>T1205</t>
        </is>
      </c>
      <c r="C71" s="74" t="inlineStr">
        <is>
          <t>T1205.001</t>
        </is>
      </c>
      <c r="D71" s="78" t="inlineStr">
        <is>
          <t>Port Knocking (T1205.001)</t>
        </is>
      </c>
    </row>
    <row r="72">
      <c r="A72" s="78" t="inlineStr">
        <is>
          <t>command-and-control</t>
        </is>
      </c>
      <c r="B72" s="74" t="inlineStr">
        <is>
          <t>T1205</t>
        </is>
      </c>
      <c r="C72" s="74" t="inlineStr">
        <is>
          <t>T1205.002</t>
        </is>
      </c>
      <c r="D72" s="78" t="inlineStr">
        <is>
          <t>Socket Filters (T1205.002)</t>
        </is>
      </c>
    </row>
    <row r="73">
      <c r="A73" s="78" t="inlineStr">
        <is>
          <t>command-and-control</t>
        </is>
      </c>
      <c r="B73" s="74" t="inlineStr">
        <is>
          <t>T1219</t>
        </is>
      </c>
      <c r="C73" s="74" t="inlineStr">
        <is>
          <t>T1219</t>
        </is>
      </c>
      <c r="D73" s="78" t="inlineStr">
        <is>
          <t>Remote Access Tools (T1219)</t>
        </is>
      </c>
    </row>
    <row r="74">
      <c r="A74" s="78" t="inlineStr">
        <is>
          <t>command-and-control</t>
        </is>
      </c>
      <c r="B74" s="74" t="inlineStr">
        <is>
          <t>T1219</t>
        </is>
      </c>
      <c r="C74" s="74" t="inlineStr">
        <is>
          <t>T1219.001</t>
        </is>
      </c>
      <c r="D74" s="78" t="inlineStr">
        <is>
          <t>IDE Tunneling (T1219.001)</t>
        </is>
      </c>
    </row>
    <row r="75">
      <c r="A75" s="78" t="inlineStr">
        <is>
          <t>command-and-control</t>
        </is>
      </c>
      <c r="B75" s="74" t="inlineStr">
        <is>
          <t>T1219</t>
        </is>
      </c>
      <c r="C75" s="74" t="inlineStr">
        <is>
          <t>T1219.002</t>
        </is>
      </c>
      <c r="D75" s="78" t="inlineStr">
        <is>
          <t>Remote Desktop Software (T1219.002)</t>
        </is>
      </c>
    </row>
    <row r="76">
      <c r="A76" s="78" t="inlineStr">
        <is>
          <t>command-and-control</t>
        </is>
      </c>
      <c r="B76" s="74" t="inlineStr">
        <is>
          <t>T1219</t>
        </is>
      </c>
      <c r="C76" s="74" t="inlineStr">
        <is>
          <t>T1219.003</t>
        </is>
      </c>
      <c r="D76" s="78" t="inlineStr">
        <is>
          <t>Remote Access Hardware (T1219.003)</t>
        </is>
      </c>
    </row>
    <row r="77">
      <c r="A77" s="78" t="inlineStr">
        <is>
          <t>command-and-control</t>
        </is>
      </c>
      <c r="B77" s="74" t="inlineStr">
        <is>
          <t>T1568</t>
        </is>
      </c>
      <c r="C77" s="74" t="inlineStr">
        <is>
          <t>T1568</t>
        </is>
      </c>
      <c r="D77" s="78" t="inlineStr">
        <is>
          <t>Dynamic Resolution (T1568)</t>
        </is>
      </c>
    </row>
    <row r="78">
      <c r="A78" s="78" t="inlineStr">
        <is>
          <t>command-and-control</t>
        </is>
      </c>
      <c r="B78" s="74" t="inlineStr">
        <is>
          <t>T1568</t>
        </is>
      </c>
      <c r="C78" s="74" t="inlineStr">
        <is>
          <t>T1568.001</t>
        </is>
      </c>
      <c r="D78" s="78" t="inlineStr">
        <is>
          <t>Fast Flux DNS (T1568.001)</t>
        </is>
      </c>
    </row>
    <row r="79">
      <c r="A79" s="78" t="inlineStr">
        <is>
          <t>command-and-control</t>
        </is>
      </c>
      <c r="B79" s="74" t="inlineStr">
        <is>
          <t>T1568</t>
        </is>
      </c>
      <c r="C79" s="74" t="inlineStr">
        <is>
          <t>T1568.002</t>
        </is>
      </c>
      <c r="D79" s="78" t="inlineStr">
        <is>
          <t>Domain Generation Algorithms (T1568.002)</t>
        </is>
      </c>
    </row>
    <row r="80">
      <c r="A80" s="78" t="inlineStr">
        <is>
          <t>command-and-control</t>
        </is>
      </c>
      <c r="B80" s="74" t="inlineStr">
        <is>
          <t>T1568</t>
        </is>
      </c>
      <c r="C80" s="74" t="inlineStr">
        <is>
          <t>T1568.003</t>
        </is>
      </c>
      <c r="D80" s="78" t="inlineStr">
        <is>
          <t>DNS Calculation (T1568.003)</t>
        </is>
      </c>
    </row>
    <row r="81">
      <c r="A81" s="78" t="inlineStr">
        <is>
          <t>command-and-control</t>
        </is>
      </c>
      <c r="B81" s="74" t="inlineStr">
        <is>
          <t>T1571</t>
        </is>
      </c>
      <c r="C81" s="74" t="inlineStr">
        <is>
          <t>T1571</t>
        </is>
      </c>
      <c r="D81" s="78" t="inlineStr">
        <is>
          <t>Non-Standard Port (T1571)</t>
        </is>
      </c>
    </row>
    <row r="82">
      <c r="A82" s="78" t="inlineStr">
        <is>
          <t>command-and-control</t>
        </is>
      </c>
      <c r="B82" s="74" t="inlineStr">
        <is>
          <t>T1572</t>
        </is>
      </c>
      <c r="C82" s="74" t="inlineStr">
        <is>
          <t>T1572</t>
        </is>
      </c>
      <c r="D82" s="78" t="inlineStr">
        <is>
          <t>Protocol Tunneling (T1572)</t>
        </is>
      </c>
    </row>
    <row r="83">
      <c r="A83" s="78" t="inlineStr">
        <is>
          <t>command-and-control</t>
        </is>
      </c>
      <c r="B83" s="74" t="inlineStr">
        <is>
          <t>T1573</t>
        </is>
      </c>
      <c r="C83" s="74" t="inlineStr">
        <is>
          <t>T1573</t>
        </is>
      </c>
      <c r="D83" s="78" t="inlineStr">
        <is>
          <t>Encrypted Channel (T1573)</t>
        </is>
      </c>
    </row>
    <row r="84">
      <c r="A84" s="78" t="inlineStr">
        <is>
          <t>command-and-control</t>
        </is>
      </c>
      <c r="B84" s="74" t="inlineStr">
        <is>
          <t>T1573</t>
        </is>
      </c>
      <c r="C84" s="74" t="inlineStr">
        <is>
          <t>T1573.001</t>
        </is>
      </c>
      <c r="D84" s="78" t="inlineStr">
        <is>
          <t>Symmetric Cryptography (T1573.001)</t>
        </is>
      </c>
    </row>
    <row r="85">
      <c r="A85" s="78" t="inlineStr">
        <is>
          <t>command-and-control</t>
        </is>
      </c>
      <c r="B85" s="74" t="inlineStr">
        <is>
          <t>T1573</t>
        </is>
      </c>
      <c r="C85" s="74" t="inlineStr">
        <is>
          <t>T1573.002</t>
        </is>
      </c>
      <c r="D85" s="78" t="inlineStr">
        <is>
          <t>Asymmetric Cryptography (T1573.002)</t>
        </is>
      </c>
    </row>
    <row r="86">
      <c r="A86" s="78" t="inlineStr">
        <is>
          <t>command-and-control</t>
        </is>
      </c>
      <c r="B86" s="74" t="inlineStr">
        <is>
          <t>T1659</t>
        </is>
      </c>
      <c r="C86" s="74" t="inlineStr">
        <is>
          <t>T1659</t>
        </is>
      </c>
      <c r="D86" s="78" t="inlineStr">
        <is>
          <t>Content Injection (T1659)</t>
        </is>
      </c>
    </row>
    <row r="87">
      <c r="A87" s="78" t="inlineStr">
        <is>
          <t>command-and-control</t>
        </is>
      </c>
      <c r="B87" s="74" t="inlineStr">
        <is>
          <t>T1665</t>
        </is>
      </c>
      <c r="C87" s="74" t="inlineStr">
        <is>
          <t>T1665</t>
        </is>
      </c>
      <c r="D87" s="78" t="inlineStr">
        <is>
          <t>Hide Infrastructure (T1665)</t>
        </is>
      </c>
    </row>
    <row r="88">
      <c r="A88" s="78" t="inlineStr">
        <is>
          <t>credential-access</t>
        </is>
      </c>
      <c r="B88" s="74" t="inlineStr">
        <is>
          <t>T1003</t>
        </is>
      </c>
      <c r="C88" s="74" t="inlineStr">
        <is>
          <t>T1003</t>
        </is>
      </c>
      <c r="D88" s="78" t="inlineStr">
        <is>
          <t>OS Credential Dumping (T1003)</t>
        </is>
      </c>
    </row>
    <row r="89">
      <c r="A89" s="78" t="inlineStr">
        <is>
          <t>credential-access</t>
        </is>
      </c>
      <c r="B89" s="74" t="inlineStr">
        <is>
          <t>T1003</t>
        </is>
      </c>
      <c r="C89" s="74" t="inlineStr">
        <is>
          <t>T1003.001</t>
        </is>
      </c>
      <c r="D89" s="78" t="inlineStr">
        <is>
          <t>LSASS Memory (T1003.001)</t>
        </is>
      </c>
    </row>
    <row r="90">
      <c r="A90" s="78" t="inlineStr">
        <is>
          <t>credential-access</t>
        </is>
      </c>
      <c r="B90" s="74" t="inlineStr">
        <is>
          <t>T1003</t>
        </is>
      </c>
      <c r="C90" s="74" t="inlineStr">
        <is>
          <t>T1003.002</t>
        </is>
      </c>
      <c r="D90" s="78" t="inlineStr">
        <is>
          <t>Security Account Manager (T1003.002)</t>
        </is>
      </c>
    </row>
    <row r="91">
      <c r="A91" s="78" t="inlineStr">
        <is>
          <t>credential-access</t>
        </is>
      </c>
      <c r="B91" s="74" t="inlineStr">
        <is>
          <t>T1003</t>
        </is>
      </c>
      <c r="C91" s="74" t="inlineStr">
        <is>
          <t>T1003.003</t>
        </is>
      </c>
      <c r="D91" s="78" t="inlineStr">
        <is>
          <t>NTDS (T1003.003)</t>
        </is>
      </c>
    </row>
    <row r="92">
      <c r="A92" s="78" t="inlineStr">
        <is>
          <t>credential-access</t>
        </is>
      </c>
      <c r="B92" s="74" t="inlineStr">
        <is>
          <t>T1003</t>
        </is>
      </c>
      <c r="C92" s="74" t="inlineStr">
        <is>
          <t>T1003.004</t>
        </is>
      </c>
      <c r="D92" s="78" t="inlineStr">
        <is>
          <t>LSA Secrets (T1003.004)</t>
        </is>
      </c>
    </row>
    <row r="93">
      <c r="A93" s="78" t="inlineStr">
        <is>
          <t>credential-access</t>
        </is>
      </c>
      <c r="B93" s="74" t="inlineStr">
        <is>
          <t>T1003</t>
        </is>
      </c>
      <c r="C93" s="74" t="inlineStr">
        <is>
          <t>T1003.005</t>
        </is>
      </c>
      <c r="D93" s="78" t="inlineStr">
        <is>
          <t>Cached Domain Credentials (T1003.005)</t>
        </is>
      </c>
    </row>
    <row r="94">
      <c r="A94" s="78" t="inlineStr">
        <is>
          <t>credential-access</t>
        </is>
      </c>
      <c r="B94" s="74" t="inlineStr">
        <is>
          <t>T1003</t>
        </is>
      </c>
      <c r="C94" s="74" t="inlineStr">
        <is>
          <t>T1003.006</t>
        </is>
      </c>
      <c r="D94" s="78" t="inlineStr">
        <is>
          <t>DCSync (T1003.006)</t>
        </is>
      </c>
    </row>
    <row r="95">
      <c r="A95" s="78" t="inlineStr">
        <is>
          <t>credential-access</t>
        </is>
      </c>
      <c r="B95" s="74" t="inlineStr">
        <is>
          <t>T1003</t>
        </is>
      </c>
      <c r="C95" s="74" t="inlineStr">
        <is>
          <t>T1003.007</t>
        </is>
      </c>
      <c r="D95" s="78" t="inlineStr">
        <is>
          <t>Proc Filesystem (T1003.007)</t>
        </is>
      </c>
    </row>
    <row r="96">
      <c r="A96" s="78" t="inlineStr">
        <is>
          <t>credential-access</t>
        </is>
      </c>
      <c r="B96" s="74" t="inlineStr">
        <is>
          <t>T1003</t>
        </is>
      </c>
      <c r="C96" s="74" t="inlineStr">
        <is>
          <t>T1003.008</t>
        </is>
      </c>
      <c r="D96" s="78" t="inlineStr">
        <is>
          <t>/etc/passwd and /etc/shadow (T1003.008)</t>
        </is>
      </c>
    </row>
    <row r="97">
      <c r="A97" s="78" t="inlineStr">
        <is>
          <t>credential-access</t>
        </is>
      </c>
      <c r="B97" s="74" t="inlineStr">
        <is>
          <t>T1040</t>
        </is>
      </c>
      <c r="C97" s="74" t="inlineStr">
        <is>
          <t>T1040</t>
        </is>
      </c>
      <c r="D97" s="78" t="inlineStr">
        <is>
          <t>Network Sniffing (T1040)</t>
        </is>
      </c>
    </row>
    <row r="98">
      <c r="A98" s="78" t="inlineStr">
        <is>
          <t>credential-access</t>
        </is>
      </c>
      <c r="B98" s="74" t="inlineStr">
        <is>
          <t>T1056</t>
        </is>
      </c>
      <c r="C98" s="74" t="inlineStr">
        <is>
          <t>T1056</t>
        </is>
      </c>
      <c r="D98" s="78" t="inlineStr">
        <is>
          <t>Input Capture (T1056)</t>
        </is>
      </c>
    </row>
    <row r="99">
      <c r="A99" s="78" t="inlineStr">
        <is>
          <t>credential-access</t>
        </is>
      </c>
      <c r="B99" s="74" t="inlineStr">
        <is>
          <t>T1056</t>
        </is>
      </c>
      <c r="C99" s="74" t="inlineStr">
        <is>
          <t>T1056.001</t>
        </is>
      </c>
      <c r="D99" s="78" t="inlineStr">
        <is>
          <t>Keylogging (T1056.001)</t>
        </is>
      </c>
    </row>
    <row r="100">
      <c r="A100" s="78" t="inlineStr">
        <is>
          <t>credential-access</t>
        </is>
      </c>
      <c r="B100" s="74" t="inlineStr">
        <is>
          <t>T1056</t>
        </is>
      </c>
      <c r="C100" s="74" t="inlineStr">
        <is>
          <t>T1056.002</t>
        </is>
      </c>
      <c r="D100" s="78" t="inlineStr">
        <is>
          <t>GUI Input Capture (T1056.002)</t>
        </is>
      </c>
    </row>
    <row r="101">
      <c r="A101" s="78" t="inlineStr">
        <is>
          <t>credential-access</t>
        </is>
      </c>
      <c r="B101" s="74" t="inlineStr">
        <is>
          <t>T1056</t>
        </is>
      </c>
      <c r="C101" s="74" t="inlineStr">
        <is>
          <t>T1056.003</t>
        </is>
      </c>
      <c r="D101" s="78" t="inlineStr">
        <is>
          <t>Web Portal Capture (T1056.003)</t>
        </is>
      </c>
    </row>
    <row r="102">
      <c r="A102" s="78" t="inlineStr">
        <is>
          <t>credential-access</t>
        </is>
      </c>
      <c r="B102" s="74" t="inlineStr">
        <is>
          <t>T1056</t>
        </is>
      </c>
      <c r="C102" s="74" t="inlineStr">
        <is>
          <t>T1056.004</t>
        </is>
      </c>
      <c r="D102" s="78" t="inlineStr">
        <is>
          <t>Credential API Hooking (T1056.004)</t>
        </is>
      </c>
    </row>
    <row r="103">
      <c r="A103" s="78" t="inlineStr">
        <is>
          <t>credential-access</t>
        </is>
      </c>
      <c r="B103" s="74" t="inlineStr">
        <is>
          <t>T1110</t>
        </is>
      </c>
      <c r="C103" s="74" t="inlineStr">
        <is>
          <t>T1110</t>
        </is>
      </c>
      <c r="D103" s="78" t="inlineStr">
        <is>
          <t>Brute Force (T1110)</t>
        </is>
      </c>
    </row>
    <row r="104">
      <c r="A104" s="78" t="inlineStr">
        <is>
          <t>credential-access</t>
        </is>
      </c>
      <c r="B104" s="74" t="inlineStr">
        <is>
          <t>T1110</t>
        </is>
      </c>
      <c r="C104" s="74" t="inlineStr">
        <is>
          <t>T1110.001</t>
        </is>
      </c>
      <c r="D104" s="78" t="inlineStr">
        <is>
          <t>Password Guessing (T1110.001)</t>
        </is>
      </c>
    </row>
    <row r="105">
      <c r="A105" s="78" t="inlineStr">
        <is>
          <t>credential-access</t>
        </is>
      </c>
      <c r="B105" s="74" t="inlineStr">
        <is>
          <t>T1110</t>
        </is>
      </c>
      <c r="C105" s="74" t="inlineStr">
        <is>
          <t>T1110.002</t>
        </is>
      </c>
      <c r="D105" s="78" t="inlineStr">
        <is>
          <t>Password Cracking (T1110.002)</t>
        </is>
      </c>
    </row>
    <row r="106">
      <c r="A106" s="78" t="inlineStr">
        <is>
          <t>credential-access</t>
        </is>
      </c>
      <c r="B106" s="74" t="inlineStr">
        <is>
          <t>T1110</t>
        </is>
      </c>
      <c r="C106" s="74" t="inlineStr">
        <is>
          <t>T1110.003</t>
        </is>
      </c>
      <c r="D106" s="78" t="inlineStr">
        <is>
          <t>Password Spraying (T1110.003)</t>
        </is>
      </c>
    </row>
    <row r="107">
      <c r="A107" s="78" t="inlineStr">
        <is>
          <t>credential-access</t>
        </is>
      </c>
      <c r="B107" s="74" t="inlineStr">
        <is>
          <t>T1110</t>
        </is>
      </c>
      <c r="C107" s="74" t="inlineStr">
        <is>
          <t>T1110.004</t>
        </is>
      </c>
      <c r="D107" s="78" t="inlineStr">
        <is>
          <t>Credential Stuffing (T1110.004)</t>
        </is>
      </c>
    </row>
    <row r="108">
      <c r="A108" s="78" t="inlineStr">
        <is>
          <t>credential-access</t>
        </is>
      </c>
      <c r="B108" s="74" t="inlineStr">
        <is>
          <t>T1111</t>
        </is>
      </c>
      <c r="C108" s="74" t="inlineStr">
        <is>
          <t>T1111</t>
        </is>
      </c>
      <c r="D108" s="78" t="inlineStr">
        <is>
          <t>Multi-Factor Authentication Interception (T1111)</t>
        </is>
      </c>
    </row>
    <row r="109">
      <c r="A109" s="78" t="inlineStr">
        <is>
          <t>credential-access</t>
        </is>
      </c>
      <c r="B109" s="74" t="inlineStr">
        <is>
          <t>T1187</t>
        </is>
      </c>
      <c r="C109" s="74" t="inlineStr">
        <is>
          <t>T1187</t>
        </is>
      </c>
      <c r="D109" s="78" t="inlineStr">
        <is>
          <t>Forced Authentication (T1187)</t>
        </is>
      </c>
    </row>
    <row r="110">
      <c r="A110" s="78" t="inlineStr">
        <is>
          <t>credential-access</t>
        </is>
      </c>
      <c r="B110" s="74" t="inlineStr">
        <is>
          <t>T1212</t>
        </is>
      </c>
      <c r="C110" s="74" t="inlineStr">
        <is>
          <t>T1212</t>
        </is>
      </c>
      <c r="D110" s="78" t="inlineStr">
        <is>
          <t>Exploitation for Credential Access (T1212)</t>
        </is>
      </c>
    </row>
    <row r="111">
      <c r="A111" s="78" t="inlineStr">
        <is>
          <t>credential-access</t>
        </is>
      </c>
      <c r="B111" s="74" t="inlineStr">
        <is>
          <t>T1528</t>
        </is>
      </c>
      <c r="C111" s="74" t="inlineStr">
        <is>
          <t>T1528</t>
        </is>
      </c>
      <c r="D111" s="78" t="inlineStr">
        <is>
          <t>Steal Application Access Token (T1528)</t>
        </is>
      </c>
    </row>
    <row r="112">
      <c r="A112" s="78" t="inlineStr">
        <is>
          <t>credential-access</t>
        </is>
      </c>
      <c r="B112" s="74" t="inlineStr">
        <is>
          <t>T1539</t>
        </is>
      </c>
      <c r="C112" s="74" t="inlineStr">
        <is>
          <t>T1539</t>
        </is>
      </c>
      <c r="D112" s="78" t="inlineStr">
        <is>
          <t>Steal Web Session Cookie (T1539)</t>
        </is>
      </c>
    </row>
    <row r="113">
      <c r="A113" s="78" t="inlineStr">
        <is>
          <t>credential-access</t>
        </is>
      </c>
      <c r="B113" s="74" t="inlineStr">
        <is>
          <t>T1552</t>
        </is>
      </c>
      <c r="C113" s="74" t="inlineStr">
        <is>
          <t>T1552</t>
        </is>
      </c>
      <c r="D113" s="78" t="inlineStr">
        <is>
          <t>Unsecured Credentials (T1552)</t>
        </is>
      </c>
    </row>
    <row r="114">
      <c r="A114" s="78" t="inlineStr">
        <is>
          <t>credential-access</t>
        </is>
      </c>
      <c r="B114" s="74" t="inlineStr">
        <is>
          <t>T1552</t>
        </is>
      </c>
      <c r="C114" s="74" t="inlineStr">
        <is>
          <t>T1552.001</t>
        </is>
      </c>
      <c r="D114" s="78" t="inlineStr">
        <is>
          <t>Credentials In Files (T1552.001)</t>
        </is>
      </c>
    </row>
    <row r="115">
      <c r="A115" s="78" t="inlineStr">
        <is>
          <t>credential-access</t>
        </is>
      </c>
      <c r="B115" s="74" t="inlineStr">
        <is>
          <t>T1552</t>
        </is>
      </c>
      <c r="C115" s="74" t="inlineStr">
        <is>
          <t>T1552.002</t>
        </is>
      </c>
      <c r="D115" s="78" t="inlineStr">
        <is>
          <t>Credentials in Registry (T1552.002)</t>
        </is>
      </c>
    </row>
    <row r="116">
      <c r="A116" s="78" t="inlineStr">
        <is>
          <t>credential-access</t>
        </is>
      </c>
      <c r="B116" s="74" t="inlineStr">
        <is>
          <t>T1552</t>
        </is>
      </c>
      <c r="C116" s="74" t="inlineStr">
        <is>
          <t>T1552.003</t>
        </is>
      </c>
      <c r="D116" s="78" t="inlineStr">
        <is>
          <t>Shell History (T1552.003)</t>
        </is>
      </c>
    </row>
    <row r="117">
      <c r="A117" s="78" t="inlineStr">
        <is>
          <t>credential-access</t>
        </is>
      </c>
      <c r="B117" s="74" t="inlineStr">
        <is>
          <t>T1552</t>
        </is>
      </c>
      <c r="C117" s="74" t="inlineStr">
        <is>
          <t>T1552.004</t>
        </is>
      </c>
      <c r="D117" s="78" t="inlineStr">
        <is>
          <t>Private Keys (T1552.004)</t>
        </is>
      </c>
    </row>
    <row r="118">
      <c r="A118" s="78" t="inlineStr">
        <is>
          <t>credential-access</t>
        </is>
      </c>
      <c r="B118" s="74" t="inlineStr">
        <is>
          <t>T1552</t>
        </is>
      </c>
      <c r="C118" s="74" t="inlineStr">
        <is>
          <t>T1552.005</t>
        </is>
      </c>
      <c r="D118" s="78" t="inlineStr">
        <is>
          <t>Cloud Instance Metadata API (T1552.005)</t>
        </is>
      </c>
    </row>
    <row r="119">
      <c r="A119" s="78" t="inlineStr">
        <is>
          <t>credential-access</t>
        </is>
      </c>
      <c r="B119" s="74" t="inlineStr">
        <is>
          <t>T1552</t>
        </is>
      </c>
      <c r="C119" s="74" t="inlineStr">
        <is>
          <t>T1552.006</t>
        </is>
      </c>
      <c r="D119" s="78" t="inlineStr">
        <is>
          <t>Group Policy Preferences (T1552.006)</t>
        </is>
      </c>
    </row>
    <row r="120">
      <c r="A120" s="78" t="inlineStr">
        <is>
          <t>credential-access</t>
        </is>
      </c>
      <c r="B120" s="74" t="inlineStr">
        <is>
          <t>T1552</t>
        </is>
      </c>
      <c r="C120" s="74" t="inlineStr">
        <is>
          <t>T1552.007</t>
        </is>
      </c>
      <c r="D120" s="78" t="inlineStr">
        <is>
          <t>Container API (T1552.007)</t>
        </is>
      </c>
    </row>
    <row r="121">
      <c r="A121" s="78" t="inlineStr">
        <is>
          <t>credential-access</t>
        </is>
      </c>
      <c r="B121" s="74" t="inlineStr">
        <is>
          <t>T1552</t>
        </is>
      </c>
      <c r="C121" s="74" t="inlineStr">
        <is>
          <t>T1552.008</t>
        </is>
      </c>
      <c r="D121" s="78" t="inlineStr">
        <is>
          <t>Chat Messages (T1552.008)</t>
        </is>
      </c>
    </row>
    <row r="122">
      <c r="A122" s="78" t="inlineStr">
        <is>
          <t>credential-access</t>
        </is>
      </c>
      <c r="B122" s="74" t="inlineStr">
        <is>
          <t>T1555</t>
        </is>
      </c>
      <c r="C122" s="74" t="inlineStr">
        <is>
          <t>T1555</t>
        </is>
      </c>
      <c r="D122" s="78" t="inlineStr">
        <is>
          <t>Credentials from Password Stores (T1555)</t>
        </is>
      </c>
    </row>
    <row r="123">
      <c r="A123" s="78" t="inlineStr">
        <is>
          <t>credential-access</t>
        </is>
      </c>
      <c r="B123" s="74" t="inlineStr">
        <is>
          <t>T1555</t>
        </is>
      </c>
      <c r="C123" s="74" t="inlineStr">
        <is>
          <t>T1555.001</t>
        </is>
      </c>
      <c r="D123" s="78" t="inlineStr">
        <is>
          <t>Keychain (T1555.001)</t>
        </is>
      </c>
    </row>
    <row r="124">
      <c r="A124" s="78" t="inlineStr">
        <is>
          <t>credential-access</t>
        </is>
      </c>
      <c r="B124" s="74" t="inlineStr">
        <is>
          <t>T1555</t>
        </is>
      </c>
      <c r="C124" s="74" t="inlineStr">
        <is>
          <t>T1555.002</t>
        </is>
      </c>
      <c r="D124" s="78" t="inlineStr">
        <is>
          <t>Securityd Memory (T1555.002)</t>
        </is>
      </c>
    </row>
    <row r="125">
      <c r="A125" s="78" t="inlineStr">
        <is>
          <t>credential-access</t>
        </is>
      </c>
      <c r="B125" s="74" t="inlineStr">
        <is>
          <t>T1555</t>
        </is>
      </c>
      <c r="C125" s="74" t="inlineStr">
        <is>
          <t>T1555.003</t>
        </is>
      </c>
      <c r="D125" s="78" t="inlineStr">
        <is>
          <t>Credentials from Web Browsers (T1555.003)</t>
        </is>
      </c>
    </row>
    <row r="126">
      <c r="A126" s="78" t="inlineStr">
        <is>
          <t>credential-access</t>
        </is>
      </c>
      <c r="B126" s="74" t="inlineStr">
        <is>
          <t>T1555</t>
        </is>
      </c>
      <c r="C126" s="74" t="inlineStr">
        <is>
          <t>T1555.004</t>
        </is>
      </c>
      <c r="D126" s="78" t="inlineStr">
        <is>
          <t>Windows Credential Manager (T1555.004)</t>
        </is>
      </c>
    </row>
    <row r="127">
      <c r="A127" s="78" t="inlineStr">
        <is>
          <t>credential-access</t>
        </is>
      </c>
      <c r="B127" s="74" t="inlineStr">
        <is>
          <t>T1555</t>
        </is>
      </c>
      <c r="C127" s="74" t="inlineStr">
        <is>
          <t>T1555.005</t>
        </is>
      </c>
      <c r="D127" s="78" t="inlineStr">
        <is>
          <t>Password Managers (T1555.005)</t>
        </is>
      </c>
    </row>
    <row r="128">
      <c r="A128" s="78" t="inlineStr">
        <is>
          <t>credential-access</t>
        </is>
      </c>
      <c r="B128" s="74" t="inlineStr">
        <is>
          <t>T1555</t>
        </is>
      </c>
      <c r="C128" s="74" t="inlineStr">
        <is>
          <t>T1555.006</t>
        </is>
      </c>
      <c r="D128" s="78" t="inlineStr">
        <is>
          <t>Cloud Secrets Management Stores (T1555.006)</t>
        </is>
      </c>
    </row>
    <row r="129">
      <c r="A129" s="78" t="inlineStr">
        <is>
          <t>credential-access</t>
        </is>
      </c>
      <c r="B129" s="74" t="inlineStr">
        <is>
          <t>T1556</t>
        </is>
      </c>
      <c r="C129" s="74" t="inlineStr">
        <is>
          <t>T1556</t>
        </is>
      </c>
      <c r="D129" s="78" t="inlineStr">
        <is>
          <t>Modify Authentication Process (T1556)</t>
        </is>
      </c>
    </row>
    <row r="130">
      <c r="A130" s="78" t="inlineStr">
        <is>
          <t>credential-access</t>
        </is>
      </c>
      <c r="B130" s="74" t="inlineStr">
        <is>
          <t>T1556</t>
        </is>
      </c>
      <c r="C130" s="74" t="inlineStr">
        <is>
          <t>T1556.001</t>
        </is>
      </c>
      <c r="D130" s="78" t="inlineStr">
        <is>
          <t>Domain Controller Authentication (T1556.001)</t>
        </is>
      </c>
    </row>
    <row r="131">
      <c r="A131" s="78" t="inlineStr">
        <is>
          <t>credential-access</t>
        </is>
      </c>
      <c r="B131" s="74" t="inlineStr">
        <is>
          <t>T1556</t>
        </is>
      </c>
      <c r="C131" s="74" t="inlineStr">
        <is>
          <t>T1556.002</t>
        </is>
      </c>
      <c r="D131" s="78" t="inlineStr">
        <is>
          <t>Password Filter DLL (T1556.002)</t>
        </is>
      </c>
    </row>
    <row r="132">
      <c r="A132" s="78" t="inlineStr">
        <is>
          <t>credential-access</t>
        </is>
      </c>
      <c r="B132" s="74" t="inlineStr">
        <is>
          <t>T1556</t>
        </is>
      </c>
      <c r="C132" s="74" t="inlineStr">
        <is>
          <t>T1556.003</t>
        </is>
      </c>
      <c r="D132" s="78" t="inlineStr">
        <is>
          <t>Pluggable Authentication Modules (T1556.003)</t>
        </is>
      </c>
    </row>
    <row r="133">
      <c r="A133" s="78" t="inlineStr">
        <is>
          <t>credential-access</t>
        </is>
      </c>
      <c r="B133" s="74" t="inlineStr">
        <is>
          <t>T1556</t>
        </is>
      </c>
      <c r="C133" s="74" t="inlineStr">
        <is>
          <t>T1556.004</t>
        </is>
      </c>
      <c r="D133" s="78" t="inlineStr">
        <is>
          <t>Network Device Authentication (T1556.004)</t>
        </is>
      </c>
    </row>
    <row r="134">
      <c r="A134" s="78" t="inlineStr">
        <is>
          <t>credential-access</t>
        </is>
      </c>
      <c r="B134" s="74" t="inlineStr">
        <is>
          <t>T1556</t>
        </is>
      </c>
      <c r="C134" s="74" t="inlineStr">
        <is>
          <t>T1556.005</t>
        </is>
      </c>
      <c r="D134" s="78" t="inlineStr">
        <is>
          <t>Reversible Encryption (T1556.005)</t>
        </is>
      </c>
    </row>
    <row r="135">
      <c r="A135" s="78" t="inlineStr">
        <is>
          <t>credential-access</t>
        </is>
      </c>
      <c r="B135" s="74" t="inlineStr">
        <is>
          <t>T1556</t>
        </is>
      </c>
      <c r="C135" s="74" t="inlineStr">
        <is>
          <t>T1556.006</t>
        </is>
      </c>
      <c r="D135" s="78" t="inlineStr">
        <is>
          <t>Multi-Factor Authentication (T1556.006)</t>
        </is>
      </c>
    </row>
    <row r="136">
      <c r="A136" s="78" t="inlineStr">
        <is>
          <t>credential-access</t>
        </is>
      </c>
      <c r="B136" s="74" t="inlineStr">
        <is>
          <t>T1556</t>
        </is>
      </c>
      <c r="C136" s="74" t="inlineStr">
        <is>
          <t>T1556.007</t>
        </is>
      </c>
      <c r="D136" s="78" t="inlineStr">
        <is>
          <t>Hybrid Identity (T1556.007)</t>
        </is>
      </c>
    </row>
    <row r="137">
      <c r="A137" s="78" t="inlineStr">
        <is>
          <t>credential-access</t>
        </is>
      </c>
      <c r="B137" s="74" t="inlineStr">
        <is>
          <t>T1556</t>
        </is>
      </c>
      <c r="C137" s="74" t="inlineStr">
        <is>
          <t>T1556.008</t>
        </is>
      </c>
      <c r="D137" s="78" t="inlineStr">
        <is>
          <t>Network Provider DLL (T1556.008)</t>
        </is>
      </c>
    </row>
    <row r="138">
      <c r="A138" s="78" t="inlineStr">
        <is>
          <t>credential-access</t>
        </is>
      </c>
      <c r="B138" s="74" t="inlineStr">
        <is>
          <t>T1556</t>
        </is>
      </c>
      <c r="C138" s="74" t="inlineStr">
        <is>
          <t>T1556.009</t>
        </is>
      </c>
      <c r="D138" s="78" t="inlineStr">
        <is>
          <t>Conditional Access Policies (T1556.009)</t>
        </is>
      </c>
    </row>
    <row r="139">
      <c r="A139" s="78" t="inlineStr">
        <is>
          <t>credential-access</t>
        </is>
      </c>
      <c r="B139" s="74" t="inlineStr">
        <is>
          <t>T1557</t>
        </is>
      </c>
      <c r="C139" s="74" t="inlineStr">
        <is>
          <t>T1557</t>
        </is>
      </c>
      <c r="D139" s="78" t="inlineStr">
        <is>
          <t>Adversary-in-the-Middle (T1557)</t>
        </is>
      </c>
    </row>
    <row r="140">
      <c r="A140" s="78" t="inlineStr">
        <is>
          <t>credential-access</t>
        </is>
      </c>
      <c r="B140" s="74" t="inlineStr">
        <is>
          <t>T1557</t>
        </is>
      </c>
      <c r="C140" s="74" t="inlineStr">
        <is>
          <t>T1557.001</t>
        </is>
      </c>
      <c r="D140" s="78" t="inlineStr">
        <is>
          <t>Name Resolution Poisoning and SMB Relay (T1557.001)</t>
        </is>
      </c>
    </row>
    <row r="141">
      <c r="A141" s="78" t="inlineStr">
        <is>
          <t>credential-access</t>
        </is>
      </c>
      <c r="B141" s="74" t="inlineStr">
        <is>
          <t>T1557</t>
        </is>
      </c>
      <c r="C141" s="74" t="inlineStr">
        <is>
          <t>T1557.002</t>
        </is>
      </c>
      <c r="D141" s="78" t="inlineStr">
        <is>
          <t>ARP Cache Poisoning (T1557.002)</t>
        </is>
      </c>
    </row>
    <row r="142">
      <c r="A142" s="78" t="inlineStr">
        <is>
          <t>credential-access</t>
        </is>
      </c>
      <c r="B142" s="74" t="inlineStr">
        <is>
          <t>T1557</t>
        </is>
      </c>
      <c r="C142" s="74" t="inlineStr">
        <is>
          <t>T1557.003</t>
        </is>
      </c>
      <c r="D142" s="78" t="inlineStr">
        <is>
          <t>DHCP Spoofing (T1557.003)</t>
        </is>
      </c>
    </row>
    <row r="143">
      <c r="A143" s="78" t="inlineStr">
        <is>
          <t>credential-access</t>
        </is>
      </c>
      <c r="B143" s="74" t="inlineStr">
        <is>
          <t>T1557</t>
        </is>
      </c>
      <c r="C143" s="74" t="inlineStr">
        <is>
          <t>T1557.004</t>
        </is>
      </c>
      <c r="D143" s="78" t="inlineStr">
        <is>
          <t>Evil Twin (T1557.004)</t>
        </is>
      </c>
    </row>
    <row r="144">
      <c r="A144" s="78" t="inlineStr">
        <is>
          <t>credential-access</t>
        </is>
      </c>
      <c r="B144" s="74" t="inlineStr">
        <is>
          <t>T1558</t>
        </is>
      </c>
      <c r="C144" s="74" t="inlineStr">
        <is>
          <t>T1558</t>
        </is>
      </c>
      <c r="D144" s="78" t="inlineStr">
        <is>
          <t>Steal or Forge Kerberos Tickets (T1558)</t>
        </is>
      </c>
    </row>
    <row r="145">
      <c r="A145" s="78" t="inlineStr">
        <is>
          <t>credential-access</t>
        </is>
      </c>
      <c r="B145" s="74" t="inlineStr">
        <is>
          <t>T1558</t>
        </is>
      </c>
      <c r="C145" s="74" t="inlineStr">
        <is>
          <t>T1558.001</t>
        </is>
      </c>
      <c r="D145" s="78" t="inlineStr">
        <is>
          <t>Golden Ticket (T1558.001)</t>
        </is>
      </c>
    </row>
    <row r="146">
      <c r="A146" s="78" t="inlineStr">
        <is>
          <t>credential-access</t>
        </is>
      </c>
      <c r="B146" s="74" t="inlineStr">
        <is>
          <t>T1558</t>
        </is>
      </c>
      <c r="C146" s="74" t="inlineStr">
        <is>
          <t>T1558.002</t>
        </is>
      </c>
      <c r="D146" s="78" t="inlineStr">
        <is>
          <t>Silver Ticket (T1558.002)</t>
        </is>
      </c>
    </row>
    <row r="147">
      <c r="A147" s="78" t="inlineStr">
        <is>
          <t>credential-access</t>
        </is>
      </c>
      <c r="B147" s="74" t="inlineStr">
        <is>
          <t>T1558</t>
        </is>
      </c>
      <c r="C147" s="74" t="inlineStr">
        <is>
          <t>T1558.003</t>
        </is>
      </c>
      <c r="D147" s="78" t="inlineStr">
        <is>
          <t>Kerberoasting (T1558.003)</t>
        </is>
      </c>
    </row>
    <row r="148">
      <c r="A148" s="78" t="inlineStr">
        <is>
          <t>credential-access</t>
        </is>
      </c>
      <c r="B148" s="74" t="inlineStr">
        <is>
          <t>T1558</t>
        </is>
      </c>
      <c r="C148" s="74" t="inlineStr">
        <is>
          <t>T1558.004</t>
        </is>
      </c>
      <c r="D148" s="78" t="inlineStr">
        <is>
          <t>AS-REP Roasting (T1558.004)</t>
        </is>
      </c>
    </row>
    <row r="149">
      <c r="A149" s="78" t="inlineStr">
        <is>
          <t>credential-access</t>
        </is>
      </c>
      <c r="B149" s="74" t="inlineStr">
        <is>
          <t>T1558</t>
        </is>
      </c>
      <c r="C149" s="74" t="inlineStr">
        <is>
          <t>T1558.005</t>
        </is>
      </c>
      <c r="D149" s="78" t="inlineStr">
        <is>
          <t>Ccache Files (T1558.005)</t>
        </is>
      </c>
    </row>
    <row r="150">
      <c r="A150" s="78" t="inlineStr">
        <is>
          <t>credential-access</t>
        </is>
      </c>
      <c r="B150" s="74" t="inlineStr">
        <is>
          <t>T1606</t>
        </is>
      </c>
      <c r="C150" s="74" t="inlineStr">
        <is>
          <t>T1606</t>
        </is>
      </c>
      <c r="D150" s="78" t="inlineStr">
        <is>
          <t>Forge Web Credentials (T1606)</t>
        </is>
      </c>
    </row>
    <row r="151">
      <c r="A151" s="78" t="inlineStr">
        <is>
          <t>credential-access</t>
        </is>
      </c>
      <c r="B151" s="74" t="inlineStr">
        <is>
          <t>T1606</t>
        </is>
      </c>
      <c r="C151" s="74" t="inlineStr">
        <is>
          <t>T1606.001</t>
        </is>
      </c>
      <c r="D151" s="78" t="inlineStr">
        <is>
          <t>Web Cookies (T1606.001)</t>
        </is>
      </c>
    </row>
    <row r="152">
      <c r="A152" s="78" t="inlineStr">
        <is>
          <t>credential-access</t>
        </is>
      </c>
      <c r="B152" s="74" t="inlineStr">
        <is>
          <t>T1606</t>
        </is>
      </c>
      <c r="C152" s="74" t="inlineStr">
        <is>
          <t>T1606.002</t>
        </is>
      </c>
      <c r="D152" s="78" t="inlineStr">
        <is>
          <t>SAML Tokens (T1606.002)</t>
        </is>
      </c>
    </row>
    <row r="153">
      <c r="A153" s="78" t="inlineStr">
        <is>
          <t>credential-access</t>
        </is>
      </c>
      <c r="B153" s="74" t="inlineStr">
        <is>
          <t>T1621</t>
        </is>
      </c>
      <c r="C153" s="74" t="inlineStr">
        <is>
          <t>T1621</t>
        </is>
      </c>
      <c r="D153" s="78" t="inlineStr">
        <is>
          <t>Multi-Factor Authentication Request Generation (T1621)</t>
        </is>
      </c>
    </row>
    <row r="154">
      <c r="A154" s="78" t="inlineStr">
        <is>
          <t>credential-access</t>
        </is>
      </c>
      <c r="B154" s="74" t="inlineStr">
        <is>
          <t>T1649</t>
        </is>
      </c>
      <c r="C154" s="74" t="inlineStr">
        <is>
          <t>T1649</t>
        </is>
      </c>
      <c r="D154" s="78" t="inlineStr">
        <is>
          <t>Steal or Forge Authentication Certificates (T1649)</t>
        </is>
      </c>
    </row>
    <row r="155">
      <c r="A155" s="78" t="inlineStr">
        <is>
          <t>defense-impairment</t>
        </is>
      </c>
      <c r="B155" s="74" t="inlineStr">
        <is>
          <t>T1112</t>
        </is>
      </c>
      <c r="C155" s="74" t="inlineStr">
        <is>
          <t>T1112</t>
        </is>
      </c>
      <c r="D155" s="78" t="inlineStr">
        <is>
          <t>Modify Registry (T1112)</t>
        </is>
      </c>
    </row>
    <row r="156">
      <c r="A156" s="78" t="inlineStr">
        <is>
          <t>defense-impairment</t>
        </is>
      </c>
      <c r="B156" s="74" t="inlineStr">
        <is>
          <t>T1207</t>
        </is>
      </c>
      <c r="C156" s="74" t="inlineStr">
        <is>
          <t>T1207</t>
        </is>
      </c>
      <c r="D156" s="78" t="inlineStr">
        <is>
          <t>Rogue Domain Controller (T1207)</t>
        </is>
      </c>
    </row>
    <row r="157">
      <c r="A157" s="78" t="inlineStr">
        <is>
          <t>defense-impairment</t>
        </is>
      </c>
      <c r="B157" s="74" t="inlineStr">
        <is>
          <t>T1222</t>
        </is>
      </c>
      <c r="C157" s="74" t="inlineStr">
        <is>
          <t>T1222</t>
        </is>
      </c>
      <c r="D157" s="78" t="inlineStr">
        <is>
          <t>File and Directory Permissions Modification (T1222)</t>
        </is>
      </c>
    </row>
    <row r="158">
      <c r="A158" s="78" t="inlineStr">
        <is>
          <t>defense-impairment</t>
        </is>
      </c>
      <c r="B158" s="74" t="inlineStr">
        <is>
          <t>T1222</t>
        </is>
      </c>
      <c r="C158" s="74" t="inlineStr">
        <is>
          <t>T1222.001</t>
        </is>
      </c>
      <c r="D158" s="78" t="inlineStr">
        <is>
          <t>Windows Permissions (T1222.001)</t>
        </is>
      </c>
    </row>
    <row r="159">
      <c r="A159" s="78" t="inlineStr">
        <is>
          <t>defense-impairment</t>
        </is>
      </c>
      <c r="B159" s="74" t="inlineStr">
        <is>
          <t>T1222</t>
        </is>
      </c>
      <c r="C159" s="74" t="inlineStr">
        <is>
          <t>T1222.002</t>
        </is>
      </c>
      <c r="D159" s="78" t="inlineStr">
        <is>
          <t>Linux and Mac Permissions (T1222.002)</t>
        </is>
      </c>
    </row>
    <row r="160">
      <c r="A160" s="78" t="inlineStr">
        <is>
          <t>defense-impairment</t>
        </is>
      </c>
      <c r="B160" s="74" t="inlineStr">
        <is>
          <t>T1484</t>
        </is>
      </c>
      <c r="C160" s="74" t="inlineStr">
        <is>
          <t>T1484</t>
        </is>
      </c>
      <c r="D160" s="78" t="inlineStr">
        <is>
          <t>Domain or Tenant Policy Modification (T1484)</t>
        </is>
      </c>
    </row>
    <row r="161">
      <c r="A161" s="78" t="inlineStr">
        <is>
          <t>defense-impairment</t>
        </is>
      </c>
      <c r="B161" s="74" t="inlineStr">
        <is>
          <t>T1484</t>
        </is>
      </c>
      <c r="C161" s="74" t="inlineStr">
        <is>
          <t>T1484.001</t>
        </is>
      </c>
      <c r="D161" s="78" t="inlineStr">
        <is>
          <t>Group Policy Modification (T1484.001)</t>
        </is>
      </c>
    </row>
    <row r="162">
      <c r="A162" s="78" t="inlineStr">
        <is>
          <t>defense-impairment</t>
        </is>
      </c>
      <c r="B162" s="74" t="inlineStr">
        <is>
          <t>T1484</t>
        </is>
      </c>
      <c r="C162" s="74" t="inlineStr">
        <is>
          <t>T1484.002</t>
        </is>
      </c>
      <c r="D162" s="78" t="inlineStr">
        <is>
          <t>Trust Modification (T1484.002)</t>
        </is>
      </c>
    </row>
    <row r="163">
      <c r="A163" s="78" t="inlineStr">
        <is>
          <t>defense-impairment</t>
        </is>
      </c>
      <c r="B163" s="74" t="inlineStr">
        <is>
          <t>T1553</t>
        </is>
      </c>
      <c r="C163" s="74" t="inlineStr">
        <is>
          <t>T1553</t>
        </is>
      </c>
      <c r="D163" s="78" t="inlineStr">
        <is>
          <t>Subvert Trust Controls (T1553)</t>
        </is>
      </c>
    </row>
    <row r="164">
      <c r="A164" s="78" t="inlineStr">
        <is>
          <t>defense-impairment</t>
        </is>
      </c>
      <c r="B164" s="74" t="inlineStr">
        <is>
          <t>T1553</t>
        </is>
      </c>
      <c r="C164" s="74" t="inlineStr">
        <is>
          <t>T1553.001</t>
        </is>
      </c>
      <c r="D164" s="78" t="inlineStr">
        <is>
          <t>Gatekeeper Bypass (T1553.001)</t>
        </is>
      </c>
    </row>
    <row r="165">
      <c r="A165" s="78" t="inlineStr">
        <is>
          <t>defense-impairment</t>
        </is>
      </c>
      <c r="B165" s="74" t="inlineStr">
        <is>
          <t>T1553</t>
        </is>
      </c>
      <c r="C165" s="74" t="inlineStr">
        <is>
          <t>T1553.002</t>
        </is>
      </c>
      <c r="D165" s="78" t="inlineStr">
        <is>
          <t>Code Signing (T1553.002)</t>
        </is>
      </c>
    </row>
    <row r="166">
      <c r="A166" s="78" t="inlineStr">
        <is>
          <t>defense-impairment</t>
        </is>
      </c>
      <c r="B166" s="74" t="inlineStr">
        <is>
          <t>T1553</t>
        </is>
      </c>
      <c r="C166" s="74" t="inlineStr">
        <is>
          <t>T1553.003</t>
        </is>
      </c>
      <c r="D166" s="78" t="inlineStr">
        <is>
          <t>SIP and Trust Provider Hijacking (T1553.003)</t>
        </is>
      </c>
    </row>
    <row r="167">
      <c r="A167" s="78" t="inlineStr">
        <is>
          <t>defense-impairment</t>
        </is>
      </c>
      <c r="B167" s="74" t="inlineStr">
        <is>
          <t>T1553</t>
        </is>
      </c>
      <c r="C167" s="74" t="inlineStr">
        <is>
          <t>T1553.004</t>
        </is>
      </c>
      <c r="D167" s="78" t="inlineStr">
        <is>
          <t>Install Root Certificate (T1553.004)</t>
        </is>
      </c>
    </row>
    <row r="168">
      <c r="A168" s="78" t="inlineStr">
        <is>
          <t>defense-impairment</t>
        </is>
      </c>
      <c r="B168" s="74" t="inlineStr">
        <is>
          <t>T1553</t>
        </is>
      </c>
      <c r="C168" s="74" t="inlineStr">
        <is>
          <t>T1553.005</t>
        </is>
      </c>
      <c r="D168" s="78" t="inlineStr">
        <is>
          <t>Mark-of-the-Web Bypass (T1553.005)</t>
        </is>
      </c>
    </row>
    <row r="169">
      <c r="A169" s="78" t="inlineStr">
        <is>
          <t>defense-impairment</t>
        </is>
      </c>
      <c r="B169" s="74" t="inlineStr">
        <is>
          <t>T1553</t>
        </is>
      </c>
      <c r="C169" s="74" t="inlineStr">
        <is>
          <t>T1553.006</t>
        </is>
      </c>
      <c r="D169" s="78" t="inlineStr">
        <is>
          <t>Code Signing Policy Modification (T1553.006)</t>
        </is>
      </c>
    </row>
    <row r="170">
      <c r="A170" s="78" t="inlineStr">
        <is>
          <t>defense-impairment</t>
        </is>
      </c>
      <c r="B170" s="74" t="inlineStr">
        <is>
          <t>T1556</t>
        </is>
      </c>
      <c r="C170" s="74" t="inlineStr">
        <is>
          <t>T1556</t>
        </is>
      </c>
      <c r="D170" s="78" t="inlineStr">
        <is>
          <t>Modify Authentication Process (T1556)</t>
        </is>
      </c>
    </row>
    <row r="171">
      <c r="A171" s="78" t="inlineStr">
        <is>
          <t>defense-impairment</t>
        </is>
      </c>
      <c r="B171" s="74" t="inlineStr">
        <is>
          <t>T1556</t>
        </is>
      </c>
      <c r="C171" s="74" t="inlineStr">
        <is>
          <t>T1556.001</t>
        </is>
      </c>
      <c r="D171" s="78" t="inlineStr">
        <is>
          <t>Domain Controller Authentication (T1556.001)</t>
        </is>
      </c>
    </row>
    <row r="172">
      <c r="A172" s="78" t="inlineStr">
        <is>
          <t>defense-impairment</t>
        </is>
      </c>
      <c r="B172" s="74" t="inlineStr">
        <is>
          <t>T1556</t>
        </is>
      </c>
      <c r="C172" s="74" t="inlineStr">
        <is>
          <t>T1556.002</t>
        </is>
      </c>
      <c r="D172" s="78" t="inlineStr">
        <is>
          <t>Password Filter DLL (T1556.002)</t>
        </is>
      </c>
    </row>
    <row r="173">
      <c r="A173" s="78" t="inlineStr">
        <is>
          <t>defense-impairment</t>
        </is>
      </c>
      <c r="B173" s="74" t="inlineStr">
        <is>
          <t>T1556</t>
        </is>
      </c>
      <c r="C173" s="74" t="inlineStr">
        <is>
          <t>T1556.003</t>
        </is>
      </c>
      <c r="D173" s="78" t="inlineStr">
        <is>
          <t>Pluggable Authentication Modules (T1556.003)</t>
        </is>
      </c>
    </row>
    <row r="174">
      <c r="A174" s="78" t="inlineStr">
        <is>
          <t>defense-impairment</t>
        </is>
      </c>
      <c r="B174" s="74" t="inlineStr">
        <is>
          <t>T1556</t>
        </is>
      </c>
      <c r="C174" s="74" t="inlineStr">
        <is>
          <t>T1556.004</t>
        </is>
      </c>
      <c r="D174" s="78" t="inlineStr">
        <is>
          <t>Network Device Authentication (T1556.004)</t>
        </is>
      </c>
    </row>
    <row r="175">
      <c r="A175" s="78" t="inlineStr">
        <is>
          <t>defense-impairment</t>
        </is>
      </c>
      <c r="B175" s="74" t="inlineStr">
        <is>
          <t>T1556</t>
        </is>
      </c>
      <c r="C175" s="74" t="inlineStr">
        <is>
          <t>T1556.005</t>
        </is>
      </c>
      <c r="D175" s="78" t="inlineStr">
        <is>
          <t>Reversible Encryption (T1556.005)</t>
        </is>
      </c>
    </row>
    <row r="176">
      <c r="A176" s="78" t="inlineStr">
        <is>
          <t>defense-impairment</t>
        </is>
      </c>
      <c r="B176" s="74" t="inlineStr">
        <is>
          <t>T1556</t>
        </is>
      </c>
      <c r="C176" s="74" t="inlineStr">
        <is>
          <t>T1556.006</t>
        </is>
      </c>
      <c r="D176" s="78" t="inlineStr">
        <is>
          <t>Multi-Factor Authentication (T1556.006)</t>
        </is>
      </c>
    </row>
    <row r="177">
      <c r="A177" s="78" t="inlineStr">
        <is>
          <t>defense-impairment</t>
        </is>
      </c>
      <c r="B177" s="74" t="inlineStr">
        <is>
          <t>T1556</t>
        </is>
      </c>
      <c r="C177" s="74" t="inlineStr">
        <is>
          <t>T1556.007</t>
        </is>
      </c>
      <c r="D177" s="78" t="inlineStr">
        <is>
          <t>Hybrid Identity (T1556.007)</t>
        </is>
      </c>
    </row>
    <row r="178">
      <c r="A178" s="78" t="inlineStr">
        <is>
          <t>defense-impairment</t>
        </is>
      </c>
      <c r="B178" s="74" t="inlineStr">
        <is>
          <t>T1556</t>
        </is>
      </c>
      <c r="C178" s="74" t="inlineStr">
        <is>
          <t>T1556.008</t>
        </is>
      </c>
      <c r="D178" s="78" t="inlineStr">
        <is>
          <t>Network Provider DLL (T1556.008)</t>
        </is>
      </c>
    </row>
    <row r="179">
      <c r="A179" s="78" t="inlineStr">
        <is>
          <t>defense-impairment</t>
        </is>
      </c>
      <c r="B179" s="74" t="inlineStr">
        <is>
          <t>T1556</t>
        </is>
      </c>
      <c r="C179" s="74" t="inlineStr">
        <is>
          <t>T1556.009</t>
        </is>
      </c>
      <c r="D179" s="78" t="inlineStr">
        <is>
          <t>Conditional Access Policies (T1556.009)</t>
        </is>
      </c>
    </row>
    <row r="180">
      <c r="A180" s="78" t="inlineStr">
        <is>
          <t>defense-impairment</t>
        </is>
      </c>
      <c r="B180" s="74" t="inlineStr">
        <is>
          <t>T1578</t>
        </is>
      </c>
      <c r="C180" s="74" t="inlineStr">
        <is>
          <t>T1578</t>
        </is>
      </c>
      <c r="D180" s="78" t="inlineStr">
        <is>
          <t>Modify Cloud Compute Infrastructure (T1578)</t>
        </is>
      </c>
    </row>
    <row r="181">
      <c r="A181" s="78" t="inlineStr">
        <is>
          <t>defense-impairment</t>
        </is>
      </c>
      <c r="B181" s="74" t="inlineStr">
        <is>
          <t>T1578</t>
        </is>
      </c>
      <c r="C181" s="74" t="inlineStr">
        <is>
          <t>T1578.001</t>
        </is>
      </c>
      <c r="D181" s="78" t="inlineStr">
        <is>
          <t>Create Snapshot (T1578.001)</t>
        </is>
      </c>
    </row>
    <row r="182">
      <c r="A182" s="78" t="inlineStr">
        <is>
          <t>defense-impairment</t>
        </is>
      </c>
      <c r="B182" s="74" t="inlineStr">
        <is>
          <t>T1578</t>
        </is>
      </c>
      <c r="C182" s="74" t="inlineStr">
        <is>
          <t>T1578.002</t>
        </is>
      </c>
      <c r="D182" s="78" t="inlineStr">
        <is>
          <t>Create Cloud Instance (T1578.002)</t>
        </is>
      </c>
    </row>
    <row r="183">
      <c r="A183" s="78" t="inlineStr">
        <is>
          <t>defense-impairment</t>
        </is>
      </c>
      <c r="B183" s="74" t="inlineStr">
        <is>
          <t>T1578</t>
        </is>
      </c>
      <c r="C183" s="74" t="inlineStr">
        <is>
          <t>T1578.003</t>
        </is>
      </c>
      <c r="D183" s="78" t="inlineStr">
        <is>
          <t>Delete Cloud Instance (T1578.003)</t>
        </is>
      </c>
    </row>
    <row r="184">
      <c r="A184" s="78" t="inlineStr">
        <is>
          <t>defense-impairment</t>
        </is>
      </c>
      <c r="B184" s="74" t="inlineStr">
        <is>
          <t>T1578</t>
        </is>
      </c>
      <c r="C184" s="74" t="inlineStr">
        <is>
          <t>T1578.004</t>
        </is>
      </c>
      <c r="D184" s="78" t="inlineStr">
        <is>
          <t>Revert Cloud Instance (T1578.004)</t>
        </is>
      </c>
    </row>
    <row r="185">
      <c r="A185" s="78" t="inlineStr">
        <is>
          <t>defense-impairment</t>
        </is>
      </c>
      <c r="B185" s="74" t="inlineStr">
        <is>
          <t>T1578</t>
        </is>
      </c>
      <c r="C185" s="74" t="inlineStr">
        <is>
          <t>T1578.005</t>
        </is>
      </c>
      <c r="D185" s="78" t="inlineStr">
        <is>
          <t>Modify Cloud Compute Configurations (T1578.005)</t>
        </is>
      </c>
    </row>
    <row r="186">
      <c r="A186" s="78" t="inlineStr">
        <is>
          <t>defense-impairment</t>
        </is>
      </c>
      <c r="B186" s="74" t="inlineStr">
        <is>
          <t>T1599</t>
        </is>
      </c>
      <c r="C186" s="74" t="inlineStr">
        <is>
          <t>T1599</t>
        </is>
      </c>
      <c r="D186" s="78" t="inlineStr">
        <is>
          <t>Network Boundary Bridging (T1599)</t>
        </is>
      </c>
    </row>
    <row r="187">
      <c r="A187" s="78" t="inlineStr">
        <is>
          <t>defense-impairment</t>
        </is>
      </c>
      <c r="B187" s="74" t="inlineStr">
        <is>
          <t>T1599</t>
        </is>
      </c>
      <c r="C187" s="74" t="inlineStr">
        <is>
          <t>T1599.001</t>
        </is>
      </c>
      <c r="D187" s="78" t="inlineStr">
        <is>
          <t>Network Address Translation Traversal (T1599.001)</t>
        </is>
      </c>
    </row>
    <row r="188">
      <c r="A188" s="78" t="inlineStr">
        <is>
          <t>defense-impairment</t>
        </is>
      </c>
      <c r="B188" s="74" t="inlineStr">
        <is>
          <t>T1600</t>
        </is>
      </c>
      <c r="C188" s="74" t="inlineStr">
        <is>
          <t>T1600</t>
        </is>
      </c>
      <c r="D188" s="78" t="inlineStr">
        <is>
          <t>Weaken Encryption (T1600)</t>
        </is>
      </c>
    </row>
    <row r="189">
      <c r="A189" s="78" t="inlineStr">
        <is>
          <t>defense-impairment</t>
        </is>
      </c>
      <c r="B189" s="74" t="inlineStr">
        <is>
          <t>T1600</t>
        </is>
      </c>
      <c r="C189" s="74" t="inlineStr">
        <is>
          <t>T1600.001</t>
        </is>
      </c>
      <c r="D189" s="78" t="inlineStr">
        <is>
          <t>Reduce Key Space (T1600.001)</t>
        </is>
      </c>
    </row>
    <row r="190">
      <c r="A190" s="78" t="inlineStr">
        <is>
          <t>defense-impairment</t>
        </is>
      </c>
      <c r="B190" s="74" t="inlineStr">
        <is>
          <t>T1600</t>
        </is>
      </c>
      <c r="C190" s="74" t="inlineStr">
        <is>
          <t>T1600.002</t>
        </is>
      </c>
      <c r="D190" s="78" t="inlineStr">
        <is>
          <t>Disable Crypto Hardware (T1600.002)</t>
        </is>
      </c>
    </row>
    <row r="191">
      <c r="A191" s="78" t="inlineStr">
        <is>
          <t>defense-impairment</t>
        </is>
      </c>
      <c r="B191" s="74" t="inlineStr">
        <is>
          <t>T1601</t>
        </is>
      </c>
      <c r="C191" s="74" t="inlineStr">
        <is>
          <t>T1601</t>
        </is>
      </c>
      <c r="D191" s="78" t="inlineStr">
        <is>
          <t>Modify System Image (T1601)</t>
        </is>
      </c>
    </row>
    <row r="192">
      <c r="A192" s="78" t="inlineStr">
        <is>
          <t>defense-impairment</t>
        </is>
      </c>
      <c r="B192" s="74" t="inlineStr">
        <is>
          <t>T1601</t>
        </is>
      </c>
      <c r="C192" s="74" t="inlineStr">
        <is>
          <t>T1601.001</t>
        </is>
      </c>
      <c r="D192" s="78" t="inlineStr">
        <is>
          <t>Patch System Image (T1601.001)</t>
        </is>
      </c>
    </row>
    <row r="193">
      <c r="A193" s="78" t="inlineStr">
        <is>
          <t>defense-impairment</t>
        </is>
      </c>
      <c r="B193" s="74" t="inlineStr">
        <is>
          <t>T1601</t>
        </is>
      </c>
      <c r="C193" s="74" t="inlineStr">
        <is>
          <t>T1601.002</t>
        </is>
      </c>
      <c r="D193" s="78" t="inlineStr">
        <is>
          <t>Downgrade System Image (T1601.002)</t>
        </is>
      </c>
    </row>
    <row r="194">
      <c r="A194" s="78" t="inlineStr">
        <is>
          <t>defense-impairment</t>
        </is>
      </c>
      <c r="B194" s="74" t="inlineStr">
        <is>
          <t>T1647</t>
        </is>
      </c>
      <c r="C194" s="74" t="inlineStr">
        <is>
          <t>T1647</t>
        </is>
      </c>
      <c r="D194" s="78" t="inlineStr">
        <is>
          <t>Plist File Modification (T1647)</t>
        </is>
      </c>
    </row>
    <row r="195">
      <c r="A195" s="78" t="inlineStr">
        <is>
          <t>defense-impairment</t>
        </is>
      </c>
      <c r="B195" s="74" t="inlineStr">
        <is>
          <t>T1666</t>
        </is>
      </c>
      <c r="C195" s="74" t="inlineStr">
        <is>
          <t>T1666</t>
        </is>
      </c>
      <c r="D195" s="78" t="inlineStr">
        <is>
          <t>Modify Cloud Resource Hierarchy (T1666)</t>
        </is>
      </c>
    </row>
    <row r="196">
      <c r="A196" s="78" t="inlineStr">
        <is>
          <t>defense-impairment</t>
        </is>
      </c>
      <c r="B196" s="74" t="inlineStr">
        <is>
          <t>T1685</t>
        </is>
      </c>
      <c r="C196" s="74" t="inlineStr">
        <is>
          <t>T1685</t>
        </is>
      </c>
      <c r="D196" s="78" t="inlineStr">
        <is>
          <t>Disable or Modify Tools (T1685)</t>
        </is>
      </c>
    </row>
    <row r="197">
      <c r="A197" s="78" t="inlineStr">
        <is>
          <t>defense-impairment</t>
        </is>
      </c>
      <c r="B197" s="74" t="inlineStr">
        <is>
          <t>T1685</t>
        </is>
      </c>
      <c r="C197" s="74" t="inlineStr">
        <is>
          <t>T1685.001</t>
        </is>
      </c>
      <c r="D197" s="78" t="inlineStr">
        <is>
          <t>Disable or Modify Windows Event Log (T1685.001)</t>
        </is>
      </c>
    </row>
    <row r="198">
      <c r="A198" s="78" t="inlineStr">
        <is>
          <t>defense-impairment</t>
        </is>
      </c>
      <c r="B198" s="74" t="inlineStr">
        <is>
          <t>T1685</t>
        </is>
      </c>
      <c r="C198" s="74" t="inlineStr">
        <is>
          <t>T1685.002</t>
        </is>
      </c>
      <c r="D198" s="78" t="inlineStr">
        <is>
          <t>Disable or Modify Cloud Log (T1685.002)</t>
        </is>
      </c>
    </row>
    <row r="199">
      <c r="A199" s="78" t="inlineStr">
        <is>
          <t>defense-impairment</t>
        </is>
      </c>
      <c r="B199" s="74" t="inlineStr">
        <is>
          <t>T1685</t>
        </is>
      </c>
      <c r="C199" s="74" t="inlineStr">
        <is>
          <t>T1685.003</t>
        </is>
      </c>
      <c r="D199" s="78" t="inlineStr">
        <is>
          <t>Modify or Spoof Tool UI (T1685.003)</t>
        </is>
      </c>
    </row>
    <row r="200">
      <c r="A200" s="78" t="inlineStr">
        <is>
          <t>defense-impairment</t>
        </is>
      </c>
      <c r="B200" s="74" t="inlineStr">
        <is>
          <t>T1685</t>
        </is>
      </c>
      <c r="C200" s="74" t="inlineStr">
        <is>
          <t>T1685.004</t>
        </is>
      </c>
      <c r="D200" s="78" t="inlineStr">
        <is>
          <t>Disable or Modify Linux Audit System Log (T1685.004)</t>
        </is>
      </c>
    </row>
    <row r="201">
      <c r="A201" s="78" t="inlineStr">
        <is>
          <t>defense-impairment</t>
        </is>
      </c>
      <c r="B201" s="74" t="inlineStr">
        <is>
          <t>T1685</t>
        </is>
      </c>
      <c r="C201" s="74" t="inlineStr">
        <is>
          <t>T1685.005</t>
        </is>
      </c>
      <c r="D201" s="78" t="inlineStr">
        <is>
          <t>Clear Windows Event Logs (T1685.005)</t>
        </is>
      </c>
    </row>
    <row r="202">
      <c r="A202" s="78" t="inlineStr">
        <is>
          <t>defense-impairment</t>
        </is>
      </c>
      <c r="B202" s="74" t="inlineStr">
        <is>
          <t>T1685</t>
        </is>
      </c>
      <c r="C202" s="74" t="inlineStr">
        <is>
          <t>T1685.006</t>
        </is>
      </c>
      <c r="D202" s="78" t="inlineStr">
        <is>
          <t>Clear Linux or Mac System Logs (T1685.006)</t>
        </is>
      </c>
    </row>
    <row r="203">
      <c r="A203" s="78" t="inlineStr">
        <is>
          <t>defense-impairment</t>
        </is>
      </c>
      <c r="B203" s="74" t="inlineStr">
        <is>
          <t>T1686</t>
        </is>
      </c>
      <c r="C203" s="74" t="inlineStr">
        <is>
          <t>T1686</t>
        </is>
      </c>
      <c r="D203" s="78" t="inlineStr">
        <is>
          <t>Disable or Modify System Firewall (T1686)</t>
        </is>
      </c>
    </row>
    <row r="204">
      <c r="A204" s="78" t="inlineStr">
        <is>
          <t>defense-impairment</t>
        </is>
      </c>
      <c r="B204" s="74" t="inlineStr">
        <is>
          <t>T1686</t>
        </is>
      </c>
      <c r="C204" s="74" t="inlineStr">
        <is>
          <t>T1686.001</t>
        </is>
      </c>
      <c r="D204" s="78" t="inlineStr">
        <is>
          <t>Cloud Firewall (T1686.001)</t>
        </is>
      </c>
    </row>
    <row r="205">
      <c r="A205" s="78" t="inlineStr">
        <is>
          <t>defense-impairment</t>
        </is>
      </c>
      <c r="B205" s="74" t="inlineStr">
        <is>
          <t>T1686</t>
        </is>
      </c>
      <c r="C205" s="74" t="inlineStr">
        <is>
          <t>T1686.002</t>
        </is>
      </c>
      <c r="D205" s="78" t="inlineStr">
        <is>
          <t>Network Device Firewall (T1686.002)</t>
        </is>
      </c>
    </row>
    <row r="206">
      <c r="A206" s="78" t="inlineStr">
        <is>
          <t>defense-impairment</t>
        </is>
      </c>
      <c r="B206" s="74" t="inlineStr">
        <is>
          <t>T1686</t>
        </is>
      </c>
      <c r="C206" s="74" t="inlineStr">
        <is>
          <t>T1686.003</t>
        </is>
      </c>
      <c r="D206" s="78" t="inlineStr">
        <is>
          <t>Windows Host Firewall (T1686.003)</t>
        </is>
      </c>
    </row>
    <row r="207">
      <c r="A207" s="78" t="inlineStr">
        <is>
          <t>defense-impairment</t>
        </is>
      </c>
      <c r="B207" s="74" t="inlineStr">
        <is>
          <t>T1687</t>
        </is>
      </c>
      <c r="C207" s="74" t="inlineStr">
        <is>
          <t>T1687</t>
        </is>
      </c>
      <c r="D207" s="78" t="inlineStr">
        <is>
          <t>Exploitation for Defense Impairment (T1687)</t>
        </is>
      </c>
    </row>
    <row r="208">
      <c r="A208" s="78" t="inlineStr">
        <is>
          <t>defense-impairment</t>
        </is>
      </c>
      <c r="B208" s="74" t="inlineStr">
        <is>
          <t>T1688</t>
        </is>
      </c>
      <c r="C208" s="74" t="inlineStr">
        <is>
          <t>T1688</t>
        </is>
      </c>
      <c r="D208" s="78" t="inlineStr">
        <is>
          <t>Safe Mode Boot (T1688)</t>
        </is>
      </c>
    </row>
    <row r="209">
      <c r="A209" s="78" t="inlineStr">
        <is>
          <t>defense-impairment</t>
        </is>
      </c>
      <c r="B209" s="74" t="inlineStr">
        <is>
          <t>T1689</t>
        </is>
      </c>
      <c r="C209" s="74" t="inlineStr">
        <is>
          <t>T1689</t>
        </is>
      </c>
      <c r="D209" s="78" t="inlineStr">
        <is>
          <t>Downgrade Attack (T1689)</t>
        </is>
      </c>
    </row>
    <row r="210">
      <c r="A210" s="78" t="inlineStr">
        <is>
          <t>defense-impairment</t>
        </is>
      </c>
      <c r="B210" s="74" t="inlineStr">
        <is>
          <t>T1690</t>
        </is>
      </c>
      <c r="C210" s="74" t="inlineStr">
        <is>
          <t>T1690</t>
        </is>
      </c>
      <c r="D210" s="78" t="inlineStr">
        <is>
          <t>Prevent Command History Logging (T1690)</t>
        </is>
      </c>
    </row>
    <row r="211">
      <c r="A211" s="78" t="inlineStr">
        <is>
          <t>discovery</t>
        </is>
      </c>
      <c r="B211" s="74" t="inlineStr">
        <is>
          <t>T1007</t>
        </is>
      </c>
      <c r="C211" s="74" t="inlineStr">
        <is>
          <t>T1007</t>
        </is>
      </c>
      <c r="D211" s="78" t="inlineStr">
        <is>
          <t>System Service Discovery (T1007)</t>
        </is>
      </c>
    </row>
    <row r="212">
      <c r="A212" s="78" t="inlineStr">
        <is>
          <t>discovery</t>
        </is>
      </c>
      <c r="B212" s="74" t="inlineStr">
        <is>
          <t>T1010</t>
        </is>
      </c>
      <c r="C212" s="74" t="inlineStr">
        <is>
          <t>T1010</t>
        </is>
      </c>
      <c r="D212" s="78" t="inlineStr">
        <is>
          <t>Application Window Discovery (T1010)</t>
        </is>
      </c>
    </row>
    <row r="213">
      <c r="A213" s="78" t="inlineStr">
        <is>
          <t>discovery</t>
        </is>
      </c>
      <c r="B213" s="74" t="inlineStr">
        <is>
          <t>T1012</t>
        </is>
      </c>
      <c r="C213" s="74" t="inlineStr">
        <is>
          <t>T1012</t>
        </is>
      </c>
      <c r="D213" s="78" t="inlineStr">
        <is>
          <t>Query Registry (T1012)</t>
        </is>
      </c>
    </row>
    <row r="214">
      <c r="A214" s="78" t="inlineStr">
        <is>
          <t>discovery</t>
        </is>
      </c>
      <c r="B214" s="74" t="inlineStr">
        <is>
          <t>T1016</t>
        </is>
      </c>
      <c r="C214" s="74" t="inlineStr">
        <is>
          <t>T1016</t>
        </is>
      </c>
      <c r="D214" s="78" t="inlineStr">
        <is>
          <t>System Network Configuration Discovery (T1016)</t>
        </is>
      </c>
    </row>
    <row r="215">
      <c r="A215" s="78" t="inlineStr">
        <is>
          <t>discovery</t>
        </is>
      </c>
      <c r="B215" s="74" t="inlineStr">
        <is>
          <t>T1016</t>
        </is>
      </c>
      <c r="C215" s="74" t="inlineStr">
        <is>
          <t>T1016.001</t>
        </is>
      </c>
      <c r="D215" s="78" t="inlineStr">
        <is>
          <t>Internet Connection Discovery (T1016.001)</t>
        </is>
      </c>
    </row>
    <row r="216">
      <c r="A216" s="78" t="inlineStr">
        <is>
          <t>discovery</t>
        </is>
      </c>
      <c r="B216" s="74" t="inlineStr">
        <is>
          <t>T1016</t>
        </is>
      </c>
      <c r="C216" s="74" t="inlineStr">
        <is>
          <t>T1016.002</t>
        </is>
      </c>
      <c r="D216" s="78" t="inlineStr">
        <is>
          <t>Wi-Fi Discovery (T1016.002)</t>
        </is>
      </c>
    </row>
    <row r="217">
      <c r="A217" s="78" t="inlineStr">
        <is>
          <t>discovery</t>
        </is>
      </c>
      <c r="B217" s="74" t="inlineStr">
        <is>
          <t>T1018</t>
        </is>
      </c>
      <c r="C217" s="74" t="inlineStr">
        <is>
          <t>T1018</t>
        </is>
      </c>
      <c r="D217" s="78" t="inlineStr">
        <is>
          <t>Remote System Discovery (T1018)</t>
        </is>
      </c>
    </row>
    <row r="218">
      <c r="A218" s="78" t="inlineStr">
        <is>
          <t>discovery</t>
        </is>
      </c>
      <c r="B218" s="74" t="inlineStr">
        <is>
          <t>T1033</t>
        </is>
      </c>
      <c r="C218" s="74" t="inlineStr">
        <is>
          <t>T1033</t>
        </is>
      </c>
      <c r="D218" s="78" t="inlineStr">
        <is>
          <t>System Owner/User Discovery (T1033)</t>
        </is>
      </c>
    </row>
    <row r="219">
      <c r="A219" s="78" t="inlineStr">
        <is>
          <t>discovery</t>
        </is>
      </c>
      <c r="B219" s="74" t="inlineStr">
        <is>
          <t>T1040</t>
        </is>
      </c>
      <c r="C219" s="74" t="inlineStr">
        <is>
          <t>T1040</t>
        </is>
      </c>
      <c r="D219" s="78" t="inlineStr">
        <is>
          <t>Network Sniffing (T1040)</t>
        </is>
      </c>
    </row>
    <row r="220">
      <c r="A220" s="78" t="inlineStr">
        <is>
          <t>discovery</t>
        </is>
      </c>
      <c r="B220" s="74" t="inlineStr">
        <is>
          <t>T1046</t>
        </is>
      </c>
      <c r="C220" s="74" t="inlineStr">
        <is>
          <t>T1046</t>
        </is>
      </c>
      <c r="D220" s="78" t="inlineStr">
        <is>
          <t>Network Service Discovery (T1046)</t>
        </is>
      </c>
    </row>
    <row r="221">
      <c r="A221" s="78" t="inlineStr">
        <is>
          <t>discovery</t>
        </is>
      </c>
      <c r="B221" s="74" t="inlineStr">
        <is>
          <t>T1049</t>
        </is>
      </c>
      <c r="C221" s="74" t="inlineStr">
        <is>
          <t>T1049</t>
        </is>
      </c>
      <c r="D221" s="78" t="inlineStr">
        <is>
          <t>System Network Connections Discovery (T1049)</t>
        </is>
      </c>
    </row>
    <row r="222">
      <c r="A222" s="78" t="inlineStr">
        <is>
          <t>discovery</t>
        </is>
      </c>
      <c r="B222" s="74" t="inlineStr">
        <is>
          <t>T1057</t>
        </is>
      </c>
      <c r="C222" s="74" t="inlineStr">
        <is>
          <t>T1057</t>
        </is>
      </c>
      <c r="D222" s="78" t="inlineStr">
        <is>
          <t>Process Discovery (T1057)</t>
        </is>
      </c>
    </row>
    <row r="223">
      <c r="A223" s="78" t="inlineStr">
        <is>
          <t>discovery</t>
        </is>
      </c>
      <c r="B223" s="74" t="inlineStr">
        <is>
          <t>T1069</t>
        </is>
      </c>
      <c r="C223" s="74" t="inlineStr">
        <is>
          <t>T1069</t>
        </is>
      </c>
      <c r="D223" s="78" t="inlineStr">
        <is>
          <t>Permission Groups Discovery (T1069)</t>
        </is>
      </c>
    </row>
    <row r="224">
      <c r="A224" s="78" t="inlineStr">
        <is>
          <t>discovery</t>
        </is>
      </c>
      <c r="B224" s="74" t="inlineStr">
        <is>
          <t>T1069</t>
        </is>
      </c>
      <c r="C224" s="74" t="inlineStr">
        <is>
          <t>T1069.001</t>
        </is>
      </c>
      <c r="D224" s="78" t="inlineStr">
        <is>
          <t>Local Groups (T1069.001)</t>
        </is>
      </c>
    </row>
    <row r="225">
      <c r="A225" s="78" t="inlineStr">
        <is>
          <t>discovery</t>
        </is>
      </c>
      <c r="B225" s="74" t="inlineStr">
        <is>
          <t>T1069</t>
        </is>
      </c>
      <c r="C225" s="74" t="inlineStr">
        <is>
          <t>T1069.002</t>
        </is>
      </c>
      <c r="D225" s="78" t="inlineStr">
        <is>
          <t>Domain Groups (T1069.002)</t>
        </is>
      </c>
    </row>
    <row r="226">
      <c r="A226" s="78" t="inlineStr">
        <is>
          <t>discovery</t>
        </is>
      </c>
      <c r="B226" s="74" t="inlineStr">
        <is>
          <t>T1069</t>
        </is>
      </c>
      <c r="C226" s="74" t="inlineStr">
        <is>
          <t>T1069.003</t>
        </is>
      </c>
      <c r="D226" s="78" t="inlineStr">
        <is>
          <t>Cloud Groups (T1069.003)</t>
        </is>
      </c>
    </row>
    <row r="227">
      <c r="A227" s="78" t="inlineStr">
        <is>
          <t>discovery</t>
        </is>
      </c>
      <c r="B227" s="74" t="inlineStr">
        <is>
          <t>T1082</t>
        </is>
      </c>
      <c r="C227" s="74" t="inlineStr">
        <is>
          <t>T1082</t>
        </is>
      </c>
      <c r="D227" s="78" t="inlineStr">
        <is>
          <t>System Information Discovery (T1082)</t>
        </is>
      </c>
    </row>
    <row r="228">
      <c r="A228" s="78" t="inlineStr">
        <is>
          <t>discovery</t>
        </is>
      </c>
      <c r="B228" s="74" t="inlineStr">
        <is>
          <t>T1083</t>
        </is>
      </c>
      <c r="C228" s="74" t="inlineStr">
        <is>
          <t>T1083</t>
        </is>
      </c>
      <c r="D228" s="78" t="inlineStr">
        <is>
          <t>File and Directory Discovery (T1083)</t>
        </is>
      </c>
    </row>
    <row r="229">
      <c r="A229" s="78" t="inlineStr">
        <is>
          <t>discovery</t>
        </is>
      </c>
      <c r="B229" s="74" t="inlineStr">
        <is>
          <t>T1087</t>
        </is>
      </c>
      <c r="C229" s="74" t="inlineStr">
        <is>
          <t>T1087</t>
        </is>
      </c>
      <c r="D229" s="78" t="inlineStr">
        <is>
          <t>Account Discovery (T1087)</t>
        </is>
      </c>
    </row>
    <row r="230">
      <c r="A230" s="78" t="inlineStr">
        <is>
          <t>discovery</t>
        </is>
      </c>
      <c r="B230" s="74" t="inlineStr">
        <is>
          <t>T1087</t>
        </is>
      </c>
      <c r="C230" s="74" t="inlineStr">
        <is>
          <t>T1087.001</t>
        </is>
      </c>
      <c r="D230" s="78" t="inlineStr">
        <is>
          <t>Local Account (T1087.001)</t>
        </is>
      </c>
    </row>
    <row r="231">
      <c r="A231" s="78" t="inlineStr">
        <is>
          <t>discovery</t>
        </is>
      </c>
      <c r="B231" s="74" t="inlineStr">
        <is>
          <t>T1087</t>
        </is>
      </c>
      <c r="C231" s="74" t="inlineStr">
        <is>
          <t>T1087.002</t>
        </is>
      </c>
      <c r="D231" s="78" t="inlineStr">
        <is>
          <t>Domain Account (T1087.002)</t>
        </is>
      </c>
    </row>
    <row r="232">
      <c r="A232" s="78" t="inlineStr">
        <is>
          <t>discovery</t>
        </is>
      </c>
      <c r="B232" s="74" t="inlineStr">
        <is>
          <t>T1087</t>
        </is>
      </c>
      <c r="C232" s="74" t="inlineStr">
        <is>
          <t>T1087.003</t>
        </is>
      </c>
      <c r="D232" s="78" t="inlineStr">
        <is>
          <t>Email Account (T1087.003)</t>
        </is>
      </c>
    </row>
    <row r="233">
      <c r="A233" s="78" t="inlineStr">
        <is>
          <t>discovery</t>
        </is>
      </c>
      <c r="B233" s="74" t="inlineStr">
        <is>
          <t>T1087</t>
        </is>
      </c>
      <c r="C233" s="74" t="inlineStr">
        <is>
          <t>T1087.004</t>
        </is>
      </c>
      <c r="D233" s="78" t="inlineStr">
        <is>
          <t>Cloud Account (T1087.004)</t>
        </is>
      </c>
    </row>
    <row r="234">
      <c r="A234" s="78" t="inlineStr">
        <is>
          <t>discovery</t>
        </is>
      </c>
      <c r="B234" s="74" t="inlineStr">
        <is>
          <t>T1120</t>
        </is>
      </c>
      <c r="C234" s="74" t="inlineStr">
        <is>
          <t>T1120</t>
        </is>
      </c>
      <c r="D234" s="78" t="inlineStr">
        <is>
          <t>Peripheral Device Discovery (T1120)</t>
        </is>
      </c>
    </row>
    <row r="235">
      <c r="A235" s="78" t="inlineStr">
        <is>
          <t>discovery</t>
        </is>
      </c>
      <c r="B235" s="74" t="inlineStr">
        <is>
          <t>T1124</t>
        </is>
      </c>
      <c r="C235" s="74" t="inlineStr">
        <is>
          <t>T1124</t>
        </is>
      </c>
      <c r="D235" s="78" t="inlineStr">
        <is>
          <t>System Time Discovery (T1124)</t>
        </is>
      </c>
    </row>
    <row r="236">
      <c r="A236" s="78" t="inlineStr">
        <is>
          <t>discovery</t>
        </is>
      </c>
      <c r="B236" s="74" t="inlineStr">
        <is>
          <t>T1135</t>
        </is>
      </c>
      <c r="C236" s="74" t="inlineStr">
        <is>
          <t>T1135</t>
        </is>
      </c>
      <c r="D236" s="78" t="inlineStr">
        <is>
          <t>Network Share Discovery (T1135)</t>
        </is>
      </c>
    </row>
    <row r="237">
      <c r="A237" s="78" t="inlineStr">
        <is>
          <t>discovery</t>
        </is>
      </c>
      <c r="B237" s="74" t="inlineStr">
        <is>
          <t>T1201</t>
        </is>
      </c>
      <c r="C237" s="74" t="inlineStr">
        <is>
          <t>T1201</t>
        </is>
      </c>
      <c r="D237" s="78" t="inlineStr">
        <is>
          <t>Password Policy Discovery (T1201)</t>
        </is>
      </c>
    </row>
    <row r="238">
      <c r="A238" s="78" t="inlineStr">
        <is>
          <t>discovery</t>
        </is>
      </c>
      <c r="B238" s="74" t="inlineStr">
        <is>
          <t>T1217</t>
        </is>
      </c>
      <c r="C238" s="74" t="inlineStr">
        <is>
          <t>T1217</t>
        </is>
      </c>
      <c r="D238" s="78" t="inlineStr">
        <is>
          <t>Browser Information Discovery (T1217)</t>
        </is>
      </c>
    </row>
    <row r="239">
      <c r="A239" s="78" t="inlineStr">
        <is>
          <t>discovery</t>
        </is>
      </c>
      <c r="B239" s="74" t="inlineStr">
        <is>
          <t>T1482</t>
        </is>
      </c>
      <c r="C239" s="74" t="inlineStr">
        <is>
          <t>T1482</t>
        </is>
      </c>
      <c r="D239" s="78" t="inlineStr">
        <is>
          <t>Domain Trust Discovery (T1482)</t>
        </is>
      </c>
    </row>
    <row r="240">
      <c r="A240" s="78" t="inlineStr">
        <is>
          <t>discovery</t>
        </is>
      </c>
      <c r="B240" s="74" t="inlineStr">
        <is>
          <t>T1497</t>
        </is>
      </c>
      <c r="C240" s="74" t="inlineStr">
        <is>
          <t>T1497</t>
        </is>
      </c>
      <c r="D240" s="78" t="inlineStr">
        <is>
          <t>Virtualization/Sandbox Evasion (T1497)</t>
        </is>
      </c>
    </row>
    <row r="241">
      <c r="A241" s="78" t="inlineStr">
        <is>
          <t>discovery</t>
        </is>
      </c>
      <c r="B241" s="74" t="inlineStr">
        <is>
          <t>T1497</t>
        </is>
      </c>
      <c r="C241" s="74" t="inlineStr">
        <is>
          <t>T1497.001</t>
        </is>
      </c>
      <c r="D241" s="78" t="inlineStr">
        <is>
          <t>System Checks (T1497.001)</t>
        </is>
      </c>
    </row>
    <row r="242">
      <c r="A242" s="78" t="inlineStr">
        <is>
          <t>discovery</t>
        </is>
      </c>
      <c r="B242" s="74" t="inlineStr">
        <is>
          <t>T1497</t>
        </is>
      </c>
      <c r="C242" s="74" t="inlineStr">
        <is>
          <t>T1497.002</t>
        </is>
      </c>
      <c r="D242" s="78" t="inlineStr">
        <is>
          <t>User Activity Based Checks (T1497.002)</t>
        </is>
      </c>
    </row>
    <row r="243">
      <c r="A243" s="78" t="inlineStr">
        <is>
          <t>discovery</t>
        </is>
      </c>
      <c r="B243" s="74" t="inlineStr">
        <is>
          <t>T1497</t>
        </is>
      </c>
      <c r="C243" s="74" t="inlineStr">
        <is>
          <t>T1497.003</t>
        </is>
      </c>
      <c r="D243" s="78" t="inlineStr">
        <is>
          <t>Time Based Checks (T1497.003)</t>
        </is>
      </c>
    </row>
    <row r="244">
      <c r="A244" s="78" t="inlineStr">
        <is>
          <t>discovery</t>
        </is>
      </c>
      <c r="B244" s="74" t="inlineStr">
        <is>
          <t>T1518</t>
        </is>
      </c>
      <c r="C244" s="74" t="inlineStr">
        <is>
          <t>T1518</t>
        </is>
      </c>
      <c r="D244" s="78" t="inlineStr">
        <is>
          <t>Software Discovery (T1518)</t>
        </is>
      </c>
    </row>
    <row r="245">
      <c r="A245" s="78" t="inlineStr">
        <is>
          <t>discovery</t>
        </is>
      </c>
      <c r="B245" s="74" t="inlineStr">
        <is>
          <t>T1518</t>
        </is>
      </c>
      <c r="C245" s="74" t="inlineStr">
        <is>
          <t>T1518.001</t>
        </is>
      </c>
      <c r="D245" s="78" t="inlineStr">
        <is>
          <t>Security Software Discovery (T1518.001)</t>
        </is>
      </c>
    </row>
    <row r="246">
      <c r="A246" s="78" t="inlineStr">
        <is>
          <t>discovery</t>
        </is>
      </c>
      <c r="B246" s="74" t="inlineStr">
        <is>
          <t>T1518</t>
        </is>
      </c>
      <c r="C246" s="74" t="inlineStr">
        <is>
          <t>T1518.002</t>
        </is>
      </c>
      <c r="D246" s="78" t="inlineStr">
        <is>
          <t>Backup Software Discovery (T1518.002)</t>
        </is>
      </c>
    </row>
    <row r="247">
      <c r="A247" s="78" t="inlineStr">
        <is>
          <t>discovery</t>
        </is>
      </c>
      <c r="B247" s="74" t="inlineStr">
        <is>
          <t>T1526</t>
        </is>
      </c>
      <c r="C247" s="74" t="inlineStr">
        <is>
          <t>T1526</t>
        </is>
      </c>
      <c r="D247" s="78" t="inlineStr">
        <is>
          <t>Cloud Service Discovery (T1526)</t>
        </is>
      </c>
    </row>
    <row r="248">
      <c r="A248" s="78" t="inlineStr">
        <is>
          <t>discovery</t>
        </is>
      </c>
      <c r="B248" s="74" t="inlineStr">
        <is>
          <t>T1538</t>
        </is>
      </c>
      <c r="C248" s="74" t="inlineStr">
        <is>
          <t>T1538</t>
        </is>
      </c>
      <c r="D248" s="78" t="inlineStr">
        <is>
          <t>Cloud Service Dashboard (T1538)</t>
        </is>
      </c>
    </row>
    <row r="249">
      <c r="A249" s="78" t="inlineStr">
        <is>
          <t>discovery</t>
        </is>
      </c>
      <c r="B249" s="74" t="inlineStr">
        <is>
          <t>T1580</t>
        </is>
      </c>
      <c r="C249" s="74" t="inlineStr">
        <is>
          <t>T1580</t>
        </is>
      </c>
      <c r="D249" s="78" t="inlineStr">
        <is>
          <t>Cloud Infrastructure Discovery (T1580)</t>
        </is>
      </c>
    </row>
    <row r="250">
      <c r="A250" s="78" t="inlineStr">
        <is>
          <t>discovery</t>
        </is>
      </c>
      <c r="B250" s="74" t="inlineStr">
        <is>
          <t>T1613</t>
        </is>
      </c>
      <c r="C250" s="74" t="inlineStr">
        <is>
          <t>T1613</t>
        </is>
      </c>
      <c r="D250" s="78" t="inlineStr">
        <is>
          <t>Container and Resource Discovery (T1613)</t>
        </is>
      </c>
    </row>
    <row r="251">
      <c r="A251" s="78" t="inlineStr">
        <is>
          <t>discovery</t>
        </is>
      </c>
      <c r="B251" s="74" t="inlineStr">
        <is>
          <t>T1614</t>
        </is>
      </c>
      <c r="C251" s="74" t="inlineStr">
        <is>
          <t>T1614</t>
        </is>
      </c>
      <c r="D251" s="78" t="inlineStr">
        <is>
          <t>System Location Discovery (T1614)</t>
        </is>
      </c>
    </row>
    <row r="252">
      <c r="A252" s="78" t="inlineStr">
        <is>
          <t>discovery</t>
        </is>
      </c>
      <c r="B252" s="74" t="inlineStr">
        <is>
          <t>T1614</t>
        </is>
      </c>
      <c r="C252" s="74" t="inlineStr">
        <is>
          <t>T1614.001</t>
        </is>
      </c>
      <c r="D252" s="78" t="inlineStr">
        <is>
          <t>System Language Discovery (T1614.001)</t>
        </is>
      </c>
    </row>
    <row r="253">
      <c r="A253" s="78" t="inlineStr">
        <is>
          <t>discovery</t>
        </is>
      </c>
      <c r="B253" s="74" t="inlineStr">
        <is>
          <t>T1615</t>
        </is>
      </c>
      <c r="C253" s="74" t="inlineStr">
        <is>
          <t>T1615</t>
        </is>
      </c>
      <c r="D253" s="78" t="inlineStr">
        <is>
          <t>Group Policy Discovery (T1615)</t>
        </is>
      </c>
    </row>
    <row r="254">
      <c r="A254" s="78" t="inlineStr">
        <is>
          <t>discovery</t>
        </is>
      </c>
      <c r="B254" s="74" t="inlineStr">
        <is>
          <t>T1619</t>
        </is>
      </c>
      <c r="C254" s="74" t="inlineStr">
        <is>
          <t>T1619</t>
        </is>
      </c>
      <c r="D254" s="78" t="inlineStr">
        <is>
          <t>Cloud Storage Object Discovery (T1619)</t>
        </is>
      </c>
    </row>
    <row r="255">
      <c r="A255" s="78" t="inlineStr">
        <is>
          <t>discovery</t>
        </is>
      </c>
      <c r="B255" s="74" t="inlineStr">
        <is>
          <t>T1622</t>
        </is>
      </c>
      <c r="C255" s="74" t="inlineStr">
        <is>
          <t>T1622</t>
        </is>
      </c>
      <c r="D255" s="78" t="inlineStr">
        <is>
          <t>Debugger Evasion (T1622)</t>
        </is>
      </c>
    </row>
    <row r="256">
      <c r="A256" s="78" t="inlineStr">
        <is>
          <t>discovery</t>
        </is>
      </c>
      <c r="B256" s="74" t="inlineStr">
        <is>
          <t>T1652</t>
        </is>
      </c>
      <c r="C256" s="74" t="inlineStr">
        <is>
          <t>T1652</t>
        </is>
      </c>
      <c r="D256" s="78" t="inlineStr">
        <is>
          <t>Device Driver Discovery (T1652)</t>
        </is>
      </c>
    </row>
    <row r="257">
      <c r="A257" s="78" t="inlineStr">
        <is>
          <t>discovery</t>
        </is>
      </c>
      <c r="B257" s="74" t="inlineStr">
        <is>
          <t>T1654</t>
        </is>
      </c>
      <c r="C257" s="74" t="inlineStr">
        <is>
          <t>T1654</t>
        </is>
      </c>
      <c r="D257" s="78" t="inlineStr">
        <is>
          <t>Log Enumeration (T1654)</t>
        </is>
      </c>
    </row>
    <row r="258">
      <c r="A258" s="78" t="inlineStr">
        <is>
          <t>discovery</t>
        </is>
      </c>
      <c r="B258" s="74" t="inlineStr">
        <is>
          <t>T1673</t>
        </is>
      </c>
      <c r="C258" s="74" t="inlineStr">
        <is>
          <t>T1673</t>
        </is>
      </c>
      <c r="D258" s="78" t="inlineStr">
        <is>
          <t>Virtual Machine Discovery (T1673)</t>
        </is>
      </c>
    </row>
    <row r="259">
      <c r="A259" s="78" t="inlineStr">
        <is>
          <t>discovery</t>
        </is>
      </c>
      <c r="B259" s="74" t="inlineStr">
        <is>
          <t>T1680</t>
        </is>
      </c>
      <c r="C259" s="74" t="inlineStr">
        <is>
          <t>T1680</t>
        </is>
      </c>
      <c r="D259" s="78" t="inlineStr">
        <is>
          <t>Local Storage Discovery (T1680)</t>
        </is>
      </c>
    </row>
    <row r="260">
      <c r="A260" s="78" t="inlineStr">
        <is>
          <t>execution</t>
        </is>
      </c>
      <c r="B260" s="74" t="inlineStr">
        <is>
          <t>T1047</t>
        </is>
      </c>
      <c r="C260" s="74" t="inlineStr">
        <is>
          <t>T1047</t>
        </is>
      </c>
      <c r="D260" s="78" t="inlineStr">
        <is>
          <t>Windows Management Instrumentation (T1047)</t>
        </is>
      </c>
    </row>
    <row r="261">
      <c r="A261" s="78" t="inlineStr">
        <is>
          <t>execution</t>
        </is>
      </c>
      <c r="B261" s="74" t="inlineStr">
        <is>
          <t>T1053</t>
        </is>
      </c>
      <c r="C261" s="74" t="inlineStr">
        <is>
          <t>T1053</t>
        </is>
      </c>
      <c r="D261" s="78" t="inlineStr">
        <is>
          <t>Scheduled Task/Job (T1053)</t>
        </is>
      </c>
    </row>
    <row r="262">
      <c r="A262" s="78" t="inlineStr">
        <is>
          <t>execution</t>
        </is>
      </c>
      <c r="B262" s="74" t="inlineStr">
        <is>
          <t>T1053</t>
        </is>
      </c>
      <c r="C262" s="74" t="inlineStr">
        <is>
          <t>T1053.002</t>
        </is>
      </c>
      <c r="D262" s="78" t="inlineStr">
        <is>
          <t>At (T1053.002)</t>
        </is>
      </c>
    </row>
    <row r="263">
      <c r="A263" s="78" t="inlineStr">
        <is>
          <t>execution</t>
        </is>
      </c>
      <c r="B263" s="74" t="inlineStr">
        <is>
          <t>T1053</t>
        </is>
      </c>
      <c r="C263" s="74" t="inlineStr">
        <is>
          <t>T1053.003</t>
        </is>
      </c>
      <c r="D263" s="78" t="inlineStr">
        <is>
          <t>Cron (T1053.003)</t>
        </is>
      </c>
    </row>
    <row r="264">
      <c r="A264" s="78" t="inlineStr">
        <is>
          <t>execution</t>
        </is>
      </c>
      <c r="B264" s="74" t="inlineStr">
        <is>
          <t>T1053</t>
        </is>
      </c>
      <c r="C264" s="74" t="inlineStr">
        <is>
          <t>T1053.005</t>
        </is>
      </c>
      <c r="D264" s="78" t="inlineStr">
        <is>
          <t>Scheduled Task (T1053.005)</t>
        </is>
      </c>
    </row>
    <row r="265">
      <c r="A265" s="78" t="inlineStr">
        <is>
          <t>execution</t>
        </is>
      </c>
      <c r="B265" s="74" t="inlineStr">
        <is>
          <t>T1053</t>
        </is>
      </c>
      <c r="C265" s="74" t="inlineStr">
        <is>
          <t>T1053.006</t>
        </is>
      </c>
      <c r="D265" s="78" t="inlineStr">
        <is>
          <t>Systemd Timers (T1053.006)</t>
        </is>
      </c>
    </row>
    <row r="266">
      <c r="A266" s="78" t="inlineStr">
        <is>
          <t>execution</t>
        </is>
      </c>
      <c r="B266" s="74" t="inlineStr">
        <is>
          <t>T1053</t>
        </is>
      </c>
      <c r="C266" s="74" t="inlineStr">
        <is>
          <t>T1053.007</t>
        </is>
      </c>
      <c r="D266" s="78" t="inlineStr">
        <is>
          <t>Container Orchestration Job (T1053.007)</t>
        </is>
      </c>
    </row>
    <row r="267">
      <c r="A267" s="78" t="inlineStr">
        <is>
          <t>execution</t>
        </is>
      </c>
      <c r="B267" s="74" t="inlineStr">
        <is>
          <t>T1059</t>
        </is>
      </c>
      <c r="C267" s="74" t="inlineStr">
        <is>
          <t>T1059</t>
        </is>
      </c>
      <c r="D267" s="78" t="inlineStr">
        <is>
          <t>Command and Scripting Interpreter (T1059)</t>
        </is>
      </c>
    </row>
    <row r="268">
      <c r="A268" s="78" t="inlineStr">
        <is>
          <t>execution</t>
        </is>
      </c>
      <c r="B268" s="74" t="inlineStr">
        <is>
          <t>T1059</t>
        </is>
      </c>
      <c r="C268" s="74" t="inlineStr">
        <is>
          <t>T1059.001</t>
        </is>
      </c>
      <c r="D268" s="78" t="inlineStr">
        <is>
          <t>PowerShell (T1059.001)</t>
        </is>
      </c>
    </row>
    <row r="269">
      <c r="A269" s="78" t="inlineStr">
        <is>
          <t>execution</t>
        </is>
      </c>
      <c r="B269" s="74" t="inlineStr">
        <is>
          <t>T1059</t>
        </is>
      </c>
      <c r="C269" s="74" t="inlineStr">
        <is>
          <t>T1059.002</t>
        </is>
      </c>
      <c r="D269" s="78" t="inlineStr">
        <is>
          <t>AppleScript (T1059.002)</t>
        </is>
      </c>
    </row>
    <row r="270">
      <c r="A270" s="78" t="inlineStr">
        <is>
          <t>execution</t>
        </is>
      </c>
      <c r="B270" s="74" t="inlineStr">
        <is>
          <t>T1059</t>
        </is>
      </c>
      <c r="C270" s="74" t="inlineStr">
        <is>
          <t>T1059.003</t>
        </is>
      </c>
      <c r="D270" s="78" t="inlineStr">
        <is>
          <t>Windows Command Shell (T1059.003)</t>
        </is>
      </c>
    </row>
    <row r="271">
      <c r="A271" s="78" t="inlineStr">
        <is>
          <t>execution</t>
        </is>
      </c>
      <c r="B271" s="74" t="inlineStr">
        <is>
          <t>T1059</t>
        </is>
      </c>
      <c r="C271" s="74" t="inlineStr">
        <is>
          <t>T1059.004</t>
        </is>
      </c>
      <c r="D271" s="78" t="inlineStr">
        <is>
          <t>Unix Shell (T1059.004)</t>
        </is>
      </c>
    </row>
    <row r="272">
      <c r="A272" s="78" t="inlineStr">
        <is>
          <t>execution</t>
        </is>
      </c>
      <c r="B272" s="74" t="inlineStr">
        <is>
          <t>T1059</t>
        </is>
      </c>
      <c r="C272" s="74" t="inlineStr">
        <is>
          <t>T1059.005</t>
        </is>
      </c>
      <c r="D272" s="78" t="inlineStr">
        <is>
          <t>Visual Basic (T1059.005)</t>
        </is>
      </c>
    </row>
    <row r="273">
      <c r="A273" s="78" t="inlineStr">
        <is>
          <t>execution</t>
        </is>
      </c>
      <c r="B273" s="74" t="inlineStr">
        <is>
          <t>T1059</t>
        </is>
      </c>
      <c r="C273" s="74" t="inlineStr">
        <is>
          <t>T1059.006</t>
        </is>
      </c>
      <c r="D273" s="78" t="inlineStr">
        <is>
          <t>Python (T1059.006)</t>
        </is>
      </c>
    </row>
    <row r="274">
      <c r="A274" s="78" t="inlineStr">
        <is>
          <t>execution</t>
        </is>
      </c>
      <c r="B274" s="74" t="inlineStr">
        <is>
          <t>T1059</t>
        </is>
      </c>
      <c r="C274" s="74" t="inlineStr">
        <is>
          <t>T1059.007</t>
        </is>
      </c>
      <c r="D274" s="78" t="inlineStr">
        <is>
          <t>JavaScript (T1059.007)</t>
        </is>
      </c>
    </row>
    <row r="275">
      <c r="A275" s="78" t="inlineStr">
        <is>
          <t>execution</t>
        </is>
      </c>
      <c r="B275" s="74" t="inlineStr">
        <is>
          <t>T1059</t>
        </is>
      </c>
      <c r="C275" s="74" t="inlineStr">
        <is>
          <t>T1059.008</t>
        </is>
      </c>
      <c r="D275" s="78" t="inlineStr">
        <is>
          <t>Network Device CLI (T1059.008)</t>
        </is>
      </c>
    </row>
    <row r="276">
      <c r="A276" s="78" t="inlineStr">
        <is>
          <t>execution</t>
        </is>
      </c>
      <c r="B276" s="74" t="inlineStr">
        <is>
          <t>T1059</t>
        </is>
      </c>
      <c r="C276" s="74" t="inlineStr">
        <is>
          <t>T1059.009</t>
        </is>
      </c>
      <c r="D276" s="78" t="inlineStr">
        <is>
          <t>Cloud API (T1059.009)</t>
        </is>
      </c>
    </row>
    <row r="277">
      <c r="A277" s="78" t="inlineStr">
        <is>
          <t>execution</t>
        </is>
      </c>
      <c r="B277" s="74" t="inlineStr">
        <is>
          <t>T1059</t>
        </is>
      </c>
      <c r="C277" s="74" t="inlineStr">
        <is>
          <t>T1059.010</t>
        </is>
      </c>
      <c r="D277" s="78" t="inlineStr">
        <is>
          <t>AutoHotKey &amp; AutoIT (T1059.010)</t>
        </is>
      </c>
    </row>
    <row r="278">
      <c r="A278" s="78" t="inlineStr">
        <is>
          <t>execution</t>
        </is>
      </c>
      <c r="B278" s="74" t="inlineStr">
        <is>
          <t>T1059</t>
        </is>
      </c>
      <c r="C278" s="74" t="inlineStr">
        <is>
          <t>T1059.011</t>
        </is>
      </c>
      <c r="D278" s="78" t="inlineStr">
        <is>
          <t>Lua (T1059.011)</t>
        </is>
      </c>
    </row>
    <row r="279">
      <c r="A279" s="78" t="inlineStr">
        <is>
          <t>execution</t>
        </is>
      </c>
      <c r="B279" s="74" t="inlineStr">
        <is>
          <t>T1059</t>
        </is>
      </c>
      <c r="C279" s="74" t="inlineStr">
        <is>
          <t>T1059.012</t>
        </is>
      </c>
      <c r="D279" s="78" t="inlineStr">
        <is>
          <t>Hypervisor CLI (T1059.012)</t>
        </is>
      </c>
    </row>
    <row r="280">
      <c r="A280" s="78" t="inlineStr">
        <is>
          <t>execution</t>
        </is>
      </c>
      <c r="B280" s="74" t="inlineStr">
        <is>
          <t>T1059</t>
        </is>
      </c>
      <c r="C280" s="74" t="inlineStr">
        <is>
          <t>T1059.013</t>
        </is>
      </c>
      <c r="D280" s="78" t="inlineStr">
        <is>
          <t>Container CLI/API (T1059.013)</t>
        </is>
      </c>
    </row>
    <row r="281">
      <c r="A281" s="78" t="inlineStr">
        <is>
          <t>execution</t>
        </is>
      </c>
      <c r="B281" s="74" t="inlineStr">
        <is>
          <t>T1072</t>
        </is>
      </c>
      <c r="C281" s="74" t="inlineStr">
        <is>
          <t>T1072</t>
        </is>
      </c>
      <c r="D281" s="78" t="inlineStr">
        <is>
          <t>Software Deployment Tools (T1072)</t>
        </is>
      </c>
    </row>
    <row r="282">
      <c r="A282" s="78" t="inlineStr">
        <is>
          <t>execution</t>
        </is>
      </c>
      <c r="B282" s="74" t="inlineStr">
        <is>
          <t>T1106</t>
        </is>
      </c>
      <c r="C282" s="74" t="inlineStr">
        <is>
          <t>T1106</t>
        </is>
      </c>
      <c r="D282" s="78" t="inlineStr">
        <is>
          <t>Native API (T1106)</t>
        </is>
      </c>
    </row>
    <row r="283">
      <c r="A283" s="78" t="inlineStr">
        <is>
          <t>execution</t>
        </is>
      </c>
      <c r="B283" s="74" t="inlineStr">
        <is>
          <t>T1127</t>
        </is>
      </c>
      <c r="C283" s="74" t="inlineStr">
        <is>
          <t>T1127</t>
        </is>
      </c>
      <c r="D283" s="78" t="inlineStr">
        <is>
          <t>Trusted Developer Utilities Proxy Execution (T1127)</t>
        </is>
      </c>
    </row>
    <row r="284">
      <c r="A284" s="78" t="inlineStr">
        <is>
          <t>execution</t>
        </is>
      </c>
      <c r="B284" s="74" t="inlineStr">
        <is>
          <t>T1127</t>
        </is>
      </c>
      <c r="C284" s="74" t="inlineStr">
        <is>
          <t>T1127.001</t>
        </is>
      </c>
      <c r="D284" s="78" t="inlineStr">
        <is>
          <t>MSBuild (T1127.001)</t>
        </is>
      </c>
    </row>
    <row r="285">
      <c r="A285" s="78" t="inlineStr">
        <is>
          <t>execution</t>
        </is>
      </c>
      <c r="B285" s="74" t="inlineStr">
        <is>
          <t>T1127</t>
        </is>
      </c>
      <c r="C285" s="74" t="inlineStr">
        <is>
          <t>T1127.002</t>
        </is>
      </c>
      <c r="D285" s="78" t="inlineStr">
        <is>
          <t>ClickOnce (T1127.002)</t>
        </is>
      </c>
    </row>
    <row r="286">
      <c r="A286" s="78" t="inlineStr">
        <is>
          <t>execution</t>
        </is>
      </c>
      <c r="B286" s="74" t="inlineStr">
        <is>
          <t>T1127</t>
        </is>
      </c>
      <c r="C286" s="74" t="inlineStr">
        <is>
          <t>T1127.003</t>
        </is>
      </c>
      <c r="D286" s="78" t="inlineStr">
        <is>
          <t>JamPlus (T1127.003)</t>
        </is>
      </c>
    </row>
    <row r="287">
      <c r="A287" s="78" t="inlineStr">
        <is>
          <t>execution</t>
        </is>
      </c>
      <c r="B287" s="74" t="inlineStr">
        <is>
          <t>T1129</t>
        </is>
      </c>
      <c r="C287" s="74" t="inlineStr">
        <is>
          <t>T1129</t>
        </is>
      </c>
      <c r="D287" s="78" t="inlineStr">
        <is>
          <t>Shared Modules (T1129)</t>
        </is>
      </c>
    </row>
    <row r="288">
      <c r="A288" s="78" t="inlineStr">
        <is>
          <t>execution</t>
        </is>
      </c>
      <c r="B288" s="74" t="inlineStr">
        <is>
          <t>T1197</t>
        </is>
      </c>
      <c r="C288" s="74" t="inlineStr">
        <is>
          <t>T1197</t>
        </is>
      </c>
      <c r="D288" s="78" t="inlineStr">
        <is>
          <t>BITS Jobs (T1197)</t>
        </is>
      </c>
    </row>
    <row r="289">
      <c r="A289" s="78" t="inlineStr">
        <is>
          <t>execution</t>
        </is>
      </c>
      <c r="B289" s="74" t="inlineStr">
        <is>
          <t>T1203</t>
        </is>
      </c>
      <c r="C289" s="74" t="inlineStr">
        <is>
          <t>T1203</t>
        </is>
      </c>
      <c r="D289" s="78" t="inlineStr">
        <is>
          <t>Exploitation for Client Execution (T1203)</t>
        </is>
      </c>
    </row>
    <row r="290">
      <c r="A290" s="78" t="inlineStr">
        <is>
          <t>execution</t>
        </is>
      </c>
      <c r="B290" s="74" t="inlineStr">
        <is>
          <t>T1204</t>
        </is>
      </c>
      <c r="C290" s="74" t="inlineStr">
        <is>
          <t>T1204</t>
        </is>
      </c>
      <c r="D290" s="78" t="inlineStr">
        <is>
          <t>User Execution (T1204)</t>
        </is>
      </c>
    </row>
    <row r="291">
      <c r="A291" s="78" t="inlineStr">
        <is>
          <t>execution</t>
        </is>
      </c>
      <c r="B291" s="74" t="inlineStr">
        <is>
          <t>T1204</t>
        </is>
      </c>
      <c r="C291" s="74" t="inlineStr">
        <is>
          <t>T1204.001</t>
        </is>
      </c>
      <c r="D291" s="78" t="inlineStr">
        <is>
          <t>Malicious Link (T1204.001)</t>
        </is>
      </c>
    </row>
    <row r="292">
      <c r="A292" s="78" t="inlineStr">
        <is>
          <t>execution</t>
        </is>
      </c>
      <c r="B292" s="74" t="inlineStr">
        <is>
          <t>T1204</t>
        </is>
      </c>
      <c r="C292" s="74" t="inlineStr">
        <is>
          <t>T1204.002</t>
        </is>
      </c>
      <c r="D292" s="78" t="inlineStr">
        <is>
          <t>Malicious File (T1204.002)</t>
        </is>
      </c>
    </row>
    <row r="293">
      <c r="A293" s="78" t="inlineStr">
        <is>
          <t>execution</t>
        </is>
      </c>
      <c r="B293" s="74" t="inlineStr">
        <is>
          <t>T1204</t>
        </is>
      </c>
      <c r="C293" s="74" t="inlineStr">
        <is>
          <t>T1204.003</t>
        </is>
      </c>
      <c r="D293" s="78" t="inlineStr">
        <is>
          <t>Malicious Image (T1204.003)</t>
        </is>
      </c>
    </row>
    <row r="294">
      <c r="A294" s="78" t="inlineStr">
        <is>
          <t>execution</t>
        </is>
      </c>
      <c r="B294" s="74" t="inlineStr">
        <is>
          <t>T1204</t>
        </is>
      </c>
      <c r="C294" s="74" t="inlineStr">
        <is>
          <t>T1204.004</t>
        </is>
      </c>
      <c r="D294" s="78" t="inlineStr">
        <is>
          <t>Malicious Copy and Paste (T1204.004)</t>
        </is>
      </c>
    </row>
    <row r="295">
      <c r="A295" s="78" t="inlineStr">
        <is>
          <t>execution</t>
        </is>
      </c>
      <c r="B295" s="74" t="inlineStr">
        <is>
          <t>T1204</t>
        </is>
      </c>
      <c r="C295" s="74" t="inlineStr">
        <is>
          <t>T1204.005</t>
        </is>
      </c>
      <c r="D295" s="78" t="inlineStr">
        <is>
          <t>Malicious Library (T1204.005)</t>
        </is>
      </c>
    </row>
    <row r="296">
      <c r="A296" s="78" t="inlineStr">
        <is>
          <t>execution</t>
        </is>
      </c>
      <c r="B296" s="74" t="inlineStr">
        <is>
          <t>T1559</t>
        </is>
      </c>
      <c r="C296" s="74" t="inlineStr">
        <is>
          <t>T1559</t>
        </is>
      </c>
      <c r="D296" s="78" t="inlineStr">
        <is>
          <t>Inter-Process Communication (T1559)</t>
        </is>
      </c>
    </row>
    <row r="297">
      <c r="A297" s="78" t="inlineStr">
        <is>
          <t>execution</t>
        </is>
      </c>
      <c r="B297" s="74" t="inlineStr">
        <is>
          <t>T1559</t>
        </is>
      </c>
      <c r="C297" s="74" t="inlineStr">
        <is>
          <t>T1559.001</t>
        </is>
      </c>
      <c r="D297" s="78" t="inlineStr">
        <is>
          <t>Component Object Model (T1559.001)</t>
        </is>
      </c>
    </row>
    <row r="298">
      <c r="A298" s="78" t="inlineStr">
        <is>
          <t>execution</t>
        </is>
      </c>
      <c r="B298" s="74" t="inlineStr">
        <is>
          <t>T1559</t>
        </is>
      </c>
      <c r="C298" s="74" t="inlineStr">
        <is>
          <t>T1559.002</t>
        </is>
      </c>
      <c r="D298" s="78" t="inlineStr">
        <is>
          <t>Dynamic Data Exchange (T1559.002)</t>
        </is>
      </c>
    </row>
    <row r="299">
      <c r="A299" s="78" t="inlineStr">
        <is>
          <t>execution</t>
        </is>
      </c>
      <c r="B299" s="74" t="inlineStr">
        <is>
          <t>T1559</t>
        </is>
      </c>
      <c r="C299" s="74" t="inlineStr">
        <is>
          <t>T1559.003</t>
        </is>
      </c>
      <c r="D299" s="78" t="inlineStr">
        <is>
          <t>XPC Services (T1559.003)</t>
        </is>
      </c>
    </row>
    <row r="300">
      <c r="A300" s="78" t="inlineStr">
        <is>
          <t>execution</t>
        </is>
      </c>
      <c r="B300" s="74" t="inlineStr">
        <is>
          <t>T1569</t>
        </is>
      </c>
      <c r="C300" s="74" t="inlineStr">
        <is>
          <t>T1569</t>
        </is>
      </c>
      <c r="D300" s="78" t="inlineStr">
        <is>
          <t>System Services (T1569)</t>
        </is>
      </c>
    </row>
    <row r="301">
      <c r="A301" s="78" t="inlineStr">
        <is>
          <t>execution</t>
        </is>
      </c>
      <c r="B301" s="74" t="inlineStr">
        <is>
          <t>T1569</t>
        </is>
      </c>
      <c r="C301" s="74" t="inlineStr">
        <is>
          <t>T1569.001</t>
        </is>
      </c>
      <c r="D301" s="78" t="inlineStr">
        <is>
          <t>Launchctl (T1569.001)</t>
        </is>
      </c>
    </row>
    <row r="302">
      <c r="A302" s="78" t="inlineStr">
        <is>
          <t>execution</t>
        </is>
      </c>
      <c r="B302" s="74" t="inlineStr">
        <is>
          <t>T1569</t>
        </is>
      </c>
      <c r="C302" s="74" t="inlineStr">
        <is>
          <t>T1569.002</t>
        </is>
      </c>
      <c r="D302" s="78" t="inlineStr">
        <is>
          <t>Service Execution (T1569.002)</t>
        </is>
      </c>
    </row>
    <row r="303">
      <c r="A303" s="78" t="inlineStr">
        <is>
          <t>execution</t>
        </is>
      </c>
      <c r="B303" s="74" t="inlineStr">
        <is>
          <t>T1569</t>
        </is>
      </c>
      <c r="C303" s="74" t="inlineStr">
        <is>
          <t>T1569.003</t>
        </is>
      </c>
      <c r="D303" s="78" t="inlineStr">
        <is>
          <t>Systemctl (T1569.003)</t>
        </is>
      </c>
    </row>
    <row r="304">
      <c r="A304" s="78" t="inlineStr">
        <is>
          <t>execution</t>
        </is>
      </c>
      <c r="B304" s="74" t="inlineStr">
        <is>
          <t>T1574</t>
        </is>
      </c>
      <c r="C304" s="74" t="inlineStr">
        <is>
          <t>T1574</t>
        </is>
      </c>
      <c r="D304" s="78" t="inlineStr">
        <is>
          <t>Hijack Execution Flow (T1574)</t>
        </is>
      </c>
    </row>
    <row r="305">
      <c r="A305" s="78" t="inlineStr">
        <is>
          <t>execution</t>
        </is>
      </c>
      <c r="B305" s="74" t="inlineStr">
        <is>
          <t>T1574</t>
        </is>
      </c>
      <c r="C305" s="74" t="inlineStr">
        <is>
          <t>T1574.001</t>
        </is>
      </c>
      <c r="D305" s="78" t="inlineStr">
        <is>
          <t>DLL (T1574.001)</t>
        </is>
      </c>
    </row>
    <row r="306">
      <c r="A306" s="78" t="inlineStr">
        <is>
          <t>execution</t>
        </is>
      </c>
      <c r="B306" s="74" t="inlineStr">
        <is>
          <t>T1574</t>
        </is>
      </c>
      <c r="C306" s="74" t="inlineStr">
        <is>
          <t>T1574.004</t>
        </is>
      </c>
      <c r="D306" s="78" t="inlineStr">
        <is>
          <t>Dylib Hijacking (T1574.004)</t>
        </is>
      </c>
    </row>
    <row r="307">
      <c r="A307" s="78" t="inlineStr">
        <is>
          <t>execution</t>
        </is>
      </c>
      <c r="B307" s="74" t="inlineStr">
        <is>
          <t>T1574</t>
        </is>
      </c>
      <c r="C307" s="74" t="inlineStr">
        <is>
          <t>T1574.005</t>
        </is>
      </c>
      <c r="D307" s="78" t="inlineStr">
        <is>
          <t>Executable Installer File Permissions Weakness (T1574.005)</t>
        </is>
      </c>
    </row>
    <row r="308">
      <c r="A308" s="78" t="inlineStr">
        <is>
          <t>execution</t>
        </is>
      </c>
      <c r="B308" s="74" t="inlineStr">
        <is>
          <t>T1574</t>
        </is>
      </c>
      <c r="C308" s="74" t="inlineStr">
        <is>
          <t>T1574.006</t>
        </is>
      </c>
      <c r="D308" s="78" t="inlineStr">
        <is>
          <t>Dynamic Linker Hijacking (T1574.006)</t>
        </is>
      </c>
    </row>
    <row r="309">
      <c r="A309" s="78" t="inlineStr">
        <is>
          <t>execution</t>
        </is>
      </c>
      <c r="B309" s="74" t="inlineStr">
        <is>
          <t>T1574</t>
        </is>
      </c>
      <c r="C309" s="74" t="inlineStr">
        <is>
          <t>T1574.007</t>
        </is>
      </c>
      <c r="D309" s="78" t="inlineStr">
        <is>
          <t>Path Interception by PATH Environment Variable (T1574.007)</t>
        </is>
      </c>
    </row>
    <row r="310">
      <c r="A310" s="78" t="inlineStr">
        <is>
          <t>execution</t>
        </is>
      </c>
      <c r="B310" s="74" t="inlineStr">
        <is>
          <t>T1574</t>
        </is>
      </c>
      <c r="C310" s="74" t="inlineStr">
        <is>
          <t>T1574.008</t>
        </is>
      </c>
      <c r="D310" s="78" t="inlineStr">
        <is>
          <t>Path Interception by Search Order Hijacking (T1574.008)</t>
        </is>
      </c>
    </row>
    <row r="311">
      <c r="A311" s="78" t="inlineStr">
        <is>
          <t>execution</t>
        </is>
      </c>
      <c r="B311" s="74" t="inlineStr">
        <is>
          <t>T1574</t>
        </is>
      </c>
      <c r="C311" s="74" t="inlineStr">
        <is>
          <t>T1574.009</t>
        </is>
      </c>
      <c r="D311" s="78" t="inlineStr">
        <is>
          <t>Path Interception by Unquoted Path (T1574.009)</t>
        </is>
      </c>
    </row>
    <row r="312">
      <c r="A312" s="78" t="inlineStr">
        <is>
          <t>execution</t>
        </is>
      </c>
      <c r="B312" s="74" t="inlineStr">
        <is>
          <t>T1574</t>
        </is>
      </c>
      <c r="C312" s="74" t="inlineStr">
        <is>
          <t>T1574.010</t>
        </is>
      </c>
      <c r="D312" s="78" t="inlineStr">
        <is>
          <t>Services File Permissions Weakness (T1574.010)</t>
        </is>
      </c>
    </row>
    <row r="313">
      <c r="A313" s="78" t="inlineStr">
        <is>
          <t>execution</t>
        </is>
      </c>
      <c r="B313" s="74" t="inlineStr">
        <is>
          <t>T1574</t>
        </is>
      </c>
      <c r="C313" s="74" t="inlineStr">
        <is>
          <t>T1574.011</t>
        </is>
      </c>
      <c r="D313" s="78" t="inlineStr">
        <is>
          <t>Services Registry Permissions Weakness (T1574.011)</t>
        </is>
      </c>
    </row>
    <row r="314">
      <c r="A314" s="78" t="inlineStr">
        <is>
          <t>execution</t>
        </is>
      </c>
      <c r="B314" s="74" t="inlineStr">
        <is>
          <t>T1574</t>
        </is>
      </c>
      <c r="C314" s="74" t="inlineStr">
        <is>
          <t>T1574.012</t>
        </is>
      </c>
      <c r="D314" s="78" t="inlineStr">
        <is>
          <t>COR_PROFILER (T1574.012)</t>
        </is>
      </c>
    </row>
    <row r="315">
      <c r="A315" s="78" t="inlineStr">
        <is>
          <t>execution</t>
        </is>
      </c>
      <c r="B315" s="74" t="inlineStr">
        <is>
          <t>T1574</t>
        </is>
      </c>
      <c r="C315" s="74" t="inlineStr">
        <is>
          <t>T1574.013</t>
        </is>
      </c>
      <c r="D315" s="78" t="inlineStr">
        <is>
          <t>KernelCallbackTable (T1574.013)</t>
        </is>
      </c>
    </row>
    <row r="316">
      <c r="A316" s="78" t="inlineStr">
        <is>
          <t>execution</t>
        </is>
      </c>
      <c r="B316" s="74" t="inlineStr">
        <is>
          <t>T1574</t>
        </is>
      </c>
      <c r="C316" s="74" t="inlineStr">
        <is>
          <t>T1574.014</t>
        </is>
      </c>
      <c r="D316" s="78" t="inlineStr">
        <is>
          <t>AppDomainManager (T1574.014)</t>
        </is>
      </c>
    </row>
    <row r="317">
      <c r="A317" s="78" t="inlineStr">
        <is>
          <t>execution</t>
        </is>
      </c>
      <c r="B317" s="74" t="inlineStr">
        <is>
          <t>T1609</t>
        </is>
      </c>
      <c r="C317" s="74" t="inlineStr">
        <is>
          <t>T1609</t>
        </is>
      </c>
      <c r="D317" s="78" t="inlineStr">
        <is>
          <t>Container Administration Command (T1609)</t>
        </is>
      </c>
    </row>
    <row r="318">
      <c r="A318" s="78" t="inlineStr">
        <is>
          <t>execution</t>
        </is>
      </c>
      <c r="B318" s="74" t="inlineStr">
        <is>
          <t>T1610</t>
        </is>
      </c>
      <c r="C318" s="74" t="inlineStr">
        <is>
          <t>T1610</t>
        </is>
      </c>
      <c r="D318" s="78" t="inlineStr">
        <is>
          <t>Deploy Container (T1610)</t>
        </is>
      </c>
    </row>
    <row r="319">
      <c r="A319" s="78" t="inlineStr">
        <is>
          <t>execution</t>
        </is>
      </c>
      <c r="B319" s="74" t="inlineStr">
        <is>
          <t>T1648</t>
        </is>
      </c>
      <c r="C319" s="74" t="inlineStr">
        <is>
          <t>T1648</t>
        </is>
      </c>
      <c r="D319" s="78" t="inlineStr">
        <is>
          <t>Serverless Execution (T1648)</t>
        </is>
      </c>
    </row>
    <row r="320">
      <c r="A320" s="78" t="inlineStr">
        <is>
          <t>execution</t>
        </is>
      </c>
      <c r="B320" s="74" t="inlineStr">
        <is>
          <t>T1651</t>
        </is>
      </c>
      <c r="C320" s="74" t="inlineStr">
        <is>
          <t>T1651</t>
        </is>
      </c>
      <c r="D320" s="78" t="inlineStr">
        <is>
          <t>Cloud Administration Command (T1651)</t>
        </is>
      </c>
    </row>
    <row r="321">
      <c r="A321" s="78" t="inlineStr">
        <is>
          <t>execution</t>
        </is>
      </c>
      <c r="B321" s="74" t="inlineStr">
        <is>
          <t>T1674</t>
        </is>
      </c>
      <c r="C321" s="74" t="inlineStr">
        <is>
          <t>T1674</t>
        </is>
      </c>
      <c r="D321" s="78" t="inlineStr">
        <is>
          <t>Input Injection (T1674)</t>
        </is>
      </c>
    </row>
    <row r="322">
      <c r="A322" s="78" t="inlineStr">
        <is>
          <t>execution</t>
        </is>
      </c>
      <c r="B322" s="74" t="inlineStr">
        <is>
          <t>T1675</t>
        </is>
      </c>
      <c r="C322" s="74" t="inlineStr">
        <is>
          <t>T1675</t>
        </is>
      </c>
      <c r="D322" s="78" t="inlineStr">
        <is>
          <t>ESXi Administration Command (T1675)</t>
        </is>
      </c>
    </row>
    <row r="323">
      <c r="A323" s="78" t="inlineStr">
        <is>
          <t>execution</t>
        </is>
      </c>
      <c r="B323" s="74" t="inlineStr">
        <is>
          <t>T1677</t>
        </is>
      </c>
      <c r="C323" s="74" t="inlineStr">
        <is>
          <t>T1677</t>
        </is>
      </c>
      <c r="D323" s="78" t="inlineStr">
        <is>
          <t>Poisoned Pipeline Execution (T1677)</t>
        </is>
      </c>
    </row>
    <row r="324">
      <c r="A324" s="78" t="inlineStr">
        <is>
          <t>exfiltration</t>
        </is>
      </c>
      <c r="B324" s="74" t="inlineStr">
        <is>
          <t>T1011</t>
        </is>
      </c>
      <c r="C324" s="74" t="inlineStr">
        <is>
          <t>T1011</t>
        </is>
      </c>
      <c r="D324" s="78" t="inlineStr">
        <is>
          <t>Exfiltration Over Other Network Medium (T1011)</t>
        </is>
      </c>
    </row>
    <row r="325">
      <c r="A325" s="78" t="inlineStr">
        <is>
          <t>exfiltration</t>
        </is>
      </c>
      <c r="B325" s="74" t="inlineStr">
        <is>
          <t>T1011</t>
        </is>
      </c>
      <c r="C325" s="74" t="inlineStr">
        <is>
          <t>T1011.001</t>
        </is>
      </c>
      <c r="D325" s="78" t="inlineStr">
        <is>
          <t>Exfiltration Over Bluetooth (T1011.001)</t>
        </is>
      </c>
    </row>
    <row r="326">
      <c r="A326" s="78" t="inlineStr">
        <is>
          <t>exfiltration</t>
        </is>
      </c>
      <c r="B326" s="74" t="inlineStr">
        <is>
          <t>T1020</t>
        </is>
      </c>
      <c r="C326" s="74" t="inlineStr">
        <is>
          <t>T1020</t>
        </is>
      </c>
      <c r="D326" s="78" t="inlineStr">
        <is>
          <t>Automated Exfiltration (T1020)</t>
        </is>
      </c>
    </row>
    <row r="327">
      <c r="A327" s="78" t="inlineStr">
        <is>
          <t>exfiltration</t>
        </is>
      </c>
      <c r="B327" s="74" t="inlineStr">
        <is>
          <t>T1020</t>
        </is>
      </c>
      <c r="C327" s="74" t="inlineStr">
        <is>
          <t>T1020.001</t>
        </is>
      </c>
      <c r="D327" s="78" t="inlineStr">
        <is>
          <t>Traffic Duplication (T1020.001)</t>
        </is>
      </c>
    </row>
    <row r="328">
      <c r="A328" s="78" t="inlineStr">
        <is>
          <t>exfiltration</t>
        </is>
      </c>
      <c r="B328" s="74" t="inlineStr">
        <is>
          <t>T1029</t>
        </is>
      </c>
      <c r="C328" s="74" t="inlineStr">
        <is>
          <t>T1029</t>
        </is>
      </c>
      <c r="D328" s="78" t="inlineStr">
        <is>
          <t>Scheduled Transfer (T1029)</t>
        </is>
      </c>
    </row>
    <row r="329">
      <c r="A329" s="78" t="inlineStr">
        <is>
          <t>exfiltration</t>
        </is>
      </c>
      <c r="B329" s="74" t="inlineStr">
        <is>
          <t>T1030</t>
        </is>
      </c>
      <c r="C329" s="74" t="inlineStr">
        <is>
          <t>T1030</t>
        </is>
      </c>
      <c r="D329" s="78" t="inlineStr">
        <is>
          <t>Data Transfer Size Limits (T1030)</t>
        </is>
      </c>
    </row>
    <row r="330">
      <c r="A330" s="78" t="inlineStr">
        <is>
          <t>exfiltration</t>
        </is>
      </c>
      <c r="B330" s="74" t="inlineStr">
        <is>
          <t>T1041</t>
        </is>
      </c>
      <c r="C330" s="74" t="inlineStr">
        <is>
          <t>T1041</t>
        </is>
      </c>
      <c r="D330" s="78" t="inlineStr">
        <is>
          <t>Exfiltration Over C2 Channel (T1041)</t>
        </is>
      </c>
    </row>
    <row r="331">
      <c r="A331" s="78" t="inlineStr">
        <is>
          <t>exfiltration</t>
        </is>
      </c>
      <c r="B331" s="74" t="inlineStr">
        <is>
          <t>T1048</t>
        </is>
      </c>
      <c r="C331" s="74" t="inlineStr">
        <is>
          <t>T1048</t>
        </is>
      </c>
      <c r="D331" s="78" t="inlineStr">
        <is>
          <t>Exfiltration Over Alternative Protocol (T1048)</t>
        </is>
      </c>
    </row>
    <row r="332">
      <c r="A332" s="78" t="inlineStr">
        <is>
          <t>exfiltration</t>
        </is>
      </c>
      <c r="B332" s="74" t="inlineStr">
        <is>
          <t>T1048</t>
        </is>
      </c>
      <c r="C332" s="74" t="inlineStr">
        <is>
          <t>T1048.001</t>
        </is>
      </c>
      <c r="D332" s="78" t="inlineStr">
        <is>
          <t>Exfiltration Over Symmetric Encrypted Non-C2 Protocol (T1048.001)</t>
        </is>
      </c>
    </row>
    <row r="333">
      <c r="A333" s="78" t="inlineStr">
        <is>
          <t>exfiltration</t>
        </is>
      </c>
      <c r="B333" s="74" t="inlineStr">
        <is>
          <t>T1048</t>
        </is>
      </c>
      <c r="C333" s="74" t="inlineStr">
        <is>
          <t>T1048.002</t>
        </is>
      </c>
      <c r="D333" s="78" t="inlineStr">
        <is>
          <t>Exfiltration Over Asymmetric Encrypted Non-C2 Protocol (T1048.002)</t>
        </is>
      </c>
    </row>
    <row r="334">
      <c r="A334" s="78" t="inlineStr">
        <is>
          <t>exfiltration</t>
        </is>
      </c>
      <c r="B334" s="74" t="inlineStr">
        <is>
          <t>T1048</t>
        </is>
      </c>
      <c r="C334" s="74" t="inlineStr">
        <is>
          <t>T1048.003</t>
        </is>
      </c>
      <c r="D334" s="78" t="inlineStr">
        <is>
          <t>Exfiltration Over Unencrypted Non-C2 Protocol (T1048.003)</t>
        </is>
      </c>
    </row>
    <row r="335">
      <c r="A335" s="78" t="inlineStr">
        <is>
          <t>exfiltration</t>
        </is>
      </c>
      <c r="B335" s="74" t="inlineStr">
        <is>
          <t>T1052</t>
        </is>
      </c>
      <c r="C335" s="74" t="inlineStr">
        <is>
          <t>T1052</t>
        </is>
      </c>
      <c r="D335" s="78" t="inlineStr">
        <is>
          <t>Exfiltration Over Physical Medium (T1052)</t>
        </is>
      </c>
    </row>
    <row r="336">
      <c r="A336" s="78" t="inlineStr">
        <is>
          <t>exfiltration</t>
        </is>
      </c>
      <c r="B336" s="74" t="inlineStr">
        <is>
          <t>T1052</t>
        </is>
      </c>
      <c r="C336" s="74" t="inlineStr">
        <is>
          <t>T1052.001</t>
        </is>
      </c>
      <c r="D336" s="78" t="inlineStr">
        <is>
          <t>Exfiltration over USB (T1052.001)</t>
        </is>
      </c>
    </row>
    <row r="337">
      <c r="A337" s="78" t="inlineStr">
        <is>
          <t>exfiltration</t>
        </is>
      </c>
      <c r="B337" s="74" t="inlineStr">
        <is>
          <t>T1537</t>
        </is>
      </c>
      <c r="C337" s="74" t="inlineStr">
        <is>
          <t>T1537</t>
        </is>
      </c>
      <c r="D337" s="78" t="inlineStr">
        <is>
          <t>Transfer Data to Cloud Account (T1537)</t>
        </is>
      </c>
    </row>
    <row r="338">
      <c r="A338" s="78" t="inlineStr">
        <is>
          <t>exfiltration</t>
        </is>
      </c>
      <c r="B338" s="74" t="inlineStr">
        <is>
          <t>T1567</t>
        </is>
      </c>
      <c r="C338" s="74" t="inlineStr">
        <is>
          <t>T1567</t>
        </is>
      </c>
      <c r="D338" s="78" t="inlineStr">
        <is>
          <t>Exfiltration Over Web Service (T1567)</t>
        </is>
      </c>
    </row>
    <row r="339">
      <c r="A339" s="78" t="inlineStr">
        <is>
          <t>exfiltration</t>
        </is>
      </c>
      <c r="B339" s="74" t="inlineStr">
        <is>
          <t>T1567</t>
        </is>
      </c>
      <c r="C339" s="74" t="inlineStr">
        <is>
          <t>T1567.001</t>
        </is>
      </c>
      <c r="D339" s="78" t="inlineStr">
        <is>
          <t>Exfiltration to Code Repository (T1567.001)</t>
        </is>
      </c>
    </row>
    <row r="340">
      <c r="A340" s="78" t="inlineStr">
        <is>
          <t>exfiltration</t>
        </is>
      </c>
      <c r="B340" s="74" t="inlineStr">
        <is>
          <t>T1567</t>
        </is>
      </c>
      <c r="C340" s="74" t="inlineStr">
        <is>
          <t>T1567.002</t>
        </is>
      </c>
      <c r="D340" s="78" t="inlineStr">
        <is>
          <t>Exfiltration to Cloud Storage (T1567.002)</t>
        </is>
      </c>
    </row>
    <row r="341">
      <c r="A341" s="78" t="inlineStr">
        <is>
          <t>exfiltration</t>
        </is>
      </c>
      <c r="B341" s="74" t="inlineStr">
        <is>
          <t>T1567</t>
        </is>
      </c>
      <c r="C341" s="74" t="inlineStr">
        <is>
          <t>T1567.003</t>
        </is>
      </c>
      <c r="D341" s="78" t="inlineStr">
        <is>
          <t>Exfiltration to Text Storage Sites (T1567.003)</t>
        </is>
      </c>
    </row>
    <row r="342">
      <c r="A342" s="78" t="inlineStr">
        <is>
          <t>exfiltration</t>
        </is>
      </c>
      <c r="B342" s="74" t="inlineStr">
        <is>
          <t>T1567</t>
        </is>
      </c>
      <c r="C342" s="74" t="inlineStr">
        <is>
          <t>T1567.004</t>
        </is>
      </c>
      <c r="D342" s="78" t="inlineStr">
        <is>
          <t>Exfiltration Over Webhook (T1567.004)</t>
        </is>
      </c>
    </row>
    <row r="343">
      <c r="A343" s="78" t="inlineStr">
        <is>
          <t>impact</t>
        </is>
      </c>
      <c r="B343" s="74" t="inlineStr">
        <is>
          <t>T1485</t>
        </is>
      </c>
      <c r="C343" s="74" t="inlineStr">
        <is>
          <t>T1485</t>
        </is>
      </c>
      <c r="D343" s="78" t="inlineStr">
        <is>
          <t>Data Destruction (T1485)</t>
        </is>
      </c>
    </row>
    <row r="344">
      <c r="A344" s="78" t="inlineStr">
        <is>
          <t>impact</t>
        </is>
      </c>
      <c r="B344" s="74" t="inlineStr">
        <is>
          <t>T1485</t>
        </is>
      </c>
      <c r="C344" s="74" t="inlineStr">
        <is>
          <t>T1485.001</t>
        </is>
      </c>
      <c r="D344" s="78" t="inlineStr">
        <is>
          <t>Lifecycle-Triggered Deletion (T1485.001)</t>
        </is>
      </c>
    </row>
    <row r="345">
      <c r="A345" s="78" t="inlineStr">
        <is>
          <t>impact</t>
        </is>
      </c>
      <c r="B345" s="74" t="inlineStr">
        <is>
          <t>T1486</t>
        </is>
      </c>
      <c r="C345" s="74" t="inlineStr">
        <is>
          <t>T1486</t>
        </is>
      </c>
      <c r="D345" s="78" t="inlineStr">
        <is>
          <t>Data Encrypted for Impact (T1486)</t>
        </is>
      </c>
    </row>
    <row r="346">
      <c r="A346" s="78" t="inlineStr">
        <is>
          <t>impact</t>
        </is>
      </c>
      <c r="B346" s="74" t="inlineStr">
        <is>
          <t>T1489</t>
        </is>
      </c>
      <c r="C346" s="74" t="inlineStr">
        <is>
          <t>T1489</t>
        </is>
      </c>
      <c r="D346" s="78" t="inlineStr">
        <is>
          <t>Service Stop (T1489)</t>
        </is>
      </c>
    </row>
    <row r="347">
      <c r="A347" s="78" t="inlineStr">
        <is>
          <t>impact</t>
        </is>
      </c>
      <c r="B347" s="74" t="inlineStr">
        <is>
          <t>T1490</t>
        </is>
      </c>
      <c r="C347" s="74" t="inlineStr">
        <is>
          <t>T1490</t>
        </is>
      </c>
      <c r="D347" s="78" t="inlineStr">
        <is>
          <t>Inhibit System Recovery (T1490)</t>
        </is>
      </c>
    </row>
    <row r="348">
      <c r="A348" s="78" t="inlineStr">
        <is>
          <t>impact</t>
        </is>
      </c>
      <c r="B348" s="74" t="inlineStr">
        <is>
          <t>T1491</t>
        </is>
      </c>
      <c r="C348" s="74" t="inlineStr">
        <is>
          <t>T1491</t>
        </is>
      </c>
      <c r="D348" s="78" t="inlineStr">
        <is>
          <t>Defacement (T1491)</t>
        </is>
      </c>
    </row>
    <row r="349">
      <c r="A349" s="78" t="inlineStr">
        <is>
          <t>impact</t>
        </is>
      </c>
      <c r="B349" s="74" t="inlineStr">
        <is>
          <t>T1491</t>
        </is>
      </c>
      <c r="C349" s="74" t="inlineStr">
        <is>
          <t>T1491.001</t>
        </is>
      </c>
      <c r="D349" s="78" t="inlineStr">
        <is>
          <t>Internal Defacement (T1491.001)</t>
        </is>
      </c>
    </row>
    <row r="350">
      <c r="A350" s="78" t="inlineStr">
        <is>
          <t>impact</t>
        </is>
      </c>
      <c r="B350" s="74" t="inlineStr">
        <is>
          <t>T1491</t>
        </is>
      </c>
      <c r="C350" s="74" t="inlineStr">
        <is>
          <t>T1491.002</t>
        </is>
      </c>
      <c r="D350" s="78" t="inlineStr">
        <is>
          <t>External Defacement (T1491.002)</t>
        </is>
      </c>
    </row>
    <row r="351">
      <c r="A351" s="78" t="inlineStr">
        <is>
          <t>impact</t>
        </is>
      </c>
      <c r="B351" s="74" t="inlineStr">
        <is>
          <t>T1495</t>
        </is>
      </c>
      <c r="C351" s="74" t="inlineStr">
        <is>
          <t>T1495</t>
        </is>
      </c>
      <c r="D351" s="78" t="inlineStr">
        <is>
          <t>Firmware Corruption (T1495)</t>
        </is>
      </c>
    </row>
    <row r="352">
      <c r="A352" s="78" t="inlineStr">
        <is>
          <t>impact</t>
        </is>
      </c>
      <c r="B352" s="74" t="inlineStr">
        <is>
          <t>T1496</t>
        </is>
      </c>
      <c r="C352" s="74" t="inlineStr">
        <is>
          <t>T1496</t>
        </is>
      </c>
      <c r="D352" s="78" t="inlineStr">
        <is>
          <t>Resource Hijacking (T1496)</t>
        </is>
      </c>
    </row>
    <row r="353">
      <c r="A353" s="78" t="inlineStr">
        <is>
          <t>impact</t>
        </is>
      </c>
      <c r="B353" s="74" t="inlineStr">
        <is>
          <t>T1496</t>
        </is>
      </c>
      <c r="C353" s="74" t="inlineStr">
        <is>
          <t>T1496.001</t>
        </is>
      </c>
      <c r="D353" s="78" t="inlineStr">
        <is>
          <t>Compute Hijacking (T1496.001)</t>
        </is>
      </c>
    </row>
    <row r="354">
      <c r="A354" s="78" t="inlineStr">
        <is>
          <t>impact</t>
        </is>
      </c>
      <c r="B354" s="74" t="inlineStr">
        <is>
          <t>T1496</t>
        </is>
      </c>
      <c r="C354" s="74" t="inlineStr">
        <is>
          <t>T1496.002</t>
        </is>
      </c>
      <c r="D354" s="78" t="inlineStr">
        <is>
          <t>Bandwidth Hijacking (T1496.002)</t>
        </is>
      </c>
    </row>
    <row r="355">
      <c r="A355" s="78" t="inlineStr">
        <is>
          <t>impact</t>
        </is>
      </c>
      <c r="B355" s="74" t="inlineStr">
        <is>
          <t>T1496</t>
        </is>
      </c>
      <c r="C355" s="74" t="inlineStr">
        <is>
          <t>T1496.003</t>
        </is>
      </c>
      <c r="D355" s="78" t="inlineStr">
        <is>
          <t>SMS Pumping (T1496.003)</t>
        </is>
      </c>
    </row>
    <row r="356">
      <c r="A356" s="78" t="inlineStr">
        <is>
          <t>impact</t>
        </is>
      </c>
      <c r="B356" s="74" t="inlineStr">
        <is>
          <t>T1496</t>
        </is>
      </c>
      <c r="C356" s="74" t="inlineStr">
        <is>
          <t>T1496.004</t>
        </is>
      </c>
      <c r="D356" s="78" t="inlineStr">
        <is>
          <t>Cloud Service Hijacking (T1496.004)</t>
        </is>
      </c>
    </row>
    <row r="357">
      <c r="A357" s="78" t="inlineStr">
        <is>
          <t>impact</t>
        </is>
      </c>
      <c r="B357" s="74" t="inlineStr">
        <is>
          <t>T1498</t>
        </is>
      </c>
      <c r="C357" s="74" t="inlineStr">
        <is>
          <t>T1498</t>
        </is>
      </c>
      <c r="D357" s="78" t="inlineStr">
        <is>
          <t>Network Denial of Service (T1498)</t>
        </is>
      </c>
    </row>
    <row r="358">
      <c r="A358" s="78" t="inlineStr">
        <is>
          <t>impact</t>
        </is>
      </c>
      <c r="B358" s="74" t="inlineStr">
        <is>
          <t>T1498</t>
        </is>
      </c>
      <c r="C358" s="74" t="inlineStr">
        <is>
          <t>T1498.001</t>
        </is>
      </c>
      <c r="D358" s="78" t="inlineStr">
        <is>
          <t>Direct Network Flood (T1498.001)</t>
        </is>
      </c>
    </row>
    <row r="359">
      <c r="A359" s="78" t="inlineStr">
        <is>
          <t>impact</t>
        </is>
      </c>
      <c r="B359" s="74" t="inlineStr">
        <is>
          <t>T1498</t>
        </is>
      </c>
      <c r="C359" s="74" t="inlineStr">
        <is>
          <t>T1498.002</t>
        </is>
      </c>
      <c r="D359" s="78" t="inlineStr">
        <is>
          <t>Reflection Amplification (T1498.002)</t>
        </is>
      </c>
    </row>
    <row r="360">
      <c r="A360" s="78" t="inlineStr">
        <is>
          <t>impact</t>
        </is>
      </c>
      <c r="B360" s="74" t="inlineStr">
        <is>
          <t>T1499</t>
        </is>
      </c>
      <c r="C360" s="74" t="inlineStr">
        <is>
          <t>T1499</t>
        </is>
      </c>
      <c r="D360" s="78" t="inlineStr">
        <is>
          <t>Endpoint Denial of Service (T1499)</t>
        </is>
      </c>
    </row>
    <row r="361">
      <c r="A361" s="78" t="inlineStr">
        <is>
          <t>impact</t>
        </is>
      </c>
      <c r="B361" s="74" t="inlineStr">
        <is>
          <t>T1499</t>
        </is>
      </c>
      <c r="C361" s="74" t="inlineStr">
        <is>
          <t>T1499.001</t>
        </is>
      </c>
      <c r="D361" s="78" t="inlineStr">
        <is>
          <t>OS Exhaustion Flood (T1499.001)</t>
        </is>
      </c>
    </row>
    <row r="362">
      <c r="A362" s="78" t="inlineStr">
        <is>
          <t>impact</t>
        </is>
      </c>
      <c r="B362" s="74" t="inlineStr">
        <is>
          <t>T1499</t>
        </is>
      </c>
      <c r="C362" s="74" t="inlineStr">
        <is>
          <t>T1499.002</t>
        </is>
      </c>
      <c r="D362" s="78" t="inlineStr">
        <is>
          <t>Service Exhaustion Flood (T1499.002)</t>
        </is>
      </c>
    </row>
    <row r="363">
      <c r="A363" s="78" t="inlineStr">
        <is>
          <t>impact</t>
        </is>
      </c>
      <c r="B363" s="74" t="inlineStr">
        <is>
          <t>T1499</t>
        </is>
      </c>
      <c r="C363" s="74" t="inlineStr">
        <is>
          <t>T1499.003</t>
        </is>
      </c>
      <c r="D363" s="78" t="inlineStr">
        <is>
          <t>Application Exhaustion Flood (T1499.003)</t>
        </is>
      </c>
    </row>
    <row r="364">
      <c r="A364" s="78" t="inlineStr">
        <is>
          <t>impact</t>
        </is>
      </c>
      <c r="B364" s="74" t="inlineStr">
        <is>
          <t>T1499</t>
        </is>
      </c>
      <c r="C364" s="74" t="inlineStr">
        <is>
          <t>T1499.004</t>
        </is>
      </c>
      <c r="D364" s="78" t="inlineStr">
        <is>
          <t>Application or System Exploitation (T1499.004)</t>
        </is>
      </c>
    </row>
    <row r="365">
      <c r="A365" s="78" t="inlineStr">
        <is>
          <t>impact</t>
        </is>
      </c>
      <c r="B365" s="74" t="inlineStr">
        <is>
          <t>T1529</t>
        </is>
      </c>
      <c r="C365" s="74" t="inlineStr">
        <is>
          <t>T1529</t>
        </is>
      </c>
      <c r="D365" s="78" t="inlineStr">
        <is>
          <t>System Shutdown/Reboot (T1529)</t>
        </is>
      </c>
    </row>
    <row r="366">
      <c r="A366" s="78" t="inlineStr">
        <is>
          <t>impact</t>
        </is>
      </c>
      <c r="B366" s="74" t="inlineStr">
        <is>
          <t>T1531</t>
        </is>
      </c>
      <c r="C366" s="74" t="inlineStr">
        <is>
          <t>T1531</t>
        </is>
      </c>
      <c r="D366" s="78" t="inlineStr">
        <is>
          <t>Account Access Removal (T1531)</t>
        </is>
      </c>
    </row>
    <row r="367">
      <c r="A367" s="78" t="inlineStr">
        <is>
          <t>impact</t>
        </is>
      </c>
      <c r="B367" s="74" t="inlineStr">
        <is>
          <t>T1561</t>
        </is>
      </c>
      <c r="C367" s="74" t="inlineStr">
        <is>
          <t>T1561</t>
        </is>
      </c>
      <c r="D367" s="78" t="inlineStr">
        <is>
          <t>Disk Wipe (T1561)</t>
        </is>
      </c>
    </row>
    <row r="368">
      <c r="A368" s="78" t="inlineStr">
        <is>
          <t>impact</t>
        </is>
      </c>
      <c r="B368" s="74" t="inlineStr">
        <is>
          <t>T1561</t>
        </is>
      </c>
      <c r="C368" s="74" t="inlineStr">
        <is>
          <t>T1561.001</t>
        </is>
      </c>
      <c r="D368" s="78" t="inlineStr">
        <is>
          <t>Disk Content Wipe (T1561.001)</t>
        </is>
      </c>
    </row>
    <row r="369">
      <c r="A369" s="78" t="inlineStr">
        <is>
          <t>impact</t>
        </is>
      </c>
      <c r="B369" s="74" t="inlineStr">
        <is>
          <t>T1561</t>
        </is>
      </c>
      <c r="C369" s="74" t="inlineStr">
        <is>
          <t>T1561.002</t>
        </is>
      </c>
      <c r="D369" s="78" t="inlineStr">
        <is>
          <t>Disk Structure Wipe (T1561.002)</t>
        </is>
      </c>
    </row>
    <row r="370">
      <c r="A370" s="78" t="inlineStr">
        <is>
          <t>impact</t>
        </is>
      </c>
      <c r="B370" s="74" t="inlineStr">
        <is>
          <t>T1565</t>
        </is>
      </c>
      <c r="C370" s="74" t="inlineStr">
        <is>
          <t>T1565</t>
        </is>
      </c>
      <c r="D370" s="78" t="inlineStr">
        <is>
          <t>Data Manipulation (T1565)</t>
        </is>
      </c>
    </row>
    <row r="371">
      <c r="A371" s="78" t="inlineStr">
        <is>
          <t>impact</t>
        </is>
      </c>
      <c r="B371" s="74" t="inlineStr">
        <is>
          <t>T1565</t>
        </is>
      </c>
      <c r="C371" s="74" t="inlineStr">
        <is>
          <t>T1565.001</t>
        </is>
      </c>
      <c r="D371" s="78" t="inlineStr">
        <is>
          <t>Stored Data Manipulation (T1565.001)</t>
        </is>
      </c>
    </row>
    <row r="372">
      <c r="A372" s="78" t="inlineStr">
        <is>
          <t>impact</t>
        </is>
      </c>
      <c r="B372" s="74" t="inlineStr">
        <is>
          <t>T1565</t>
        </is>
      </c>
      <c r="C372" s="74" t="inlineStr">
        <is>
          <t>T1565.002</t>
        </is>
      </c>
      <c r="D372" s="78" t="inlineStr">
        <is>
          <t>Transmitted Data Manipulation (T1565.002)</t>
        </is>
      </c>
    </row>
    <row r="373">
      <c r="A373" s="78" t="inlineStr">
        <is>
          <t>impact</t>
        </is>
      </c>
      <c r="B373" s="74" t="inlineStr">
        <is>
          <t>T1565</t>
        </is>
      </c>
      <c r="C373" s="74" t="inlineStr">
        <is>
          <t>T1565.003</t>
        </is>
      </c>
      <c r="D373" s="78" t="inlineStr">
        <is>
          <t>Runtime Data Manipulation (T1565.003)</t>
        </is>
      </c>
    </row>
    <row r="374">
      <c r="A374" s="78" t="inlineStr">
        <is>
          <t>impact</t>
        </is>
      </c>
      <c r="B374" s="74" t="inlineStr">
        <is>
          <t>T1657</t>
        </is>
      </c>
      <c r="C374" s="74" t="inlineStr">
        <is>
          <t>T1657</t>
        </is>
      </c>
      <c r="D374" s="78" t="inlineStr">
        <is>
          <t>Financial Theft (T1657)</t>
        </is>
      </c>
    </row>
    <row r="375">
      <c r="A375" s="78" t="inlineStr">
        <is>
          <t>impact</t>
        </is>
      </c>
      <c r="B375" s="74" t="inlineStr">
        <is>
          <t>T1667</t>
        </is>
      </c>
      <c r="C375" s="74" t="inlineStr">
        <is>
          <t>T1667</t>
        </is>
      </c>
      <c r="D375" s="78" t="inlineStr">
        <is>
          <t>Email Bombing (T1667)</t>
        </is>
      </c>
    </row>
    <row r="376">
      <c r="A376" s="78" t="inlineStr">
        <is>
          <t>initial-access</t>
        </is>
      </c>
      <c r="B376" s="74" t="inlineStr">
        <is>
          <t>T1078</t>
        </is>
      </c>
      <c r="C376" s="74" t="inlineStr">
        <is>
          <t>T1078</t>
        </is>
      </c>
      <c r="D376" s="78" t="inlineStr">
        <is>
          <t>Valid Accounts (T1078)</t>
        </is>
      </c>
    </row>
    <row r="377">
      <c r="A377" s="78" t="inlineStr">
        <is>
          <t>initial-access</t>
        </is>
      </c>
      <c r="B377" s="74" t="inlineStr">
        <is>
          <t>T1078</t>
        </is>
      </c>
      <c r="C377" s="74" t="inlineStr">
        <is>
          <t>T1078.001</t>
        </is>
      </c>
      <c r="D377" s="78" t="inlineStr">
        <is>
          <t>Default Accounts (T1078.001)</t>
        </is>
      </c>
    </row>
    <row r="378">
      <c r="A378" s="78" t="inlineStr">
        <is>
          <t>initial-access</t>
        </is>
      </c>
      <c r="B378" s="74" t="inlineStr">
        <is>
          <t>T1078</t>
        </is>
      </c>
      <c r="C378" s="74" t="inlineStr">
        <is>
          <t>T1078.002</t>
        </is>
      </c>
      <c r="D378" s="78" t="inlineStr">
        <is>
          <t>Domain Accounts (T1078.002)</t>
        </is>
      </c>
    </row>
    <row r="379">
      <c r="A379" s="78" t="inlineStr">
        <is>
          <t>initial-access</t>
        </is>
      </c>
      <c r="B379" s="74" t="inlineStr">
        <is>
          <t>T1078</t>
        </is>
      </c>
      <c r="C379" s="74" t="inlineStr">
        <is>
          <t>T1078.003</t>
        </is>
      </c>
      <c r="D379" s="78" t="inlineStr">
        <is>
          <t>Local Accounts (T1078.003)</t>
        </is>
      </c>
    </row>
    <row r="380">
      <c r="A380" s="78" t="inlineStr">
        <is>
          <t>initial-access</t>
        </is>
      </c>
      <c r="B380" s="74" t="inlineStr">
        <is>
          <t>T1078</t>
        </is>
      </c>
      <c r="C380" s="74" t="inlineStr">
        <is>
          <t>T1078.004</t>
        </is>
      </c>
      <c r="D380" s="78" t="inlineStr">
        <is>
          <t>Cloud Accounts (T1078.004)</t>
        </is>
      </c>
    </row>
    <row r="381">
      <c r="A381" s="78" t="inlineStr">
        <is>
          <t>initial-access</t>
        </is>
      </c>
      <c r="B381" s="74" t="inlineStr">
        <is>
          <t>T1091</t>
        </is>
      </c>
      <c r="C381" s="74" t="inlineStr">
        <is>
          <t>T1091</t>
        </is>
      </c>
      <c r="D381" s="78" t="inlineStr">
        <is>
          <t>Replication Through Removable Media (T1091)</t>
        </is>
      </c>
    </row>
    <row r="382">
      <c r="A382" s="78" t="inlineStr">
        <is>
          <t>initial-access</t>
        </is>
      </c>
      <c r="B382" s="74" t="inlineStr">
        <is>
          <t>T1133</t>
        </is>
      </c>
      <c r="C382" s="74" t="inlineStr">
        <is>
          <t>T1133</t>
        </is>
      </c>
      <c r="D382" s="78" t="inlineStr">
        <is>
          <t>External Remote Services (T1133)</t>
        </is>
      </c>
    </row>
    <row r="383">
      <c r="A383" s="78" t="inlineStr">
        <is>
          <t>initial-access</t>
        </is>
      </c>
      <c r="B383" s="74" t="inlineStr">
        <is>
          <t>T1189</t>
        </is>
      </c>
      <c r="C383" s="74" t="inlineStr">
        <is>
          <t>T1189</t>
        </is>
      </c>
      <c r="D383" s="78" t="inlineStr">
        <is>
          <t>Drive-by Compromise (T1189)</t>
        </is>
      </c>
    </row>
    <row r="384">
      <c r="A384" s="78" t="inlineStr">
        <is>
          <t>initial-access</t>
        </is>
      </c>
      <c r="B384" s="74" t="inlineStr">
        <is>
          <t>T1190</t>
        </is>
      </c>
      <c r="C384" s="74" t="inlineStr">
        <is>
          <t>T1190</t>
        </is>
      </c>
      <c r="D384" s="78" t="inlineStr">
        <is>
          <t>Exploit Public-Facing Application (T1190)</t>
        </is>
      </c>
    </row>
    <row r="385">
      <c r="A385" s="78" t="inlineStr">
        <is>
          <t>initial-access</t>
        </is>
      </c>
      <c r="B385" s="74" t="inlineStr">
        <is>
          <t>T1195</t>
        </is>
      </c>
      <c r="C385" s="74" t="inlineStr">
        <is>
          <t>T1195</t>
        </is>
      </c>
      <c r="D385" s="78" t="inlineStr">
        <is>
          <t>Supply Chain Compromise (T1195)</t>
        </is>
      </c>
    </row>
    <row r="386">
      <c r="A386" s="78" t="inlineStr">
        <is>
          <t>initial-access</t>
        </is>
      </c>
      <c r="B386" s="74" t="inlineStr">
        <is>
          <t>T1195</t>
        </is>
      </c>
      <c r="C386" s="74" t="inlineStr">
        <is>
          <t>T1195.001</t>
        </is>
      </c>
      <c r="D386" s="78" t="inlineStr">
        <is>
          <t>Compromise Software Dependencies and Development Tools (T1195.001)</t>
        </is>
      </c>
    </row>
    <row r="387">
      <c r="A387" s="78" t="inlineStr">
        <is>
          <t>initial-access</t>
        </is>
      </c>
      <c r="B387" s="74" t="inlineStr">
        <is>
          <t>T1195</t>
        </is>
      </c>
      <c r="C387" s="74" t="inlineStr">
        <is>
          <t>T1195.002</t>
        </is>
      </c>
      <c r="D387" s="78" t="inlineStr">
        <is>
          <t>Compromise Software Supply Chain (T1195.002)</t>
        </is>
      </c>
    </row>
    <row r="388">
      <c r="A388" s="78" t="inlineStr">
        <is>
          <t>initial-access</t>
        </is>
      </c>
      <c r="B388" s="74" t="inlineStr">
        <is>
          <t>T1195</t>
        </is>
      </c>
      <c r="C388" s="74" t="inlineStr">
        <is>
          <t>T1195.003</t>
        </is>
      </c>
      <c r="D388" s="78" t="inlineStr">
        <is>
          <t>Compromise Hardware Supply Chain (T1195.003)</t>
        </is>
      </c>
    </row>
    <row r="389">
      <c r="A389" s="78" t="inlineStr">
        <is>
          <t>initial-access</t>
        </is>
      </c>
      <c r="B389" s="74" t="inlineStr">
        <is>
          <t>T1199</t>
        </is>
      </c>
      <c r="C389" s="74" t="inlineStr">
        <is>
          <t>T1199</t>
        </is>
      </c>
      <c r="D389" s="78" t="inlineStr">
        <is>
          <t>Trusted Relationship (T1199)</t>
        </is>
      </c>
    </row>
    <row r="390">
      <c r="A390" s="78" t="inlineStr">
        <is>
          <t>initial-access</t>
        </is>
      </c>
      <c r="B390" s="74" t="inlineStr">
        <is>
          <t>T1200</t>
        </is>
      </c>
      <c r="C390" s="74" t="inlineStr">
        <is>
          <t>T1200</t>
        </is>
      </c>
      <c r="D390" s="78" t="inlineStr">
        <is>
          <t>Hardware Additions (T1200)</t>
        </is>
      </c>
    </row>
    <row r="391">
      <c r="A391" s="78" t="inlineStr">
        <is>
          <t>initial-access</t>
        </is>
      </c>
      <c r="B391" s="74" t="inlineStr">
        <is>
          <t>T1566</t>
        </is>
      </c>
      <c r="C391" s="74" t="inlineStr">
        <is>
          <t>T1566</t>
        </is>
      </c>
      <c r="D391" s="78" t="inlineStr">
        <is>
          <t>Phishing (T1566)</t>
        </is>
      </c>
    </row>
    <row r="392">
      <c r="A392" s="78" t="inlineStr">
        <is>
          <t>initial-access</t>
        </is>
      </c>
      <c r="B392" s="74" t="inlineStr">
        <is>
          <t>T1566</t>
        </is>
      </c>
      <c r="C392" s="74" t="inlineStr">
        <is>
          <t>T1566.001</t>
        </is>
      </c>
      <c r="D392" s="78" t="inlineStr">
        <is>
          <t>Spearphishing Attachment (T1566.001)</t>
        </is>
      </c>
    </row>
    <row r="393">
      <c r="A393" s="78" t="inlineStr">
        <is>
          <t>initial-access</t>
        </is>
      </c>
      <c r="B393" s="74" t="inlineStr">
        <is>
          <t>T1566</t>
        </is>
      </c>
      <c r="C393" s="74" t="inlineStr">
        <is>
          <t>T1566.002</t>
        </is>
      </c>
      <c r="D393" s="78" t="inlineStr">
        <is>
          <t>Spearphishing Link (T1566.002)</t>
        </is>
      </c>
    </row>
    <row r="394">
      <c r="A394" s="78" t="inlineStr">
        <is>
          <t>initial-access</t>
        </is>
      </c>
      <c r="B394" s="74" t="inlineStr">
        <is>
          <t>T1566</t>
        </is>
      </c>
      <c r="C394" s="74" t="inlineStr">
        <is>
          <t>T1566.003</t>
        </is>
      </c>
      <c r="D394" s="78" t="inlineStr">
        <is>
          <t>Spearphishing via Service (T1566.003)</t>
        </is>
      </c>
    </row>
    <row r="395">
      <c r="A395" s="78" t="inlineStr">
        <is>
          <t>initial-access</t>
        </is>
      </c>
      <c r="B395" s="74" t="inlineStr">
        <is>
          <t>T1566</t>
        </is>
      </c>
      <c r="C395" s="74" t="inlineStr">
        <is>
          <t>T1566.004</t>
        </is>
      </c>
      <c r="D395" s="78" t="inlineStr">
        <is>
          <t>Spearphishing Voice (T1566.004)</t>
        </is>
      </c>
    </row>
    <row r="396">
      <c r="A396" s="78" t="inlineStr">
        <is>
          <t>initial-access</t>
        </is>
      </c>
      <c r="B396" s="74" t="inlineStr">
        <is>
          <t>T1659</t>
        </is>
      </c>
      <c r="C396" s="74" t="inlineStr">
        <is>
          <t>T1659</t>
        </is>
      </c>
      <c r="D396" s="78" t="inlineStr">
        <is>
          <t>Content Injection (T1659)</t>
        </is>
      </c>
    </row>
    <row r="397">
      <c r="A397" s="78" t="inlineStr">
        <is>
          <t>initial-access</t>
        </is>
      </c>
      <c r="B397" s="74" t="inlineStr">
        <is>
          <t>T1669</t>
        </is>
      </c>
      <c r="C397" s="74" t="inlineStr">
        <is>
          <t>T1669</t>
        </is>
      </c>
      <c r="D397" s="78" t="inlineStr">
        <is>
          <t>Wi-Fi Networks (T1669)</t>
        </is>
      </c>
    </row>
    <row r="398">
      <c r="A398" s="78" t="inlineStr">
        <is>
          <t>lateral-movement</t>
        </is>
      </c>
      <c r="B398" s="74" t="inlineStr">
        <is>
          <t>T1021</t>
        </is>
      </c>
      <c r="C398" s="74" t="inlineStr">
        <is>
          <t>T1021</t>
        </is>
      </c>
      <c r="D398" s="78" t="inlineStr">
        <is>
          <t>Remote Services (T1021)</t>
        </is>
      </c>
    </row>
    <row r="399">
      <c r="A399" s="78" t="inlineStr">
        <is>
          <t>lateral-movement</t>
        </is>
      </c>
      <c r="B399" s="74" t="inlineStr">
        <is>
          <t>T1021</t>
        </is>
      </c>
      <c r="C399" s="74" t="inlineStr">
        <is>
          <t>T1021.001</t>
        </is>
      </c>
      <c r="D399" s="78" t="inlineStr">
        <is>
          <t>Remote Desktop Protocol (T1021.001)</t>
        </is>
      </c>
    </row>
    <row r="400">
      <c r="A400" s="78" t="inlineStr">
        <is>
          <t>lateral-movement</t>
        </is>
      </c>
      <c r="B400" s="74" t="inlineStr">
        <is>
          <t>T1021</t>
        </is>
      </c>
      <c r="C400" s="74" t="inlineStr">
        <is>
          <t>T1021.002</t>
        </is>
      </c>
      <c r="D400" s="78" t="inlineStr">
        <is>
          <t>SMB/Windows Admin Shares (T1021.002)</t>
        </is>
      </c>
    </row>
    <row r="401">
      <c r="A401" s="78" t="inlineStr">
        <is>
          <t>lateral-movement</t>
        </is>
      </c>
      <c r="B401" s="74" t="inlineStr">
        <is>
          <t>T1021</t>
        </is>
      </c>
      <c r="C401" s="74" t="inlineStr">
        <is>
          <t>T1021.003</t>
        </is>
      </c>
      <c r="D401" s="78" t="inlineStr">
        <is>
          <t>Distributed Component Object Model (T1021.003)</t>
        </is>
      </c>
    </row>
    <row r="402">
      <c r="A402" s="78" t="inlineStr">
        <is>
          <t>lateral-movement</t>
        </is>
      </c>
      <c r="B402" s="74" t="inlineStr">
        <is>
          <t>T1021</t>
        </is>
      </c>
      <c r="C402" s="74" t="inlineStr">
        <is>
          <t>T1021.004</t>
        </is>
      </c>
      <c r="D402" s="78" t="inlineStr">
        <is>
          <t>SSH (T1021.004)</t>
        </is>
      </c>
    </row>
    <row r="403">
      <c r="A403" s="78" t="inlineStr">
        <is>
          <t>lateral-movement</t>
        </is>
      </c>
      <c r="B403" s="74" t="inlineStr">
        <is>
          <t>T1021</t>
        </is>
      </c>
      <c r="C403" s="74" t="inlineStr">
        <is>
          <t>T1021.005</t>
        </is>
      </c>
      <c r="D403" s="78" t="inlineStr">
        <is>
          <t>VNC (T1021.005)</t>
        </is>
      </c>
    </row>
    <row r="404">
      <c r="A404" s="78" t="inlineStr">
        <is>
          <t>lateral-movement</t>
        </is>
      </c>
      <c r="B404" s="74" t="inlineStr">
        <is>
          <t>T1021</t>
        </is>
      </c>
      <c r="C404" s="74" t="inlineStr">
        <is>
          <t>T1021.006</t>
        </is>
      </c>
      <c r="D404" s="78" t="inlineStr">
        <is>
          <t>Windows Remote Management (T1021.006)</t>
        </is>
      </c>
    </row>
    <row r="405">
      <c r="A405" s="78" t="inlineStr">
        <is>
          <t>lateral-movement</t>
        </is>
      </c>
      <c r="B405" s="74" t="inlineStr">
        <is>
          <t>T1021</t>
        </is>
      </c>
      <c r="C405" s="74" t="inlineStr">
        <is>
          <t>T1021.007</t>
        </is>
      </c>
      <c r="D405" s="78" t="inlineStr">
        <is>
          <t>Cloud Services (T1021.007)</t>
        </is>
      </c>
    </row>
    <row r="406">
      <c r="A406" s="78" t="inlineStr">
        <is>
          <t>lateral-movement</t>
        </is>
      </c>
      <c r="B406" s="74" t="inlineStr">
        <is>
          <t>T1021</t>
        </is>
      </c>
      <c r="C406" s="74" t="inlineStr">
        <is>
          <t>T1021.008</t>
        </is>
      </c>
      <c r="D406" s="78" t="inlineStr">
        <is>
          <t>Direct Cloud VM Connections (T1021.008)</t>
        </is>
      </c>
    </row>
    <row r="407">
      <c r="A407" s="78" t="inlineStr">
        <is>
          <t>lateral-movement</t>
        </is>
      </c>
      <c r="B407" s="74" t="inlineStr">
        <is>
          <t>T1072</t>
        </is>
      </c>
      <c r="C407" s="74" t="inlineStr">
        <is>
          <t>T1072</t>
        </is>
      </c>
      <c r="D407" s="78" t="inlineStr">
        <is>
          <t>Software Deployment Tools (T1072)</t>
        </is>
      </c>
    </row>
    <row r="408">
      <c r="A408" s="78" t="inlineStr">
        <is>
          <t>lateral-movement</t>
        </is>
      </c>
      <c r="B408" s="74" t="inlineStr">
        <is>
          <t>T1080</t>
        </is>
      </c>
      <c r="C408" s="74" t="inlineStr">
        <is>
          <t>T1080</t>
        </is>
      </c>
      <c r="D408" s="78" t="inlineStr">
        <is>
          <t>Taint Shared Content (T1080)</t>
        </is>
      </c>
    </row>
    <row r="409">
      <c r="A409" s="78" t="inlineStr">
        <is>
          <t>lateral-movement</t>
        </is>
      </c>
      <c r="B409" s="74" t="inlineStr">
        <is>
          <t>T1091</t>
        </is>
      </c>
      <c r="C409" s="74" t="inlineStr">
        <is>
          <t>T1091</t>
        </is>
      </c>
      <c r="D409" s="78" t="inlineStr">
        <is>
          <t>Replication Through Removable Media (T1091)</t>
        </is>
      </c>
    </row>
    <row r="410">
      <c r="A410" s="78" t="inlineStr">
        <is>
          <t>lateral-movement</t>
        </is>
      </c>
      <c r="B410" s="74" t="inlineStr">
        <is>
          <t>T1210</t>
        </is>
      </c>
      <c r="C410" s="74" t="inlineStr">
        <is>
          <t>T1210</t>
        </is>
      </c>
      <c r="D410" s="78" t="inlineStr">
        <is>
          <t>Exploitation of Remote Services (T1210)</t>
        </is>
      </c>
    </row>
    <row r="411">
      <c r="A411" s="78" t="inlineStr">
        <is>
          <t>lateral-movement</t>
        </is>
      </c>
      <c r="B411" s="74" t="inlineStr">
        <is>
          <t>T1534</t>
        </is>
      </c>
      <c r="C411" s="74" t="inlineStr">
        <is>
          <t>T1534</t>
        </is>
      </c>
      <c r="D411" s="78" t="inlineStr">
        <is>
          <t>Internal Spearphishing (T1534)</t>
        </is>
      </c>
    </row>
    <row r="412">
      <c r="A412" s="78" t="inlineStr">
        <is>
          <t>lateral-movement</t>
        </is>
      </c>
      <c r="B412" s="74" t="inlineStr">
        <is>
          <t>T1550</t>
        </is>
      </c>
      <c r="C412" s="74" t="inlineStr">
        <is>
          <t>T1550</t>
        </is>
      </c>
      <c r="D412" s="78" t="inlineStr">
        <is>
          <t>Use Alternate Authentication Material (T1550)</t>
        </is>
      </c>
    </row>
    <row r="413">
      <c r="A413" s="78" t="inlineStr">
        <is>
          <t>lateral-movement</t>
        </is>
      </c>
      <c r="B413" s="74" t="inlineStr">
        <is>
          <t>T1550</t>
        </is>
      </c>
      <c r="C413" s="74" t="inlineStr">
        <is>
          <t>T1550.001</t>
        </is>
      </c>
      <c r="D413" s="78" t="inlineStr">
        <is>
          <t>Application Access Token (T1550.001)</t>
        </is>
      </c>
    </row>
    <row r="414">
      <c r="A414" s="78" t="inlineStr">
        <is>
          <t>lateral-movement</t>
        </is>
      </c>
      <c r="B414" s="74" t="inlineStr">
        <is>
          <t>T1550</t>
        </is>
      </c>
      <c r="C414" s="74" t="inlineStr">
        <is>
          <t>T1550.002</t>
        </is>
      </c>
      <c r="D414" s="78" t="inlineStr">
        <is>
          <t>Pass the Hash (T1550.002)</t>
        </is>
      </c>
    </row>
    <row r="415">
      <c r="A415" s="78" t="inlineStr">
        <is>
          <t>lateral-movement</t>
        </is>
      </c>
      <c r="B415" s="74" t="inlineStr">
        <is>
          <t>T1550</t>
        </is>
      </c>
      <c r="C415" s="74" t="inlineStr">
        <is>
          <t>T1550.003</t>
        </is>
      </c>
      <c r="D415" s="78" t="inlineStr">
        <is>
          <t>Pass the Ticket (T1550.003)</t>
        </is>
      </c>
    </row>
    <row r="416">
      <c r="A416" s="78" t="inlineStr">
        <is>
          <t>lateral-movement</t>
        </is>
      </c>
      <c r="B416" s="74" t="inlineStr">
        <is>
          <t>T1550</t>
        </is>
      </c>
      <c r="C416" s="74" t="inlineStr">
        <is>
          <t>T1550.004</t>
        </is>
      </c>
      <c r="D416" s="78" t="inlineStr">
        <is>
          <t>Web Session Cookie (T1550.004)</t>
        </is>
      </c>
    </row>
    <row r="417">
      <c r="A417" s="78" t="inlineStr">
        <is>
          <t>lateral-movement</t>
        </is>
      </c>
      <c r="B417" s="74" t="inlineStr">
        <is>
          <t>T1563</t>
        </is>
      </c>
      <c r="C417" s="74" t="inlineStr">
        <is>
          <t>T1563</t>
        </is>
      </c>
      <c r="D417" s="78" t="inlineStr">
        <is>
          <t>Remote Service Session Hijacking (T1563)</t>
        </is>
      </c>
    </row>
    <row r="418">
      <c r="A418" s="78" t="inlineStr">
        <is>
          <t>lateral-movement</t>
        </is>
      </c>
      <c r="B418" s="74" t="inlineStr">
        <is>
          <t>T1563</t>
        </is>
      </c>
      <c r="C418" s="74" t="inlineStr">
        <is>
          <t>T1563.001</t>
        </is>
      </c>
      <c r="D418" s="78" t="inlineStr">
        <is>
          <t>SSH Hijacking (T1563.001)</t>
        </is>
      </c>
    </row>
    <row r="419">
      <c r="A419" s="78" t="inlineStr">
        <is>
          <t>lateral-movement</t>
        </is>
      </c>
      <c r="B419" s="74" t="inlineStr">
        <is>
          <t>T1563</t>
        </is>
      </c>
      <c r="C419" s="74" t="inlineStr">
        <is>
          <t>T1563.002</t>
        </is>
      </c>
      <c r="D419" s="78" t="inlineStr">
        <is>
          <t>RDP Hijacking (T1563.002)</t>
        </is>
      </c>
    </row>
    <row r="420">
      <c r="A420" s="78" t="inlineStr">
        <is>
          <t>lateral-movement</t>
        </is>
      </c>
      <c r="B420" s="74" t="inlineStr">
        <is>
          <t>T1570</t>
        </is>
      </c>
      <c r="C420" s="74" t="inlineStr">
        <is>
          <t>T1570</t>
        </is>
      </c>
      <c r="D420" s="78" t="inlineStr">
        <is>
          <t>Lateral Tool Transfer (T1570)</t>
        </is>
      </c>
    </row>
    <row r="421">
      <c r="A421" s="78" t="inlineStr">
        <is>
          <t>persistence</t>
        </is>
      </c>
      <c r="B421" s="74" t="inlineStr">
        <is>
          <t>T1037</t>
        </is>
      </c>
      <c r="C421" s="74" t="inlineStr">
        <is>
          <t>T1037</t>
        </is>
      </c>
      <c r="D421" s="78" t="inlineStr">
        <is>
          <t>Boot or Logon Initialization Scripts (T1037)</t>
        </is>
      </c>
    </row>
    <row r="422">
      <c r="A422" s="78" t="inlineStr">
        <is>
          <t>persistence</t>
        </is>
      </c>
      <c r="B422" s="74" t="inlineStr">
        <is>
          <t>T1037</t>
        </is>
      </c>
      <c r="C422" s="74" t="inlineStr">
        <is>
          <t>T1037.001</t>
        </is>
      </c>
      <c r="D422" s="78" t="inlineStr">
        <is>
          <t>Logon Script (Windows) (T1037.001)</t>
        </is>
      </c>
    </row>
    <row r="423">
      <c r="A423" s="78" t="inlineStr">
        <is>
          <t>persistence</t>
        </is>
      </c>
      <c r="B423" s="74" t="inlineStr">
        <is>
          <t>T1037</t>
        </is>
      </c>
      <c r="C423" s="74" t="inlineStr">
        <is>
          <t>T1037.002</t>
        </is>
      </c>
      <c r="D423" s="78" t="inlineStr">
        <is>
          <t>Login Hook (T1037.002)</t>
        </is>
      </c>
    </row>
    <row r="424">
      <c r="A424" s="78" t="inlineStr">
        <is>
          <t>persistence</t>
        </is>
      </c>
      <c r="B424" s="74" t="inlineStr">
        <is>
          <t>T1037</t>
        </is>
      </c>
      <c r="C424" s="74" t="inlineStr">
        <is>
          <t>T1037.003</t>
        </is>
      </c>
      <c r="D424" s="78" t="inlineStr">
        <is>
          <t>Network Logon Script (T1037.003)</t>
        </is>
      </c>
    </row>
    <row r="425">
      <c r="A425" s="78" t="inlineStr">
        <is>
          <t>persistence</t>
        </is>
      </c>
      <c r="B425" s="74" t="inlineStr">
        <is>
          <t>T1037</t>
        </is>
      </c>
      <c r="C425" s="74" t="inlineStr">
        <is>
          <t>T1037.004</t>
        </is>
      </c>
      <c r="D425" s="78" t="inlineStr">
        <is>
          <t>RC Scripts (T1037.004)</t>
        </is>
      </c>
    </row>
    <row r="426">
      <c r="A426" s="78" t="inlineStr">
        <is>
          <t>persistence</t>
        </is>
      </c>
      <c r="B426" s="74" t="inlineStr">
        <is>
          <t>T1037</t>
        </is>
      </c>
      <c r="C426" s="74" t="inlineStr">
        <is>
          <t>T1037.005</t>
        </is>
      </c>
      <c r="D426" s="78" t="inlineStr">
        <is>
          <t>Startup Items (T1037.005)</t>
        </is>
      </c>
    </row>
    <row r="427">
      <c r="A427" s="78" t="inlineStr">
        <is>
          <t>persistence</t>
        </is>
      </c>
      <c r="B427" s="74" t="inlineStr">
        <is>
          <t>T1053</t>
        </is>
      </c>
      <c r="C427" s="74" t="inlineStr">
        <is>
          <t>T1053</t>
        </is>
      </c>
      <c r="D427" s="78" t="inlineStr">
        <is>
          <t>Scheduled Task/Job (T1053)</t>
        </is>
      </c>
    </row>
    <row r="428">
      <c r="A428" s="78" t="inlineStr">
        <is>
          <t>persistence</t>
        </is>
      </c>
      <c r="B428" s="74" t="inlineStr">
        <is>
          <t>T1053</t>
        </is>
      </c>
      <c r="C428" s="74" t="inlineStr">
        <is>
          <t>T1053.002</t>
        </is>
      </c>
      <c r="D428" s="78" t="inlineStr">
        <is>
          <t>At (T1053.002)</t>
        </is>
      </c>
    </row>
    <row r="429">
      <c r="A429" s="78" t="inlineStr">
        <is>
          <t>persistence</t>
        </is>
      </c>
      <c r="B429" s="74" t="inlineStr">
        <is>
          <t>T1053</t>
        </is>
      </c>
      <c r="C429" s="74" t="inlineStr">
        <is>
          <t>T1053.003</t>
        </is>
      </c>
      <c r="D429" s="78" t="inlineStr">
        <is>
          <t>Cron (T1053.003)</t>
        </is>
      </c>
    </row>
    <row r="430">
      <c r="A430" s="78" t="inlineStr">
        <is>
          <t>persistence</t>
        </is>
      </c>
      <c r="B430" s="74" t="inlineStr">
        <is>
          <t>T1053</t>
        </is>
      </c>
      <c r="C430" s="74" t="inlineStr">
        <is>
          <t>T1053.005</t>
        </is>
      </c>
      <c r="D430" s="78" t="inlineStr">
        <is>
          <t>Scheduled Task (T1053.005)</t>
        </is>
      </c>
    </row>
    <row r="431">
      <c r="A431" s="78" t="inlineStr">
        <is>
          <t>persistence</t>
        </is>
      </c>
      <c r="B431" s="74" t="inlineStr">
        <is>
          <t>T1053</t>
        </is>
      </c>
      <c r="C431" s="74" t="inlineStr">
        <is>
          <t>T1053.006</t>
        </is>
      </c>
      <c r="D431" s="78" t="inlineStr">
        <is>
          <t>Systemd Timers (T1053.006)</t>
        </is>
      </c>
    </row>
    <row r="432">
      <c r="A432" s="78" t="inlineStr">
        <is>
          <t>persistence</t>
        </is>
      </c>
      <c r="B432" s="74" t="inlineStr">
        <is>
          <t>T1053</t>
        </is>
      </c>
      <c r="C432" s="74" t="inlineStr">
        <is>
          <t>T1053.007</t>
        </is>
      </c>
      <c r="D432" s="78" t="inlineStr">
        <is>
          <t>Container Orchestration Job (T1053.007)</t>
        </is>
      </c>
    </row>
    <row r="433">
      <c r="A433" s="78" t="inlineStr">
        <is>
          <t>persistence</t>
        </is>
      </c>
      <c r="B433" s="74" t="inlineStr">
        <is>
          <t>T1078</t>
        </is>
      </c>
      <c r="C433" s="74" t="inlineStr">
        <is>
          <t>T1078</t>
        </is>
      </c>
      <c r="D433" s="78" t="inlineStr">
        <is>
          <t>Valid Accounts (T1078)</t>
        </is>
      </c>
    </row>
    <row r="434">
      <c r="A434" s="78" t="inlineStr">
        <is>
          <t>persistence</t>
        </is>
      </c>
      <c r="B434" s="74" t="inlineStr">
        <is>
          <t>T1078</t>
        </is>
      </c>
      <c r="C434" s="74" t="inlineStr">
        <is>
          <t>T1078.001</t>
        </is>
      </c>
      <c r="D434" s="78" t="inlineStr">
        <is>
          <t>Default Accounts (T1078.001)</t>
        </is>
      </c>
    </row>
    <row r="435">
      <c r="A435" s="78" t="inlineStr">
        <is>
          <t>persistence</t>
        </is>
      </c>
      <c r="B435" s="74" t="inlineStr">
        <is>
          <t>T1078</t>
        </is>
      </c>
      <c r="C435" s="74" t="inlineStr">
        <is>
          <t>T1078.002</t>
        </is>
      </c>
      <c r="D435" s="78" t="inlineStr">
        <is>
          <t>Domain Accounts (T1078.002)</t>
        </is>
      </c>
    </row>
    <row r="436">
      <c r="A436" s="78" t="inlineStr">
        <is>
          <t>persistence</t>
        </is>
      </c>
      <c r="B436" s="74" t="inlineStr">
        <is>
          <t>T1078</t>
        </is>
      </c>
      <c r="C436" s="74" t="inlineStr">
        <is>
          <t>T1078.003</t>
        </is>
      </c>
      <c r="D436" s="78" t="inlineStr">
        <is>
          <t>Local Accounts (T1078.003)</t>
        </is>
      </c>
    </row>
    <row r="437">
      <c r="A437" s="78" t="inlineStr">
        <is>
          <t>persistence</t>
        </is>
      </c>
      <c r="B437" s="74" t="inlineStr">
        <is>
          <t>T1078</t>
        </is>
      </c>
      <c r="C437" s="74" t="inlineStr">
        <is>
          <t>T1078.004</t>
        </is>
      </c>
      <c r="D437" s="78" t="inlineStr">
        <is>
          <t>Cloud Accounts (T1078.004)</t>
        </is>
      </c>
    </row>
    <row r="438">
      <c r="A438" s="78" t="inlineStr">
        <is>
          <t>persistence</t>
        </is>
      </c>
      <c r="B438" s="74" t="inlineStr">
        <is>
          <t>T1098</t>
        </is>
      </c>
      <c r="C438" s="74" t="inlineStr">
        <is>
          <t>T1098</t>
        </is>
      </c>
      <c r="D438" s="78" t="inlineStr">
        <is>
          <t>Account Manipulation (T1098)</t>
        </is>
      </c>
    </row>
    <row r="439">
      <c r="A439" s="78" t="inlineStr">
        <is>
          <t>persistence</t>
        </is>
      </c>
      <c r="B439" s="74" t="inlineStr">
        <is>
          <t>T1098</t>
        </is>
      </c>
      <c r="C439" s="74" t="inlineStr">
        <is>
          <t>T1098.001</t>
        </is>
      </c>
      <c r="D439" s="78" t="inlineStr">
        <is>
          <t>Additional Cloud Credentials (T1098.001)</t>
        </is>
      </c>
    </row>
    <row r="440">
      <c r="A440" s="78" t="inlineStr">
        <is>
          <t>persistence</t>
        </is>
      </c>
      <c r="B440" s="74" t="inlineStr">
        <is>
          <t>T1098</t>
        </is>
      </c>
      <c r="C440" s="74" t="inlineStr">
        <is>
          <t>T1098.002</t>
        </is>
      </c>
      <c r="D440" s="78" t="inlineStr">
        <is>
          <t>Additional Email Delegate Permissions (T1098.002)</t>
        </is>
      </c>
    </row>
    <row r="441">
      <c r="A441" s="78" t="inlineStr">
        <is>
          <t>persistence</t>
        </is>
      </c>
      <c r="B441" s="74" t="inlineStr">
        <is>
          <t>T1098</t>
        </is>
      </c>
      <c r="C441" s="74" t="inlineStr">
        <is>
          <t>T1098.003</t>
        </is>
      </c>
      <c r="D441" s="78" t="inlineStr">
        <is>
          <t>Additional Cloud Roles (T1098.003)</t>
        </is>
      </c>
    </row>
    <row r="442">
      <c r="A442" s="78" t="inlineStr">
        <is>
          <t>persistence</t>
        </is>
      </c>
      <c r="B442" s="74" t="inlineStr">
        <is>
          <t>T1098</t>
        </is>
      </c>
      <c r="C442" s="74" t="inlineStr">
        <is>
          <t>T1098.004</t>
        </is>
      </c>
      <c r="D442" s="78" t="inlineStr">
        <is>
          <t>SSH Authorized Keys (T1098.004)</t>
        </is>
      </c>
    </row>
    <row r="443">
      <c r="A443" s="78" t="inlineStr">
        <is>
          <t>persistence</t>
        </is>
      </c>
      <c r="B443" s="74" t="inlineStr">
        <is>
          <t>T1098</t>
        </is>
      </c>
      <c r="C443" s="74" t="inlineStr">
        <is>
          <t>T1098.005</t>
        </is>
      </c>
      <c r="D443" s="78" t="inlineStr">
        <is>
          <t>Device Registration (T1098.005)</t>
        </is>
      </c>
    </row>
    <row r="444">
      <c r="A444" s="78" t="inlineStr">
        <is>
          <t>persistence</t>
        </is>
      </c>
      <c r="B444" s="74" t="inlineStr">
        <is>
          <t>T1098</t>
        </is>
      </c>
      <c r="C444" s="74" t="inlineStr">
        <is>
          <t>T1098.006</t>
        </is>
      </c>
      <c r="D444" s="78" t="inlineStr">
        <is>
          <t>Additional Container Cluster Roles (T1098.006)</t>
        </is>
      </c>
    </row>
    <row r="445">
      <c r="A445" s="78" t="inlineStr">
        <is>
          <t>persistence</t>
        </is>
      </c>
      <c r="B445" s="74" t="inlineStr">
        <is>
          <t>T1098</t>
        </is>
      </c>
      <c r="C445" s="74" t="inlineStr">
        <is>
          <t>T1098.007</t>
        </is>
      </c>
      <c r="D445" s="78" t="inlineStr">
        <is>
          <t>Additional Local or Domain Groups (T1098.007)</t>
        </is>
      </c>
    </row>
    <row r="446">
      <c r="A446" s="78" t="inlineStr">
        <is>
          <t>persistence</t>
        </is>
      </c>
      <c r="B446" s="74" t="inlineStr">
        <is>
          <t>T1112</t>
        </is>
      </c>
      <c r="C446" s="74" t="inlineStr">
        <is>
          <t>T1112</t>
        </is>
      </c>
      <c r="D446" s="78" t="inlineStr">
        <is>
          <t>Modify Registry (T1112)</t>
        </is>
      </c>
    </row>
    <row r="447">
      <c r="A447" s="78" t="inlineStr">
        <is>
          <t>persistence</t>
        </is>
      </c>
      <c r="B447" s="74" t="inlineStr">
        <is>
          <t>T1133</t>
        </is>
      </c>
      <c r="C447" s="74" t="inlineStr">
        <is>
          <t>T1133</t>
        </is>
      </c>
      <c r="D447" s="78" t="inlineStr">
        <is>
          <t>External Remote Services (T1133)</t>
        </is>
      </c>
    </row>
    <row r="448">
      <c r="A448" s="78" t="inlineStr">
        <is>
          <t>persistence</t>
        </is>
      </c>
      <c r="B448" s="74" t="inlineStr">
        <is>
          <t>T1136</t>
        </is>
      </c>
      <c r="C448" s="74" t="inlineStr">
        <is>
          <t>T1136</t>
        </is>
      </c>
      <c r="D448" s="78" t="inlineStr">
        <is>
          <t>Create Account (T1136)</t>
        </is>
      </c>
    </row>
    <row r="449">
      <c r="A449" s="78" t="inlineStr">
        <is>
          <t>persistence</t>
        </is>
      </c>
      <c r="B449" s="74" t="inlineStr">
        <is>
          <t>T1136</t>
        </is>
      </c>
      <c r="C449" s="74" t="inlineStr">
        <is>
          <t>T1136.001</t>
        </is>
      </c>
      <c r="D449" s="78" t="inlineStr">
        <is>
          <t>Local Account (T1136.001)</t>
        </is>
      </c>
    </row>
    <row r="450">
      <c r="A450" s="78" t="inlineStr">
        <is>
          <t>persistence</t>
        </is>
      </c>
      <c r="B450" s="74" t="inlineStr">
        <is>
          <t>T1136</t>
        </is>
      </c>
      <c r="C450" s="74" t="inlineStr">
        <is>
          <t>T1136.002</t>
        </is>
      </c>
      <c r="D450" s="78" t="inlineStr">
        <is>
          <t>Domain Account (T1136.002)</t>
        </is>
      </c>
    </row>
    <row r="451">
      <c r="A451" s="78" t="inlineStr">
        <is>
          <t>persistence</t>
        </is>
      </c>
      <c r="B451" s="74" t="inlineStr">
        <is>
          <t>T1136</t>
        </is>
      </c>
      <c r="C451" s="74" t="inlineStr">
        <is>
          <t>T1136.003</t>
        </is>
      </c>
      <c r="D451" s="78" t="inlineStr">
        <is>
          <t>Cloud Account (T1136.003)</t>
        </is>
      </c>
    </row>
    <row r="452">
      <c r="A452" s="78" t="inlineStr">
        <is>
          <t>persistence</t>
        </is>
      </c>
      <c r="B452" s="74" t="inlineStr">
        <is>
          <t>T1137</t>
        </is>
      </c>
      <c r="C452" s="74" t="inlineStr">
        <is>
          <t>T1137</t>
        </is>
      </c>
      <c r="D452" s="78" t="inlineStr">
        <is>
          <t>Office Application Startup (T1137)</t>
        </is>
      </c>
    </row>
    <row r="453">
      <c r="A453" s="78" t="inlineStr">
        <is>
          <t>persistence</t>
        </is>
      </c>
      <c r="B453" s="74" t="inlineStr">
        <is>
          <t>T1137</t>
        </is>
      </c>
      <c r="C453" s="74" t="inlineStr">
        <is>
          <t>T1137.001</t>
        </is>
      </c>
      <c r="D453" s="78" t="inlineStr">
        <is>
          <t>Office Template Macros (T1137.001)</t>
        </is>
      </c>
    </row>
    <row r="454">
      <c r="A454" s="78" t="inlineStr">
        <is>
          <t>persistence</t>
        </is>
      </c>
      <c r="B454" s="74" t="inlineStr">
        <is>
          <t>T1137</t>
        </is>
      </c>
      <c r="C454" s="74" t="inlineStr">
        <is>
          <t>T1137.002</t>
        </is>
      </c>
      <c r="D454" s="78" t="inlineStr">
        <is>
          <t>Office Test (T1137.002)</t>
        </is>
      </c>
    </row>
    <row r="455">
      <c r="A455" s="78" t="inlineStr">
        <is>
          <t>persistence</t>
        </is>
      </c>
      <c r="B455" s="74" t="inlineStr">
        <is>
          <t>T1137</t>
        </is>
      </c>
      <c r="C455" s="74" t="inlineStr">
        <is>
          <t>T1137.003</t>
        </is>
      </c>
      <c r="D455" s="78" t="inlineStr">
        <is>
          <t>Outlook Forms (T1137.003)</t>
        </is>
      </c>
    </row>
    <row r="456">
      <c r="A456" s="78" t="inlineStr">
        <is>
          <t>persistence</t>
        </is>
      </c>
      <c r="B456" s="74" t="inlineStr">
        <is>
          <t>T1137</t>
        </is>
      </c>
      <c r="C456" s="74" t="inlineStr">
        <is>
          <t>T1137.004</t>
        </is>
      </c>
      <c r="D456" s="78" t="inlineStr">
        <is>
          <t>Outlook Home Page (T1137.004)</t>
        </is>
      </c>
    </row>
    <row r="457">
      <c r="A457" s="78" t="inlineStr">
        <is>
          <t>persistence</t>
        </is>
      </c>
      <c r="B457" s="74" t="inlineStr">
        <is>
          <t>T1137</t>
        </is>
      </c>
      <c r="C457" s="74" t="inlineStr">
        <is>
          <t>T1137.005</t>
        </is>
      </c>
      <c r="D457" s="78" t="inlineStr">
        <is>
          <t>Outlook Rules (T1137.005)</t>
        </is>
      </c>
    </row>
    <row r="458">
      <c r="A458" s="78" t="inlineStr">
        <is>
          <t>persistence</t>
        </is>
      </c>
      <c r="B458" s="74" t="inlineStr">
        <is>
          <t>T1137</t>
        </is>
      </c>
      <c r="C458" s="74" t="inlineStr">
        <is>
          <t>T1137.006</t>
        </is>
      </c>
      <c r="D458" s="78" t="inlineStr">
        <is>
          <t>Add-ins (T1137.006)</t>
        </is>
      </c>
    </row>
    <row r="459">
      <c r="A459" s="78" t="inlineStr">
        <is>
          <t>persistence</t>
        </is>
      </c>
      <c r="B459" s="74" t="inlineStr">
        <is>
          <t>T1176</t>
        </is>
      </c>
      <c r="C459" s="74" t="inlineStr">
        <is>
          <t>T1176</t>
        </is>
      </c>
      <c r="D459" s="78" t="inlineStr">
        <is>
          <t>Software Extensions (T1176)</t>
        </is>
      </c>
    </row>
    <row r="460">
      <c r="A460" s="78" t="inlineStr">
        <is>
          <t>persistence</t>
        </is>
      </c>
      <c r="B460" s="74" t="inlineStr">
        <is>
          <t>T1176</t>
        </is>
      </c>
      <c r="C460" s="74" t="inlineStr">
        <is>
          <t>T1176.001</t>
        </is>
      </c>
      <c r="D460" s="78" t="inlineStr">
        <is>
          <t>Browser Extensions (T1176.001)</t>
        </is>
      </c>
    </row>
    <row r="461">
      <c r="A461" s="78" t="inlineStr">
        <is>
          <t>persistence</t>
        </is>
      </c>
      <c r="B461" s="74" t="inlineStr">
        <is>
          <t>T1176</t>
        </is>
      </c>
      <c r="C461" s="74" t="inlineStr">
        <is>
          <t>T1176.002</t>
        </is>
      </c>
      <c r="D461" s="78" t="inlineStr">
        <is>
          <t>IDE Extensions (T1176.002)</t>
        </is>
      </c>
    </row>
    <row r="462">
      <c r="A462" s="78" t="inlineStr">
        <is>
          <t>persistence</t>
        </is>
      </c>
      <c r="B462" s="74" t="inlineStr">
        <is>
          <t>T1197</t>
        </is>
      </c>
      <c r="C462" s="74" t="inlineStr">
        <is>
          <t>T1197</t>
        </is>
      </c>
      <c r="D462" s="78" t="inlineStr">
        <is>
          <t>BITS Jobs (T1197)</t>
        </is>
      </c>
    </row>
    <row r="463">
      <c r="A463" s="78" t="inlineStr">
        <is>
          <t>persistence</t>
        </is>
      </c>
      <c r="B463" s="74" t="inlineStr">
        <is>
          <t>T1205</t>
        </is>
      </c>
      <c r="C463" s="74" t="inlineStr">
        <is>
          <t>T1205</t>
        </is>
      </c>
      <c r="D463" s="78" t="inlineStr">
        <is>
          <t>Traffic Signaling (T1205)</t>
        </is>
      </c>
    </row>
    <row r="464">
      <c r="A464" s="78" t="inlineStr">
        <is>
          <t>persistence</t>
        </is>
      </c>
      <c r="B464" s="74" t="inlineStr">
        <is>
          <t>T1205</t>
        </is>
      </c>
      <c r="C464" s="74" t="inlineStr">
        <is>
          <t>T1205.001</t>
        </is>
      </c>
      <c r="D464" s="78" t="inlineStr">
        <is>
          <t>Port Knocking (T1205.001)</t>
        </is>
      </c>
    </row>
    <row r="465">
      <c r="A465" s="78" t="inlineStr">
        <is>
          <t>persistence</t>
        </is>
      </c>
      <c r="B465" s="74" t="inlineStr">
        <is>
          <t>T1205</t>
        </is>
      </c>
      <c r="C465" s="74" t="inlineStr">
        <is>
          <t>T1205.002</t>
        </is>
      </c>
      <c r="D465" s="78" t="inlineStr">
        <is>
          <t>Socket Filters (T1205.002)</t>
        </is>
      </c>
    </row>
    <row r="466">
      <c r="A466" s="78" t="inlineStr">
        <is>
          <t>persistence</t>
        </is>
      </c>
      <c r="B466" s="74" t="inlineStr">
        <is>
          <t>T1505</t>
        </is>
      </c>
      <c r="C466" s="74" t="inlineStr">
        <is>
          <t>T1505</t>
        </is>
      </c>
      <c r="D466" s="78" t="inlineStr">
        <is>
          <t>Server Software Component (T1505)</t>
        </is>
      </c>
    </row>
    <row r="467">
      <c r="A467" s="78" t="inlineStr">
        <is>
          <t>persistence</t>
        </is>
      </c>
      <c r="B467" s="74" t="inlineStr">
        <is>
          <t>T1505</t>
        </is>
      </c>
      <c r="C467" s="74" t="inlineStr">
        <is>
          <t>T1505.001</t>
        </is>
      </c>
      <c r="D467" s="78" t="inlineStr">
        <is>
          <t>SQL Stored Procedures (T1505.001)</t>
        </is>
      </c>
    </row>
    <row r="468">
      <c r="A468" s="78" t="inlineStr">
        <is>
          <t>persistence</t>
        </is>
      </c>
      <c r="B468" s="74" t="inlineStr">
        <is>
          <t>T1505</t>
        </is>
      </c>
      <c r="C468" s="74" t="inlineStr">
        <is>
          <t>T1505.002</t>
        </is>
      </c>
      <c r="D468" s="78" t="inlineStr">
        <is>
          <t>Transport Agent (T1505.002)</t>
        </is>
      </c>
    </row>
    <row r="469">
      <c r="A469" s="78" t="inlineStr">
        <is>
          <t>persistence</t>
        </is>
      </c>
      <c r="B469" s="74" t="inlineStr">
        <is>
          <t>T1505</t>
        </is>
      </c>
      <c r="C469" s="74" t="inlineStr">
        <is>
          <t>T1505.003</t>
        </is>
      </c>
      <c r="D469" s="78" t="inlineStr">
        <is>
          <t>Web Shell (T1505.003)</t>
        </is>
      </c>
    </row>
    <row r="470">
      <c r="A470" s="78" t="inlineStr">
        <is>
          <t>persistence</t>
        </is>
      </c>
      <c r="B470" s="74" t="inlineStr">
        <is>
          <t>T1505</t>
        </is>
      </c>
      <c r="C470" s="74" t="inlineStr">
        <is>
          <t>T1505.004</t>
        </is>
      </c>
      <c r="D470" s="78" t="inlineStr">
        <is>
          <t>IIS Components (T1505.004)</t>
        </is>
      </c>
    </row>
    <row r="471">
      <c r="A471" s="78" t="inlineStr">
        <is>
          <t>persistence</t>
        </is>
      </c>
      <c r="B471" s="74" t="inlineStr">
        <is>
          <t>T1505</t>
        </is>
      </c>
      <c r="C471" s="74" t="inlineStr">
        <is>
          <t>T1505.005</t>
        </is>
      </c>
      <c r="D471" s="78" t="inlineStr">
        <is>
          <t>Terminal Services DLL (T1505.005)</t>
        </is>
      </c>
    </row>
    <row r="472">
      <c r="A472" s="78" t="inlineStr">
        <is>
          <t>persistence</t>
        </is>
      </c>
      <c r="B472" s="74" t="inlineStr">
        <is>
          <t>T1505</t>
        </is>
      </c>
      <c r="C472" s="74" t="inlineStr">
        <is>
          <t>T1505.006</t>
        </is>
      </c>
      <c r="D472" s="78" t="inlineStr">
        <is>
          <t>vSphere Installation Bundles (T1505.006)</t>
        </is>
      </c>
    </row>
    <row r="473">
      <c r="A473" s="78" t="inlineStr">
        <is>
          <t>persistence</t>
        </is>
      </c>
      <c r="B473" s="74" t="inlineStr">
        <is>
          <t>T1525</t>
        </is>
      </c>
      <c r="C473" s="74" t="inlineStr">
        <is>
          <t>T1525</t>
        </is>
      </c>
      <c r="D473" s="78" t="inlineStr">
        <is>
          <t>Implant Internal Image (T1525)</t>
        </is>
      </c>
    </row>
    <row r="474">
      <c r="A474" s="78" t="inlineStr">
        <is>
          <t>persistence</t>
        </is>
      </c>
      <c r="B474" s="74" t="inlineStr">
        <is>
          <t>T1542</t>
        </is>
      </c>
      <c r="C474" s="74" t="inlineStr">
        <is>
          <t>T1542</t>
        </is>
      </c>
      <c r="D474" s="78" t="inlineStr">
        <is>
          <t>Pre-OS Boot (T1542)</t>
        </is>
      </c>
    </row>
    <row r="475">
      <c r="A475" s="78" t="inlineStr">
        <is>
          <t>persistence</t>
        </is>
      </c>
      <c r="B475" s="74" t="inlineStr">
        <is>
          <t>T1542</t>
        </is>
      </c>
      <c r="C475" s="74" t="inlineStr">
        <is>
          <t>T1542.001</t>
        </is>
      </c>
      <c r="D475" s="78" t="inlineStr">
        <is>
          <t>System Firmware (T1542.001)</t>
        </is>
      </c>
    </row>
    <row r="476">
      <c r="A476" s="78" t="inlineStr">
        <is>
          <t>persistence</t>
        </is>
      </c>
      <c r="B476" s="74" t="inlineStr">
        <is>
          <t>T1542</t>
        </is>
      </c>
      <c r="C476" s="74" t="inlineStr">
        <is>
          <t>T1542.002</t>
        </is>
      </c>
      <c r="D476" s="78" t="inlineStr">
        <is>
          <t>Component Firmware (T1542.002)</t>
        </is>
      </c>
    </row>
    <row r="477">
      <c r="A477" s="78" t="inlineStr">
        <is>
          <t>persistence</t>
        </is>
      </c>
      <c r="B477" s="74" t="inlineStr">
        <is>
          <t>T1542</t>
        </is>
      </c>
      <c r="C477" s="74" t="inlineStr">
        <is>
          <t>T1542.003</t>
        </is>
      </c>
      <c r="D477" s="78" t="inlineStr">
        <is>
          <t>Bootkit (T1542.003)</t>
        </is>
      </c>
    </row>
    <row r="478">
      <c r="A478" s="78" t="inlineStr">
        <is>
          <t>persistence</t>
        </is>
      </c>
      <c r="B478" s="74" t="inlineStr">
        <is>
          <t>T1542</t>
        </is>
      </c>
      <c r="C478" s="74" t="inlineStr">
        <is>
          <t>T1542.004</t>
        </is>
      </c>
      <c r="D478" s="78" t="inlineStr">
        <is>
          <t>ROMMONkit (T1542.004)</t>
        </is>
      </c>
    </row>
    <row r="479">
      <c r="A479" s="78" t="inlineStr">
        <is>
          <t>persistence</t>
        </is>
      </c>
      <c r="B479" s="74" t="inlineStr">
        <is>
          <t>T1542</t>
        </is>
      </c>
      <c r="C479" s="74" t="inlineStr">
        <is>
          <t>T1542.005</t>
        </is>
      </c>
      <c r="D479" s="78" t="inlineStr">
        <is>
          <t>TFTP Boot (T1542.005)</t>
        </is>
      </c>
    </row>
    <row r="480">
      <c r="A480" s="78" t="inlineStr">
        <is>
          <t>persistence</t>
        </is>
      </c>
      <c r="B480" s="74" t="inlineStr">
        <is>
          <t>T1543</t>
        </is>
      </c>
      <c r="C480" s="74" t="inlineStr">
        <is>
          <t>T1543</t>
        </is>
      </c>
      <c r="D480" s="78" t="inlineStr">
        <is>
          <t>Create or Modify System Process (T1543)</t>
        </is>
      </c>
    </row>
    <row r="481">
      <c r="A481" s="78" t="inlineStr">
        <is>
          <t>persistence</t>
        </is>
      </c>
      <c r="B481" s="74" t="inlineStr">
        <is>
          <t>T1543</t>
        </is>
      </c>
      <c r="C481" s="74" t="inlineStr">
        <is>
          <t>T1543.001</t>
        </is>
      </c>
      <c r="D481" s="78" t="inlineStr">
        <is>
          <t>Launch Agent (T1543.001)</t>
        </is>
      </c>
    </row>
    <row r="482">
      <c r="A482" s="78" t="inlineStr">
        <is>
          <t>persistence</t>
        </is>
      </c>
      <c r="B482" s="74" t="inlineStr">
        <is>
          <t>T1543</t>
        </is>
      </c>
      <c r="C482" s="74" t="inlineStr">
        <is>
          <t>T1543.002</t>
        </is>
      </c>
      <c r="D482" s="78" t="inlineStr">
        <is>
          <t>Systemd Service (T1543.002)</t>
        </is>
      </c>
    </row>
    <row r="483">
      <c r="A483" s="78" t="inlineStr">
        <is>
          <t>persistence</t>
        </is>
      </c>
      <c r="B483" s="74" t="inlineStr">
        <is>
          <t>T1543</t>
        </is>
      </c>
      <c r="C483" s="74" t="inlineStr">
        <is>
          <t>T1543.003</t>
        </is>
      </c>
      <c r="D483" s="78" t="inlineStr">
        <is>
          <t>Windows Service (T1543.003)</t>
        </is>
      </c>
    </row>
    <row r="484">
      <c r="A484" s="78" t="inlineStr">
        <is>
          <t>persistence</t>
        </is>
      </c>
      <c r="B484" s="74" t="inlineStr">
        <is>
          <t>T1543</t>
        </is>
      </c>
      <c r="C484" s="74" t="inlineStr">
        <is>
          <t>T1543.004</t>
        </is>
      </c>
      <c r="D484" s="78" t="inlineStr">
        <is>
          <t>Launch Daemon (T1543.004)</t>
        </is>
      </c>
    </row>
    <row r="485">
      <c r="A485" s="78" t="inlineStr">
        <is>
          <t>persistence</t>
        </is>
      </c>
      <c r="B485" s="74" t="inlineStr">
        <is>
          <t>T1543</t>
        </is>
      </c>
      <c r="C485" s="74" t="inlineStr">
        <is>
          <t>T1543.005</t>
        </is>
      </c>
      <c r="D485" s="78" t="inlineStr">
        <is>
          <t>Container Service (T1543.005)</t>
        </is>
      </c>
    </row>
    <row r="486">
      <c r="A486" s="78" t="inlineStr">
        <is>
          <t>persistence</t>
        </is>
      </c>
      <c r="B486" s="74" t="inlineStr">
        <is>
          <t>T1546</t>
        </is>
      </c>
      <c r="C486" s="74" t="inlineStr">
        <is>
          <t>T1546</t>
        </is>
      </c>
      <c r="D486" s="78" t="inlineStr">
        <is>
          <t>Event Triggered Execution (T1546)</t>
        </is>
      </c>
    </row>
    <row r="487">
      <c r="A487" s="78" t="inlineStr">
        <is>
          <t>persistence</t>
        </is>
      </c>
      <c r="B487" s="74" t="inlineStr">
        <is>
          <t>T1546</t>
        </is>
      </c>
      <c r="C487" s="74" t="inlineStr">
        <is>
          <t>T1546.001</t>
        </is>
      </c>
      <c r="D487" s="78" t="inlineStr">
        <is>
          <t>Change Default File Association (T1546.001)</t>
        </is>
      </c>
    </row>
    <row r="488">
      <c r="A488" s="78" t="inlineStr">
        <is>
          <t>persistence</t>
        </is>
      </c>
      <c r="B488" s="74" t="inlineStr">
        <is>
          <t>T1546</t>
        </is>
      </c>
      <c r="C488" s="74" t="inlineStr">
        <is>
          <t>T1546.002</t>
        </is>
      </c>
      <c r="D488" s="78" t="inlineStr">
        <is>
          <t>Screensaver (T1546.002)</t>
        </is>
      </c>
    </row>
    <row r="489">
      <c r="A489" s="78" t="inlineStr">
        <is>
          <t>persistence</t>
        </is>
      </c>
      <c r="B489" s="74" t="inlineStr">
        <is>
          <t>T1546</t>
        </is>
      </c>
      <c r="C489" s="74" t="inlineStr">
        <is>
          <t>T1546.003</t>
        </is>
      </c>
      <c r="D489" s="78" t="inlineStr">
        <is>
          <t>Windows Management Instrumentation Event Subscription (T1546.003)</t>
        </is>
      </c>
    </row>
    <row r="490">
      <c r="A490" s="78" t="inlineStr">
        <is>
          <t>persistence</t>
        </is>
      </c>
      <c r="B490" s="74" t="inlineStr">
        <is>
          <t>T1546</t>
        </is>
      </c>
      <c r="C490" s="74" t="inlineStr">
        <is>
          <t>T1546.004</t>
        </is>
      </c>
      <c r="D490" s="78" t="inlineStr">
        <is>
          <t>Unix Shell Configuration Modification (T1546.004)</t>
        </is>
      </c>
    </row>
    <row r="491">
      <c r="A491" s="78" t="inlineStr">
        <is>
          <t>persistence</t>
        </is>
      </c>
      <c r="B491" s="74" t="inlineStr">
        <is>
          <t>T1546</t>
        </is>
      </c>
      <c r="C491" s="74" t="inlineStr">
        <is>
          <t>T1546.005</t>
        </is>
      </c>
      <c r="D491" s="78" t="inlineStr">
        <is>
          <t>Trap (T1546.005)</t>
        </is>
      </c>
    </row>
    <row r="492">
      <c r="A492" s="78" t="inlineStr">
        <is>
          <t>persistence</t>
        </is>
      </c>
      <c r="B492" s="74" t="inlineStr">
        <is>
          <t>T1546</t>
        </is>
      </c>
      <c r="C492" s="74" t="inlineStr">
        <is>
          <t>T1546.006</t>
        </is>
      </c>
      <c r="D492" s="78" t="inlineStr">
        <is>
          <t>LC_LOAD_DYLIB Addition (T1546.006)</t>
        </is>
      </c>
    </row>
    <row r="493">
      <c r="A493" s="78" t="inlineStr">
        <is>
          <t>persistence</t>
        </is>
      </c>
      <c r="B493" s="74" t="inlineStr">
        <is>
          <t>T1546</t>
        </is>
      </c>
      <c r="C493" s="74" t="inlineStr">
        <is>
          <t>T1546.007</t>
        </is>
      </c>
      <c r="D493" s="78" t="inlineStr">
        <is>
          <t>Netsh Helper DLL (T1546.007)</t>
        </is>
      </c>
    </row>
    <row r="494">
      <c r="A494" s="78" t="inlineStr">
        <is>
          <t>persistence</t>
        </is>
      </c>
      <c r="B494" s="74" t="inlineStr">
        <is>
          <t>T1546</t>
        </is>
      </c>
      <c r="C494" s="74" t="inlineStr">
        <is>
          <t>T1546.008</t>
        </is>
      </c>
      <c r="D494" s="78" t="inlineStr">
        <is>
          <t>Accessibility Features (T1546.008)</t>
        </is>
      </c>
    </row>
    <row r="495">
      <c r="A495" s="78" t="inlineStr">
        <is>
          <t>persistence</t>
        </is>
      </c>
      <c r="B495" s="74" t="inlineStr">
        <is>
          <t>T1546</t>
        </is>
      </c>
      <c r="C495" s="74" t="inlineStr">
        <is>
          <t>T1546.009</t>
        </is>
      </c>
      <c r="D495" s="78" t="inlineStr">
        <is>
          <t>AppCert DLLs (T1546.009)</t>
        </is>
      </c>
    </row>
    <row r="496">
      <c r="A496" s="78" t="inlineStr">
        <is>
          <t>persistence</t>
        </is>
      </c>
      <c r="B496" s="74" t="inlineStr">
        <is>
          <t>T1546</t>
        </is>
      </c>
      <c r="C496" s="74" t="inlineStr">
        <is>
          <t>T1546.010</t>
        </is>
      </c>
      <c r="D496" s="78" t="inlineStr">
        <is>
          <t>AppInit DLLs (T1546.010)</t>
        </is>
      </c>
    </row>
    <row r="497">
      <c r="A497" s="78" t="inlineStr">
        <is>
          <t>persistence</t>
        </is>
      </c>
      <c r="B497" s="74" t="inlineStr">
        <is>
          <t>T1546</t>
        </is>
      </c>
      <c r="C497" s="74" t="inlineStr">
        <is>
          <t>T1546.011</t>
        </is>
      </c>
      <c r="D497" s="78" t="inlineStr">
        <is>
          <t>Application Shimming (T1546.011)</t>
        </is>
      </c>
    </row>
    <row r="498">
      <c r="A498" s="78" t="inlineStr">
        <is>
          <t>persistence</t>
        </is>
      </c>
      <c r="B498" s="74" t="inlineStr">
        <is>
          <t>T1546</t>
        </is>
      </c>
      <c r="C498" s="74" t="inlineStr">
        <is>
          <t>T1546.012</t>
        </is>
      </c>
      <c r="D498" s="78" t="inlineStr">
        <is>
          <t>Image File Execution Options Injection (T1546.012)</t>
        </is>
      </c>
    </row>
    <row r="499">
      <c r="A499" s="78" t="inlineStr">
        <is>
          <t>persistence</t>
        </is>
      </c>
      <c r="B499" s="74" t="inlineStr">
        <is>
          <t>T1546</t>
        </is>
      </c>
      <c r="C499" s="74" t="inlineStr">
        <is>
          <t>T1546.013</t>
        </is>
      </c>
      <c r="D499" s="78" t="inlineStr">
        <is>
          <t>PowerShell Profile (T1546.013)</t>
        </is>
      </c>
    </row>
    <row r="500">
      <c r="A500" s="78" t="inlineStr">
        <is>
          <t>persistence</t>
        </is>
      </c>
      <c r="B500" s="74" t="inlineStr">
        <is>
          <t>T1546</t>
        </is>
      </c>
      <c r="C500" s="74" t="inlineStr">
        <is>
          <t>T1546.014</t>
        </is>
      </c>
      <c r="D500" s="78" t="inlineStr">
        <is>
          <t>Emond (T1546.014)</t>
        </is>
      </c>
    </row>
    <row r="501">
      <c r="A501" s="78" t="inlineStr">
        <is>
          <t>persistence</t>
        </is>
      </c>
      <c r="B501" s="74" t="inlineStr">
        <is>
          <t>T1546</t>
        </is>
      </c>
      <c r="C501" s="74" t="inlineStr">
        <is>
          <t>T1546.015</t>
        </is>
      </c>
      <c r="D501" s="78" t="inlineStr">
        <is>
          <t>Component Object Model Hijacking (T1546.015)</t>
        </is>
      </c>
    </row>
    <row r="502">
      <c r="A502" s="78" t="inlineStr">
        <is>
          <t>persistence</t>
        </is>
      </c>
      <c r="B502" s="74" t="inlineStr">
        <is>
          <t>T1546</t>
        </is>
      </c>
      <c r="C502" s="74" t="inlineStr">
        <is>
          <t>T1546.016</t>
        </is>
      </c>
      <c r="D502" s="78" t="inlineStr">
        <is>
          <t>Installer Packages (T1546.016)</t>
        </is>
      </c>
    </row>
    <row r="503">
      <c r="A503" s="78" t="inlineStr">
        <is>
          <t>persistence</t>
        </is>
      </c>
      <c r="B503" s="74" t="inlineStr">
        <is>
          <t>T1546</t>
        </is>
      </c>
      <c r="C503" s="74" t="inlineStr">
        <is>
          <t>T1546.017</t>
        </is>
      </c>
      <c r="D503" s="78" t="inlineStr">
        <is>
          <t>Udev Rules (T1546.017)</t>
        </is>
      </c>
    </row>
    <row r="504">
      <c r="A504" s="78" t="inlineStr">
        <is>
          <t>persistence</t>
        </is>
      </c>
      <c r="B504" s="74" t="inlineStr">
        <is>
          <t>T1546</t>
        </is>
      </c>
      <c r="C504" s="74" t="inlineStr">
        <is>
          <t>T1546.018</t>
        </is>
      </c>
      <c r="D504" s="78" t="inlineStr">
        <is>
          <t>Python Startup Hooks (T1546.018)</t>
        </is>
      </c>
    </row>
    <row r="505">
      <c r="A505" s="78" t="inlineStr">
        <is>
          <t>persistence</t>
        </is>
      </c>
      <c r="B505" s="74" t="inlineStr">
        <is>
          <t>T1547</t>
        </is>
      </c>
      <c r="C505" s="74" t="inlineStr">
        <is>
          <t>T1547</t>
        </is>
      </c>
      <c r="D505" s="78" t="inlineStr">
        <is>
          <t>Boot or Logon Autostart Execution (T1547)</t>
        </is>
      </c>
    </row>
    <row r="506">
      <c r="A506" s="78" t="inlineStr">
        <is>
          <t>persistence</t>
        </is>
      </c>
      <c r="B506" s="74" t="inlineStr">
        <is>
          <t>T1547</t>
        </is>
      </c>
      <c r="C506" s="74" t="inlineStr">
        <is>
          <t>T1547.001</t>
        </is>
      </c>
      <c r="D506" s="78" t="inlineStr">
        <is>
          <t>Registry Run Keys / Startup Folder (T1547.001)</t>
        </is>
      </c>
    </row>
    <row r="507">
      <c r="A507" s="78" t="inlineStr">
        <is>
          <t>persistence</t>
        </is>
      </c>
      <c r="B507" s="74" t="inlineStr">
        <is>
          <t>T1547</t>
        </is>
      </c>
      <c r="C507" s="74" t="inlineStr">
        <is>
          <t>T1547.002</t>
        </is>
      </c>
      <c r="D507" s="78" t="inlineStr">
        <is>
          <t>Authentication Package (T1547.002)</t>
        </is>
      </c>
    </row>
    <row r="508">
      <c r="A508" s="78" t="inlineStr">
        <is>
          <t>persistence</t>
        </is>
      </c>
      <c r="B508" s="74" t="inlineStr">
        <is>
          <t>T1547</t>
        </is>
      </c>
      <c r="C508" s="74" t="inlineStr">
        <is>
          <t>T1547.003</t>
        </is>
      </c>
      <c r="D508" s="78" t="inlineStr">
        <is>
          <t>Time Providers (T1547.003)</t>
        </is>
      </c>
    </row>
    <row r="509">
      <c r="A509" s="78" t="inlineStr">
        <is>
          <t>persistence</t>
        </is>
      </c>
      <c r="B509" s="74" t="inlineStr">
        <is>
          <t>T1547</t>
        </is>
      </c>
      <c r="C509" s="74" t="inlineStr">
        <is>
          <t>T1547.004</t>
        </is>
      </c>
      <c r="D509" s="78" t="inlineStr">
        <is>
          <t>Winlogon Helper DLL (T1547.004)</t>
        </is>
      </c>
    </row>
    <row r="510">
      <c r="A510" s="78" t="inlineStr">
        <is>
          <t>persistence</t>
        </is>
      </c>
      <c r="B510" s="74" t="inlineStr">
        <is>
          <t>T1547</t>
        </is>
      </c>
      <c r="C510" s="74" t="inlineStr">
        <is>
          <t>T1547.005</t>
        </is>
      </c>
      <c r="D510" s="78" t="inlineStr">
        <is>
          <t>Security Support Provider (T1547.005)</t>
        </is>
      </c>
    </row>
    <row r="511">
      <c r="A511" s="78" t="inlineStr">
        <is>
          <t>persistence</t>
        </is>
      </c>
      <c r="B511" s="74" t="inlineStr">
        <is>
          <t>T1547</t>
        </is>
      </c>
      <c r="C511" s="74" t="inlineStr">
        <is>
          <t>T1547.006</t>
        </is>
      </c>
      <c r="D511" s="78" t="inlineStr">
        <is>
          <t>Kernel Modules and Extensions (T1547.006)</t>
        </is>
      </c>
    </row>
    <row r="512">
      <c r="A512" s="78" t="inlineStr">
        <is>
          <t>persistence</t>
        </is>
      </c>
      <c r="B512" s="74" t="inlineStr">
        <is>
          <t>T1547</t>
        </is>
      </c>
      <c r="C512" s="74" t="inlineStr">
        <is>
          <t>T1547.007</t>
        </is>
      </c>
      <c r="D512" s="78" t="inlineStr">
        <is>
          <t>Re-opened Applications (T1547.007)</t>
        </is>
      </c>
    </row>
    <row r="513">
      <c r="A513" s="78" t="inlineStr">
        <is>
          <t>persistence</t>
        </is>
      </c>
      <c r="B513" s="74" t="inlineStr">
        <is>
          <t>T1547</t>
        </is>
      </c>
      <c r="C513" s="74" t="inlineStr">
        <is>
          <t>T1547.008</t>
        </is>
      </c>
      <c r="D513" s="78" t="inlineStr">
        <is>
          <t>LSASS Driver (T1547.008)</t>
        </is>
      </c>
    </row>
    <row r="514">
      <c r="A514" s="78" t="inlineStr">
        <is>
          <t>persistence</t>
        </is>
      </c>
      <c r="B514" s="74" t="inlineStr">
        <is>
          <t>T1547</t>
        </is>
      </c>
      <c r="C514" s="74" t="inlineStr">
        <is>
          <t>T1547.009</t>
        </is>
      </c>
      <c r="D514" s="78" t="inlineStr">
        <is>
          <t>Shortcut Modification (T1547.009)</t>
        </is>
      </c>
    </row>
    <row r="515">
      <c r="A515" s="78" t="inlineStr">
        <is>
          <t>persistence</t>
        </is>
      </c>
      <c r="B515" s="74" t="inlineStr">
        <is>
          <t>T1547</t>
        </is>
      </c>
      <c r="C515" s="74" t="inlineStr">
        <is>
          <t>T1547.010</t>
        </is>
      </c>
      <c r="D515" s="78" t="inlineStr">
        <is>
          <t>Port Monitors (T1547.010)</t>
        </is>
      </c>
    </row>
    <row r="516">
      <c r="A516" s="78" t="inlineStr">
        <is>
          <t>persistence</t>
        </is>
      </c>
      <c r="B516" s="74" t="inlineStr">
        <is>
          <t>T1547</t>
        </is>
      </c>
      <c r="C516" s="74" t="inlineStr">
        <is>
          <t>T1547.012</t>
        </is>
      </c>
      <c r="D516" s="78" t="inlineStr">
        <is>
          <t>Print Processors (T1547.012)</t>
        </is>
      </c>
    </row>
    <row r="517">
      <c r="A517" s="78" t="inlineStr">
        <is>
          <t>persistence</t>
        </is>
      </c>
      <c r="B517" s="74" t="inlineStr">
        <is>
          <t>T1547</t>
        </is>
      </c>
      <c r="C517" s="74" t="inlineStr">
        <is>
          <t>T1547.013</t>
        </is>
      </c>
      <c r="D517" s="78" t="inlineStr">
        <is>
          <t>XDG Autostart Entries (T1547.013)</t>
        </is>
      </c>
    </row>
    <row r="518">
      <c r="A518" s="78" t="inlineStr">
        <is>
          <t>persistence</t>
        </is>
      </c>
      <c r="B518" s="74" t="inlineStr">
        <is>
          <t>T1547</t>
        </is>
      </c>
      <c r="C518" s="74" t="inlineStr">
        <is>
          <t>T1547.014</t>
        </is>
      </c>
      <c r="D518" s="78" t="inlineStr">
        <is>
          <t>Active Setup (T1547.014)</t>
        </is>
      </c>
    </row>
    <row r="519">
      <c r="A519" s="78" t="inlineStr">
        <is>
          <t>persistence</t>
        </is>
      </c>
      <c r="B519" s="74" t="inlineStr">
        <is>
          <t>T1547</t>
        </is>
      </c>
      <c r="C519" s="74" t="inlineStr">
        <is>
          <t>T1547.015</t>
        </is>
      </c>
      <c r="D519" s="78" t="inlineStr">
        <is>
          <t>Login Items (T1547.015)</t>
        </is>
      </c>
    </row>
    <row r="520">
      <c r="A520" s="78" t="inlineStr">
        <is>
          <t>persistence</t>
        </is>
      </c>
      <c r="B520" s="74" t="inlineStr">
        <is>
          <t>T1554</t>
        </is>
      </c>
      <c r="C520" s="74" t="inlineStr">
        <is>
          <t>T1554</t>
        </is>
      </c>
      <c r="D520" s="78" t="inlineStr">
        <is>
          <t>Compromise Host Software Binary (T1554)</t>
        </is>
      </c>
    </row>
    <row r="521">
      <c r="A521" s="78" t="inlineStr">
        <is>
          <t>persistence</t>
        </is>
      </c>
      <c r="B521" s="74" t="inlineStr">
        <is>
          <t>T1556</t>
        </is>
      </c>
      <c r="C521" s="74" t="inlineStr">
        <is>
          <t>T1556</t>
        </is>
      </c>
      <c r="D521" s="78" t="inlineStr">
        <is>
          <t>Modify Authentication Process (T1556)</t>
        </is>
      </c>
    </row>
    <row r="522">
      <c r="A522" s="78" t="inlineStr">
        <is>
          <t>persistence</t>
        </is>
      </c>
      <c r="B522" s="74" t="inlineStr">
        <is>
          <t>T1556</t>
        </is>
      </c>
      <c r="C522" s="74" t="inlineStr">
        <is>
          <t>T1556.001</t>
        </is>
      </c>
      <c r="D522" s="78" t="inlineStr">
        <is>
          <t>Domain Controller Authentication (T1556.001)</t>
        </is>
      </c>
    </row>
    <row r="523">
      <c r="A523" s="78" t="inlineStr">
        <is>
          <t>persistence</t>
        </is>
      </c>
      <c r="B523" s="74" t="inlineStr">
        <is>
          <t>T1556</t>
        </is>
      </c>
      <c r="C523" s="74" t="inlineStr">
        <is>
          <t>T1556.002</t>
        </is>
      </c>
      <c r="D523" s="78" t="inlineStr">
        <is>
          <t>Password Filter DLL (T1556.002)</t>
        </is>
      </c>
    </row>
    <row r="524">
      <c r="A524" s="78" t="inlineStr">
        <is>
          <t>persistence</t>
        </is>
      </c>
      <c r="B524" s="74" t="inlineStr">
        <is>
          <t>T1556</t>
        </is>
      </c>
      <c r="C524" s="74" t="inlineStr">
        <is>
          <t>T1556.003</t>
        </is>
      </c>
      <c r="D524" s="78" t="inlineStr">
        <is>
          <t>Pluggable Authentication Modules (T1556.003)</t>
        </is>
      </c>
    </row>
    <row r="525">
      <c r="A525" s="78" t="inlineStr">
        <is>
          <t>persistence</t>
        </is>
      </c>
      <c r="B525" s="74" t="inlineStr">
        <is>
          <t>T1556</t>
        </is>
      </c>
      <c r="C525" s="74" t="inlineStr">
        <is>
          <t>T1556.004</t>
        </is>
      </c>
      <c r="D525" s="78" t="inlineStr">
        <is>
          <t>Network Device Authentication (T1556.004)</t>
        </is>
      </c>
    </row>
    <row r="526">
      <c r="A526" s="78" t="inlineStr">
        <is>
          <t>persistence</t>
        </is>
      </c>
      <c r="B526" s="74" t="inlineStr">
        <is>
          <t>T1556</t>
        </is>
      </c>
      <c r="C526" s="74" t="inlineStr">
        <is>
          <t>T1556.005</t>
        </is>
      </c>
      <c r="D526" s="78" t="inlineStr">
        <is>
          <t>Reversible Encryption (T1556.005)</t>
        </is>
      </c>
    </row>
    <row r="527">
      <c r="A527" s="78" t="inlineStr">
        <is>
          <t>persistence</t>
        </is>
      </c>
      <c r="B527" s="74" t="inlineStr">
        <is>
          <t>T1556</t>
        </is>
      </c>
      <c r="C527" s="74" t="inlineStr">
        <is>
          <t>T1556.006</t>
        </is>
      </c>
      <c r="D527" s="78" t="inlineStr">
        <is>
          <t>Multi-Factor Authentication (T1556.006)</t>
        </is>
      </c>
    </row>
    <row r="528">
      <c r="A528" s="78" t="inlineStr">
        <is>
          <t>persistence</t>
        </is>
      </c>
      <c r="B528" s="74" t="inlineStr">
        <is>
          <t>T1556</t>
        </is>
      </c>
      <c r="C528" s="74" t="inlineStr">
        <is>
          <t>T1556.007</t>
        </is>
      </c>
      <c r="D528" s="78" t="inlineStr">
        <is>
          <t>Hybrid Identity (T1556.007)</t>
        </is>
      </c>
    </row>
    <row r="529">
      <c r="A529" s="78" t="inlineStr">
        <is>
          <t>persistence</t>
        </is>
      </c>
      <c r="B529" s="74" t="inlineStr">
        <is>
          <t>T1556</t>
        </is>
      </c>
      <c r="C529" s="74" t="inlineStr">
        <is>
          <t>T1556.008</t>
        </is>
      </c>
      <c r="D529" s="78" t="inlineStr">
        <is>
          <t>Network Provider DLL (T1556.008)</t>
        </is>
      </c>
    </row>
    <row r="530">
      <c r="A530" s="78" t="inlineStr">
        <is>
          <t>persistence</t>
        </is>
      </c>
      <c r="B530" s="74" t="inlineStr">
        <is>
          <t>T1556</t>
        </is>
      </c>
      <c r="C530" s="74" t="inlineStr">
        <is>
          <t>T1556.009</t>
        </is>
      </c>
      <c r="D530" s="78" t="inlineStr">
        <is>
          <t>Conditional Access Policies (T1556.009)</t>
        </is>
      </c>
    </row>
    <row r="531">
      <c r="A531" s="78" t="inlineStr">
        <is>
          <t>persistence</t>
        </is>
      </c>
      <c r="B531" s="74" t="inlineStr">
        <is>
          <t>T1653</t>
        </is>
      </c>
      <c r="C531" s="74" t="inlineStr">
        <is>
          <t>T1653</t>
        </is>
      </c>
      <c r="D531" s="78" t="inlineStr">
        <is>
          <t>Power Settings (T1653)</t>
        </is>
      </c>
    </row>
    <row r="532">
      <c r="A532" s="78" t="inlineStr">
        <is>
          <t>persistence</t>
        </is>
      </c>
      <c r="B532" s="74" t="inlineStr">
        <is>
          <t>T1668</t>
        </is>
      </c>
      <c r="C532" s="74" t="inlineStr">
        <is>
          <t>T1668</t>
        </is>
      </c>
      <c r="D532" s="78" t="inlineStr">
        <is>
          <t>Exclusive Control (T1668)</t>
        </is>
      </c>
    </row>
    <row r="533">
      <c r="A533" s="78" t="inlineStr">
        <is>
          <t>persistence</t>
        </is>
      </c>
      <c r="B533" s="74" t="inlineStr">
        <is>
          <t>T1671</t>
        </is>
      </c>
      <c r="C533" s="74" t="inlineStr">
        <is>
          <t>T1671</t>
        </is>
      </c>
      <c r="D533" s="78" t="inlineStr">
        <is>
          <t>Cloud Application Integration (T1671)</t>
        </is>
      </c>
    </row>
    <row r="534">
      <c r="A534" s="78" t="inlineStr">
        <is>
          <t>privilege-escalation</t>
        </is>
      </c>
      <c r="B534" s="74" t="inlineStr">
        <is>
          <t>T1037</t>
        </is>
      </c>
      <c r="C534" s="74" t="inlineStr">
        <is>
          <t>T1037</t>
        </is>
      </c>
      <c r="D534" s="78" t="inlineStr">
        <is>
          <t>Boot or Logon Initialization Scripts (T1037)</t>
        </is>
      </c>
    </row>
    <row r="535">
      <c r="A535" s="78" t="inlineStr">
        <is>
          <t>privilege-escalation</t>
        </is>
      </c>
      <c r="B535" s="74" t="inlineStr">
        <is>
          <t>T1037</t>
        </is>
      </c>
      <c r="C535" s="74" t="inlineStr">
        <is>
          <t>T1037.001</t>
        </is>
      </c>
      <c r="D535" s="78" t="inlineStr">
        <is>
          <t>Logon Script (Windows) (T1037.001)</t>
        </is>
      </c>
    </row>
    <row r="536">
      <c r="A536" s="78" t="inlineStr">
        <is>
          <t>privilege-escalation</t>
        </is>
      </c>
      <c r="B536" s="74" t="inlineStr">
        <is>
          <t>T1037</t>
        </is>
      </c>
      <c r="C536" s="74" t="inlineStr">
        <is>
          <t>T1037.002</t>
        </is>
      </c>
      <c r="D536" s="78" t="inlineStr">
        <is>
          <t>Login Hook (T1037.002)</t>
        </is>
      </c>
    </row>
    <row r="537">
      <c r="A537" s="78" t="inlineStr">
        <is>
          <t>privilege-escalation</t>
        </is>
      </c>
      <c r="B537" s="74" t="inlineStr">
        <is>
          <t>T1037</t>
        </is>
      </c>
      <c r="C537" s="74" t="inlineStr">
        <is>
          <t>T1037.003</t>
        </is>
      </c>
      <c r="D537" s="78" t="inlineStr">
        <is>
          <t>Network Logon Script (T1037.003)</t>
        </is>
      </c>
    </row>
    <row r="538">
      <c r="A538" s="78" t="inlineStr">
        <is>
          <t>privilege-escalation</t>
        </is>
      </c>
      <c r="B538" s="74" t="inlineStr">
        <is>
          <t>T1037</t>
        </is>
      </c>
      <c r="C538" s="74" t="inlineStr">
        <is>
          <t>T1037.004</t>
        </is>
      </c>
      <c r="D538" s="78" t="inlineStr">
        <is>
          <t>RC Scripts (T1037.004)</t>
        </is>
      </c>
    </row>
    <row r="539">
      <c r="A539" s="78" t="inlineStr">
        <is>
          <t>privilege-escalation</t>
        </is>
      </c>
      <c r="B539" s="74" t="inlineStr">
        <is>
          <t>T1037</t>
        </is>
      </c>
      <c r="C539" s="74" t="inlineStr">
        <is>
          <t>T1037.005</t>
        </is>
      </c>
      <c r="D539" s="78" t="inlineStr">
        <is>
          <t>Startup Items (T1037.005)</t>
        </is>
      </c>
    </row>
    <row r="540">
      <c r="A540" s="78" t="inlineStr">
        <is>
          <t>privilege-escalation</t>
        </is>
      </c>
      <c r="B540" s="74" t="inlineStr">
        <is>
          <t>T1053</t>
        </is>
      </c>
      <c r="C540" s="74" t="inlineStr">
        <is>
          <t>T1053</t>
        </is>
      </c>
      <c r="D540" s="78" t="inlineStr">
        <is>
          <t>Scheduled Task/Job (T1053)</t>
        </is>
      </c>
    </row>
    <row r="541">
      <c r="A541" s="78" t="inlineStr">
        <is>
          <t>privilege-escalation</t>
        </is>
      </c>
      <c r="B541" s="74" t="inlineStr">
        <is>
          <t>T1053</t>
        </is>
      </c>
      <c r="C541" s="74" t="inlineStr">
        <is>
          <t>T1053.002</t>
        </is>
      </c>
      <c r="D541" s="78" t="inlineStr">
        <is>
          <t>At (T1053.002)</t>
        </is>
      </c>
    </row>
    <row r="542">
      <c r="A542" s="78" t="inlineStr">
        <is>
          <t>privilege-escalation</t>
        </is>
      </c>
      <c r="B542" s="74" t="inlineStr">
        <is>
          <t>T1053</t>
        </is>
      </c>
      <c r="C542" s="74" t="inlineStr">
        <is>
          <t>T1053.003</t>
        </is>
      </c>
      <c r="D542" s="78" t="inlineStr">
        <is>
          <t>Cron (T1053.003)</t>
        </is>
      </c>
    </row>
    <row r="543">
      <c r="A543" s="78" t="inlineStr">
        <is>
          <t>privilege-escalation</t>
        </is>
      </c>
      <c r="B543" s="74" t="inlineStr">
        <is>
          <t>T1053</t>
        </is>
      </c>
      <c r="C543" s="74" t="inlineStr">
        <is>
          <t>T1053.005</t>
        </is>
      </c>
      <c r="D543" s="78" t="inlineStr">
        <is>
          <t>Scheduled Task (T1053.005)</t>
        </is>
      </c>
    </row>
    <row r="544">
      <c r="A544" s="78" t="inlineStr">
        <is>
          <t>privilege-escalation</t>
        </is>
      </c>
      <c r="B544" s="74" t="inlineStr">
        <is>
          <t>T1053</t>
        </is>
      </c>
      <c r="C544" s="74" t="inlineStr">
        <is>
          <t>T1053.006</t>
        </is>
      </c>
      <c r="D544" s="78" t="inlineStr">
        <is>
          <t>Systemd Timers (T1053.006)</t>
        </is>
      </c>
    </row>
    <row r="545">
      <c r="A545" s="78" t="inlineStr">
        <is>
          <t>privilege-escalation</t>
        </is>
      </c>
      <c r="B545" s="74" t="inlineStr">
        <is>
          <t>T1053</t>
        </is>
      </c>
      <c r="C545" s="74" t="inlineStr">
        <is>
          <t>T1053.007</t>
        </is>
      </c>
      <c r="D545" s="78" t="inlineStr">
        <is>
          <t>Container Orchestration Job (T1053.007)</t>
        </is>
      </c>
    </row>
    <row r="546">
      <c r="A546" s="78" t="inlineStr">
        <is>
          <t>privilege-escalation</t>
        </is>
      </c>
      <c r="B546" s="74" t="inlineStr">
        <is>
          <t>T1055</t>
        </is>
      </c>
      <c r="C546" s="74" t="inlineStr">
        <is>
          <t>T1055</t>
        </is>
      </c>
      <c r="D546" s="78" t="inlineStr">
        <is>
          <t>Process Injection (T1055)</t>
        </is>
      </c>
    </row>
    <row r="547">
      <c r="A547" s="78" t="inlineStr">
        <is>
          <t>privilege-escalation</t>
        </is>
      </c>
      <c r="B547" s="74" t="inlineStr">
        <is>
          <t>T1055</t>
        </is>
      </c>
      <c r="C547" s="74" t="inlineStr">
        <is>
          <t>T1055.001</t>
        </is>
      </c>
      <c r="D547" s="78" t="inlineStr">
        <is>
          <t>Dynamic-link Library Injection (T1055.001)</t>
        </is>
      </c>
    </row>
    <row r="548">
      <c r="A548" s="78" t="inlineStr">
        <is>
          <t>privilege-escalation</t>
        </is>
      </c>
      <c r="B548" s="74" t="inlineStr">
        <is>
          <t>T1055</t>
        </is>
      </c>
      <c r="C548" s="74" t="inlineStr">
        <is>
          <t>T1055.002</t>
        </is>
      </c>
      <c r="D548" s="78" t="inlineStr">
        <is>
          <t>Portable Executable Injection (T1055.002)</t>
        </is>
      </c>
    </row>
    <row r="549">
      <c r="A549" s="78" t="inlineStr">
        <is>
          <t>privilege-escalation</t>
        </is>
      </c>
      <c r="B549" s="74" t="inlineStr">
        <is>
          <t>T1055</t>
        </is>
      </c>
      <c r="C549" s="74" t="inlineStr">
        <is>
          <t>T1055.003</t>
        </is>
      </c>
      <c r="D549" s="78" t="inlineStr">
        <is>
          <t>Thread Execution Hijacking (T1055.003)</t>
        </is>
      </c>
    </row>
    <row r="550">
      <c r="A550" s="78" t="inlineStr">
        <is>
          <t>privilege-escalation</t>
        </is>
      </c>
      <c r="B550" s="74" t="inlineStr">
        <is>
          <t>T1055</t>
        </is>
      </c>
      <c r="C550" s="74" t="inlineStr">
        <is>
          <t>T1055.004</t>
        </is>
      </c>
      <c r="D550" s="78" t="inlineStr">
        <is>
          <t>Asynchronous Procedure Call (T1055.004)</t>
        </is>
      </c>
    </row>
    <row r="551">
      <c r="A551" s="78" t="inlineStr">
        <is>
          <t>privilege-escalation</t>
        </is>
      </c>
      <c r="B551" s="74" t="inlineStr">
        <is>
          <t>T1055</t>
        </is>
      </c>
      <c r="C551" s="74" t="inlineStr">
        <is>
          <t>T1055.005</t>
        </is>
      </c>
      <c r="D551" s="78" t="inlineStr">
        <is>
          <t>Thread Local Storage (T1055.005)</t>
        </is>
      </c>
    </row>
    <row r="552">
      <c r="A552" s="78" t="inlineStr">
        <is>
          <t>privilege-escalation</t>
        </is>
      </c>
      <c r="B552" s="74" t="inlineStr">
        <is>
          <t>T1055</t>
        </is>
      </c>
      <c r="C552" s="74" t="inlineStr">
        <is>
          <t>T1055.008</t>
        </is>
      </c>
      <c r="D552" s="78" t="inlineStr">
        <is>
          <t>Ptrace System Calls (T1055.008)</t>
        </is>
      </c>
    </row>
    <row r="553">
      <c r="A553" s="78" t="inlineStr">
        <is>
          <t>privilege-escalation</t>
        </is>
      </c>
      <c r="B553" s="74" t="inlineStr">
        <is>
          <t>T1055</t>
        </is>
      </c>
      <c r="C553" s="74" t="inlineStr">
        <is>
          <t>T1055.009</t>
        </is>
      </c>
      <c r="D553" s="78" t="inlineStr">
        <is>
          <t>Proc Memory (T1055.009)</t>
        </is>
      </c>
    </row>
    <row r="554">
      <c r="A554" s="78" t="inlineStr">
        <is>
          <t>privilege-escalation</t>
        </is>
      </c>
      <c r="B554" s="74" t="inlineStr">
        <is>
          <t>T1055</t>
        </is>
      </c>
      <c r="C554" s="74" t="inlineStr">
        <is>
          <t>T1055.011</t>
        </is>
      </c>
      <c r="D554" s="78" t="inlineStr">
        <is>
          <t>Extra Window Memory Injection (T1055.011)</t>
        </is>
      </c>
    </row>
    <row r="555">
      <c r="A555" s="78" t="inlineStr">
        <is>
          <t>privilege-escalation</t>
        </is>
      </c>
      <c r="B555" s="74" t="inlineStr">
        <is>
          <t>T1055</t>
        </is>
      </c>
      <c r="C555" s="74" t="inlineStr">
        <is>
          <t>T1055.012</t>
        </is>
      </c>
      <c r="D555" s="78" t="inlineStr">
        <is>
          <t>Process Hollowing (T1055.012)</t>
        </is>
      </c>
    </row>
    <row r="556">
      <c r="A556" s="78" t="inlineStr">
        <is>
          <t>privilege-escalation</t>
        </is>
      </c>
      <c r="B556" s="74" t="inlineStr">
        <is>
          <t>T1055</t>
        </is>
      </c>
      <c r="C556" s="74" t="inlineStr">
        <is>
          <t>T1055.013</t>
        </is>
      </c>
      <c r="D556" s="78" t="inlineStr">
        <is>
          <t>Process Doppelgänging (T1055.013)</t>
        </is>
      </c>
    </row>
    <row r="557">
      <c r="A557" s="78" t="inlineStr">
        <is>
          <t>privilege-escalation</t>
        </is>
      </c>
      <c r="B557" s="74" t="inlineStr">
        <is>
          <t>T1055</t>
        </is>
      </c>
      <c r="C557" s="74" t="inlineStr">
        <is>
          <t>T1055.014</t>
        </is>
      </c>
      <c r="D557" s="78" t="inlineStr">
        <is>
          <t>VDSO Hijacking (T1055.014)</t>
        </is>
      </c>
    </row>
    <row r="558">
      <c r="A558" s="78" t="inlineStr">
        <is>
          <t>privilege-escalation</t>
        </is>
      </c>
      <c r="B558" s="74" t="inlineStr">
        <is>
          <t>T1055</t>
        </is>
      </c>
      <c r="C558" s="74" t="inlineStr">
        <is>
          <t>T1055.015</t>
        </is>
      </c>
      <c r="D558" s="78" t="inlineStr">
        <is>
          <t>ListPlanting (T1055.015)</t>
        </is>
      </c>
    </row>
    <row r="559">
      <c r="A559" s="78" t="inlineStr">
        <is>
          <t>privilege-escalation</t>
        </is>
      </c>
      <c r="B559" s="74" t="inlineStr">
        <is>
          <t>T1068</t>
        </is>
      </c>
      <c r="C559" s="74" t="inlineStr">
        <is>
          <t>T1068</t>
        </is>
      </c>
      <c r="D559" s="78" t="inlineStr">
        <is>
          <t>Exploitation for Privilege Escalation (T1068)</t>
        </is>
      </c>
    </row>
    <row r="560">
      <c r="A560" s="78" t="inlineStr">
        <is>
          <t>privilege-escalation</t>
        </is>
      </c>
      <c r="B560" s="74" t="inlineStr">
        <is>
          <t>T1078</t>
        </is>
      </c>
      <c r="C560" s="74" t="inlineStr">
        <is>
          <t>T1078</t>
        </is>
      </c>
      <c r="D560" s="78" t="inlineStr">
        <is>
          <t>Valid Accounts (T1078)</t>
        </is>
      </c>
    </row>
    <row r="561">
      <c r="A561" s="78" t="inlineStr">
        <is>
          <t>privilege-escalation</t>
        </is>
      </c>
      <c r="B561" s="74" t="inlineStr">
        <is>
          <t>T1078</t>
        </is>
      </c>
      <c r="C561" s="74" t="inlineStr">
        <is>
          <t>T1078.001</t>
        </is>
      </c>
      <c r="D561" s="78" t="inlineStr">
        <is>
          <t>Default Accounts (T1078.001)</t>
        </is>
      </c>
    </row>
    <row r="562">
      <c r="A562" s="78" t="inlineStr">
        <is>
          <t>privilege-escalation</t>
        </is>
      </c>
      <c r="B562" s="74" t="inlineStr">
        <is>
          <t>T1078</t>
        </is>
      </c>
      <c r="C562" s="74" t="inlineStr">
        <is>
          <t>T1078.002</t>
        </is>
      </c>
      <c r="D562" s="78" t="inlineStr">
        <is>
          <t>Domain Accounts (T1078.002)</t>
        </is>
      </c>
    </row>
    <row r="563">
      <c r="A563" s="78" t="inlineStr">
        <is>
          <t>privilege-escalation</t>
        </is>
      </c>
      <c r="B563" s="74" t="inlineStr">
        <is>
          <t>T1078</t>
        </is>
      </c>
      <c r="C563" s="74" t="inlineStr">
        <is>
          <t>T1078.003</t>
        </is>
      </c>
      <c r="D563" s="78" t="inlineStr">
        <is>
          <t>Local Accounts (T1078.003)</t>
        </is>
      </c>
    </row>
    <row r="564">
      <c r="A564" s="78" t="inlineStr">
        <is>
          <t>privilege-escalation</t>
        </is>
      </c>
      <c r="B564" s="74" t="inlineStr">
        <is>
          <t>T1078</t>
        </is>
      </c>
      <c r="C564" s="74" t="inlineStr">
        <is>
          <t>T1078.004</t>
        </is>
      </c>
      <c r="D564" s="78" t="inlineStr">
        <is>
          <t>Cloud Accounts (T1078.004)</t>
        </is>
      </c>
    </row>
    <row r="565">
      <c r="A565" s="78" t="inlineStr">
        <is>
          <t>privilege-escalation</t>
        </is>
      </c>
      <c r="B565" s="74" t="inlineStr">
        <is>
          <t>T1098</t>
        </is>
      </c>
      <c r="C565" s="74" t="inlineStr">
        <is>
          <t>T1098</t>
        </is>
      </c>
      <c r="D565" s="78" t="inlineStr">
        <is>
          <t>Account Manipulation (T1098)</t>
        </is>
      </c>
    </row>
    <row r="566">
      <c r="A566" s="78" t="inlineStr">
        <is>
          <t>privilege-escalation</t>
        </is>
      </c>
      <c r="B566" s="74" t="inlineStr">
        <is>
          <t>T1098</t>
        </is>
      </c>
      <c r="C566" s="74" t="inlineStr">
        <is>
          <t>T1098.001</t>
        </is>
      </c>
      <c r="D566" s="78" t="inlineStr">
        <is>
          <t>Additional Cloud Credentials (T1098.001)</t>
        </is>
      </c>
    </row>
    <row r="567">
      <c r="A567" s="78" t="inlineStr">
        <is>
          <t>privilege-escalation</t>
        </is>
      </c>
      <c r="B567" s="74" t="inlineStr">
        <is>
          <t>T1098</t>
        </is>
      </c>
      <c r="C567" s="74" t="inlineStr">
        <is>
          <t>T1098.002</t>
        </is>
      </c>
      <c r="D567" s="78" t="inlineStr">
        <is>
          <t>Additional Email Delegate Permissions (T1098.002)</t>
        </is>
      </c>
    </row>
    <row r="568">
      <c r="A568" s="78" t="inlineStr">
        <is>
          <t>privilege-escalation</t>
        </is>
      </c>
      <c r="B568" s="74" t="inlineStr">
        <is>
          <t>T1098</t>
        </is>
      </c>
      <c r="C568" s="74" t="inlineStr">
        <is>
          <t>T1098.003</t>
        </is>
      </c>
      <c r="D568" s="78" t="inlineStr">
        <is>
          <t>Additional Cloud Roles (T1098.003)</t>
        </is>
      </c>
    </row>
    <row r="569">
      <c r="A569" s="78" t="inlineStr">
        <is>
          <t>privilege-escalation</t>
        </is>
      </c>
      <c r="B569" s="74" t="inlineStr">
        <is>
          <t>T1098</t>
        </is>
      </c>
      <c r="C569" s="74" t="inlineStr">
        <is>
          <t>T1098.004</t>
        </is>
      </c>
      <c r="D569" s="78" t="inlineStr">
        <is>
          <t>SSH Authorized Keys (T1098.004)</t>
        </is>
      </c>
    </row>
    <row r="570">
      <c r="A570" s="78" t="inlineStr">
        <is>
          <t>privilege-escalation</t>
        </is>
      </c>
      <c r="B570" s="74" t="inlineStr">
        <is>
          <t>T1098</t>
        </is>
      </c>
      <c r="C570" s="74" t="inlineStr">
        <is>
          <t>T1098.005</t>
        </is>
      </c>
      <c r="D570" s="78" t="inlineStr">
        <is>
          <t>Device Registration (T1098.005)</t>
        </is>
      </c>
    </row>
    <row r="571">
      <c r="A571" s="78" t="inlineStr">
        <is>
          <t>privilege-escalation</t>
        </is>
      </c>
      <c r="B571" s="74" t="inlineStr">
        <is>
          <t>T1098</t>
        </is>
      </c>
      <c r="C571" s="74" t="inlineStr">
        <is>
          <t>T1098.006</t>
        </is>
      </c>
      <c r="D571" s="78" t="inlineStr">
        <is>
          <t>Additional Container Cluster Roles (T1098.006)</t>
        </is>
      </c>
    </row>
    <row r="572">
      <c r="A572" s="78" t="inlineStr">
        <is>
          <t>privilege-escalation</t>
        </is>
      </c>
      <c r="B572" s="74" t="inlineStr">
        <is>
          <t>T1098</t>
        </is>
      </c>
      <c r="C572" s="74" t="inlineStr">
        <is>
          <t>T1098.007</t>
        </is>
      </c>
      <c r="D572" s="78" t="inlineStr">
        <is>
          <t>Additional Local or Domain Groups (T1098.007)</t>
        </is>
      </c>
    </row>
    <row r="573">
      <c r="A573" s="78" t="inlineStr">
        <is>
          <t>privilege-escalation</t>
        </is>
      </c>
      <c r="B573" s="74" t="inlineStr">
        <is>
          <t>T1134</t>
        </is>
      </c>
      <c r="C573" s="74" t="inlineStr">
        <is>
          <t>T1134</t>
        </is>
      </c>
      <c r="D573" s="78" t="inlineStr">
        <is>
          <t>Access Token Manipulation (T1134)</t>
        </is>
      </c>
    </row>
    <row r="574">
      <c r="A574" s="78" t="inlineStr">
        <is>
          <t>privilege-escalation</t>
        </is>
      </c>
      <c r="B574" s="74" t="inlineStr">
        <is>
          <t>T1134</t>
        </is>
      </c>
      <c r="C574" s="74" t="inlineStr">
        <is>
          <t>T1134.001</t>
        </is>
      </c>
      <c r="D574" s="78" t="inlineStr">
        <is>
          <t>Token Impersonation/Theft (T1134.001)</t>
        </is>
      </c>
    </row>
    <row r="575">
      <c r="A575" s="78" t="inlineStr">
        <is>
          <t>privilege-escalation</t>
        </is>
      </c>
      <c r="B575" s="74" t="inlineStr">
        <is>
          <t>T1134</t>
        </is>
      </c>
      <c r="C575" s="74" t="inlineStr">
        <is>
          <t>T1134.002</t>
        </is>
      </c>
      <c r="D575" s="78" t="inlineStr">
        <is>
          <t>Create Process with Token (T1134.002)</t>
        </is>
      </c>
    </row>
    <row r="576">
      <c r="A576" s="78" t="inlineStr">
        <is>
          <t>privilege-escalation</t>
        </is>
      </c>
      <c r="B576" s="74" t="inlineStr">
        <is>
          <t>T1134</t>
        </is>
      </c>
      <c r="C576" s="74" t="inlineStr">
        <is>
          <t>T1134.003</t>
        </is>
      </c>
      <c r="D576" s="78" t="inlineStr">
        <is>
          <t>Make and Impersonate Token (T1134.003)</t>
        </is>
      </c>
    </row>
    <row r="577">
      <c r="A577" s="78" t="inlineStr">
        <is>
          <t>privilege-escalation</t>
        </is>
      </c>
      <c r="B577" s="74" t="inlineStr">
        <is>
          <t>T1134</t>
        </is>
      </c>
      <c r="C577" s="74" t="inlineStr">
        <is>
          <t>T1134.004</t>
        </is>
      </c>
      <c r="D577" s="78" t="inlineStr">
        <is>
          <t>Parent PID Spoofing (T1134.004)</t>
        </is>
      </c>
    </row>
    <row r="578">
      <c r="A578" s="78" t="inlineStr">
        <is>
          <t>privilege-escalation</t>
        </is>
      </c>
      <c r="B578" s="74" t="inlineStr">
        <is>
          <t>T1134</t>
        </is>
      </c>
      <c r="C578" s="74" t="inlineStr">
        <is>
          <t>T1134.005</t>
        </is>
      </c>
      <c r="D578" s="78" t="inlineStr">
        <is>
          <t>SID-History Injection (T1134.005)</t>
        </is>
      </c>
    </row>
    <row r="579">
      <c r="A579" s="78" t="inlineStr">
        <is>
          <t>privilege-escalation</t>
        </is>
      </c>
      <c r="B579" s="74" t="inlineStr">
        <is>
          <t>T1484</t>
        </is>
      </c>
      <c r="C579" s="74" t="inlineStr">
        <is>
          <t>T1484</t>
        </is>
      </c>
      <c r="D579" s="78" t="inlineStr">
        <is>
          <t>Domain or Tenant Policy Modification (T1484)</t>
        </is>
      </c>
    </row>
    <row r="580">
      <c r="A580" s="78" t="inlineStr">
        <is>
          <t>privilege-escalation</t>
        </is>
      </c>
      <c r="B580" s="74" t="inlineStr">
        <is>
          <t>T1484</t>
        </is>
      </c>
      <c r="C580" s="74" t="inlineStr">
        <is>
          <t>T1484.001</t>
        </is>
      </c>
      <c r="D580" s="78" t="inlineStr">
        <is>
          <t>Group Policy Modification (T1484.001)</t>
        </is>
      </c>
    </row>
    <row r="581">
      <c r="A581" s="78" t="inlineStr">
        <is>
          <t>privilege-escalation</t>
        </is>
      </c>
      <c r="B581" s="74" t="inlineStr">
        <is>
          <t>T1484</t>
        </is>
      </c>
      <c r="C581" s="74" t="inlineStr">
        <is>
          <t>T1484.002</t>
        </is>
      </c>
      <c r="D581" s="78" t="inlineStr">
        <is>
          <t>Trust Modification (T1484.002)</t>
        </is>
      </c>
    </row>
    <row r="582">
      <c r="A582" s="78" t="inlineStr">
        <is>
          <t>privilege-escalation</t>
        </is>
      </c>
      <c r="B582" s="74" t="inlineStr">
        <is>
          <t>T1543</t>
        </is>
      </c>
      <c r="C582" s="74" t="inlineStr">
        <is>
          <t>T1543</t>
        </is>
      </c>
      <c r="D582" s="78" t="inlineStr">
        <is>
          <t>Create or Modify System Process (T1543)</t>
        </is>
      </c>
    </row>
    <row r="583">
      <c r="A583" s="78" t="inlineStr">
        <is>
          <t>privilege-escalation</t>
        </is>
      </c>
      <c r="B583" s="74" t="inlineStr">
        <is>
          <t>T1543</t>
        </is>
      </c>
      <c r="C583" s="74" t="inlineStr">
        <is>
          <t>T1543.001</t>
        </is>
      </c>
      <c r="D583" s="78" t="inlineStr">
        <is>
          <t>Launch Agent (T1543.001)</t>
        </is>
      </c>
    </row>
    <row r="584">
      <c r="A584" s="78" t="inlineStr">
        <is>
          <t>privilege-escalation</t>
        </is>
      </c>
      <c r="B584" s="74" t="inlineStr">
        <is>
          <t>T1543</t>
        </is>
      </c>
      <c r="C584" s="74" t="inlineStr">
        <is>
          <t>T1543.002</t>
        </is>
      </c>
      <c r="D584" s="78" t="inlineStr">
        <is>
          <t>Systemd Service (T1543.002)</t>
        </is>
      </c>
    </row>
    <row r="585">
      <c r="A585" s="78" t="inlineStr">
        <is>
          <t>privilege-escalation</t>
        </is>
      </c>
      <c r="B585" s="74" t="inlineStr">
        <is>
          <t>T1543</t>
        </is>
      </c>
      <c r="C585" s="74" t="inlineStr">
        <is>
          <t>T1543.003</t>
        </is>
      </c>
      <c r="D585" s="78" t="inlineStr">
        <is>
          <t>Windows Service (T1543.003)</t>
        </is>
      </c>
    </row>
    <row r="586">
      <c r="A586" s="78" t="inlineStr">
        <is>
          <t>privilege-escalation</t>
        </is>
      </c>
      <c r="B586" s="74" t="inlineStr">
        <is>
          <t>T1543</t>
        </is>
      </c>
      <c r="C586" s="74" t="inlineStr">
        <is>
          <t>T1543.004</t>
        </is>
      </c>
      <c r="D586" s="78" t="inlineStr">
        <is>
          <t>Launch Daemon (T1543.004)</t>
        </is>
      </c>
    </row>
    <row r="587">
      <c r="A587" s="78" t="inlineStr">
        <is>
          <t>privilege-escalation</t>
        </is>
      </c>
      <c r="B587" s="74" t="inlineStr">
        <is>
          <t>T1543</t>
        </is>
      </c>
      <c r="C587" s="74" t="inlineStr">
        <is>
          <t>T1543.005</t>
        </is>
      </c>
      <c r="D587" s="78" t="inlineStr">
        <is>
          <t>Container Service (T1543.005)</t>
        </is>
      </c>
    </row>
    <row r="588">
      <c r="A588" s="78" t="inlineStr">
        <is>
          <t>privilege-escalation</t>
        </is>
      </c>
      <c r="B588" s="74" t="inlineStr">
        <is>
          <t>T1546</t>
        </is>
      </c>
      <c r="C588" s="74" t="inlineStr">
        <is>
          <t>T1546</t>
        </is>
      </c>
      <c r="D588" s="78" t="inlineStr">
        <is>
          <t>Event Triggered Execution (T1546)</t>
        </is>
      </c>
    </row>
    <row r="589">
      <c r="A589" s="78" t="inlineStr">
        <is>
          <t>privilege-escalation</t>
        </is>
      </c>
      <c r="B589" s="74" t="inlineStr">
        <is>
          <t>T1546</t>
        </is>
      </c>
      <c r="C589" s="74" t="inlineStr">
        <is>
          <t>T1546.001</t>
        </is>
      </c>
      <c r="D589" s="78" t="inlineStr">
        <is>
          <t>Change Default File Association (T1546.001)</t>
        </is>
      </c>
    </row>
    <row r="590">
      <c r="A590" s="78" t="inlineStr">
        <is>
          <t>privilege-escalation</t>
        </is>
      </c>
      <c r="B590" s="74" t="inlineStr">
        <is>
          <t>T1546</t>
        </is>
      </c>
      <c r="C590" s="74" t="inlineStr">
        <is>
          <t>T1546.002</t>
        </is>
      </c>
      <c r="D590" s="78" t="inlineStr">
        <is>
          <t>Screensaver (T1546.002)</t>
        </is>
      </c>
    </row>
    <row r="591">
      <c r="A591" s="78" t="inlineStr">
        <is>
          <t>privilege-escalation</t>
        </is>
      </c>
      <c r="B591" s="74" t="inlineStr">
        <is>
          <t>T1546</t>
        </is>
      </c>
      <c r="C591" s="74" t="inlineStr">
        <is>
          <t>T1546.003</t>
        </is>
      </c>
      <c r="D591" s="78" t="inlineStr">
        <is>
          <t>Windows Management Instrumentation Event Subscription (T1546.003)</t>
        </is>
      </c>
    </row>
    <row r="592">
      <c r="A592" s="78" t="inlineStr">
        <is>
          <t>privilege-escalation</t>
        </is>
      </c>
      <c r="B592" s="74" t="inlineStr">
        <is>
          <t>T1546</t>
        </is>
      </c>
      <c r="C592" s="74" t="inlineStr">
        <is>
          <t>T1546.004</t>
        </is>
      </c>
      <c r="D592" s="78" t="inlineStr">
        <is>
          <t>Unix Shell Configuration Modification (T1546.004)</t>
        </is>
      </c>
    </row>
    <row r="593">
      <c r="A593" s="78" t="inlineStr">
        <is>
          <t>privilege-escalation</t>
        </is>
      </c>
      <c r="B593" s="74" t="inlineStr">
        <is>
          <t>T1546</t>
        </is>
      </c>
      <c r="C593" s="74" t="inlineStr">
        <is>
          <t>T1546.005</t>
        </is>
      </c>
      <c r="D593" s="78" t="inlineStr">
        <is>
          <t>Trap (T1546.005)</t>
        </is>
      </c>
    </row>
    <row r="594">
      <c r="A594" s="78" t="inlineStr">
        <is>
          <t>privilege-escalation</t>
        </is>
      </c>
      <c r="B594" s="74" t="inlineStr">
        <is>
          <t>T1546</t>
        </is>
      </c>
      <c r="C594" s="74" t="inlineStr">
        <is>
          <t>T1546.006</t>
        </is>
      </c>
      <c r="D594" s="78" t="inlineStr">
        <is>
          <t>LC_LOAD_DYLIB Addition (T1546.006)</t>
        </is>
      </c>
    </row>
    <row r="595">
      <c r="A595" s="78" t="inlineStr">
        <is>
          <t>privilege-escalation</t>
        </is>
      </c>
      <c r="B595" s="74" t="inlineStr">
        <is>
          <t>T1546</t>
        </is>
      </c>
      <c r="C595" s="74" t="inlineStr">
        <is>
          <t>T1546.007</t>
        </is>
      </c>
      <c r="D595" s="78" t="inlineStr">
        <is>
          <t>Netsh Helper DLL (T1546.007)</t>
        </is>
      </c>
    </row>
    <row r="596">
      <c r="A596" s="78" t="inlineStr">
        <is>
          <t>privilege-escalation</t>
        </is>
      </c>
      <c r="B596" s="74" t="inlineStr">
        <is>
          <t>T1546</t>
        </is>
      </c>
      <c r="C596" s="74" t="inlineStr">
        <is>
          <t>T1546.008</t>
        </is>
      </c>
      <c r="D596" s="78" t="inlineStr">
        <is>
          <t>Accessibility Features (T1546.008)</t>
        </is>
      </c>
    </row>
    <row r="597">
      <c r="A597" s="78" t="inlineStr">
        <is>
          <t>privilege-escalation</t>
        </is>
      </c>
      <c r="B597" s="74" t="inlineStr">
        <is>
          <t>T1546</t>
        </is>
      </c>
      <c r="C597" s="74" t="inlineStr">
        <is>
          <t>T1546.009</t>
        </is>
      </c>
      <c r="D597" s="78" t="inlineStr">
        <is>
          <t>AppCert DLLs (T1546.009)</t>
        </is>
      </c>
    </row>
    <row r="598">
      <c r="A598" s="78" t="inlineStr">
        <is>
          <t>privilege-escalation</t>
        </is>
      </c>
      <c r="B598" s="74" t="inlineStr">
        <is>
          <t>T1546</t>
        </is>
      </c>
      <c r="C598" s="74" t="inlineStr">
        <is>
          <t>T1546.010</t>
        </is>
      </c>
      <c r="D598" s="78" t="inlineStr">
        <is>
          <t>AppInit DLLs (T1546.010)</t>
        </is>
      </c>
    </row>
    <row r="599">
      <c r="A599" s="78" t="inlineStr">
        <is>
          <t>privilege-escalation</t>
        </is>
      </c>
      <c r="B599" s="74" t="inlineStr">
        <is>
          <t>T1546</t>
        </is>
      </c>
      <c r="C599" s="74" t="inlineStr">
        <is>
          <t>T1546.011</t>
        </is>
      </c>
      <c r="D599" s="78" t="inlineStr">
        <is>
          <t>Application Shimming (T1546.011)</t>
        </is>
      </c>
    </row>
    <row r="600">
      <c r="A600" s="78" t="inlineStr">
        <is>
          <t>privilege-escalation</t>
        </is>
      </c>
      <c r="B600" s="74" t="inlineStr">
        <is>
          <t>T1546</t>
        </is>
      </c>
      <c r="C600" s="74" t="inlineStr">
        <is>
          <t>T1546.012</t>
        </is>
      </c>
      <c r="D600" s="78" t="inlineStr">
        <is>
          <t>Image File Execution Options Injection (T1546.012)</t>
        </is>
      </c>
    </row>
    <row r="601">
      <c r="A601" s="78" t="inlineStr">
        <is>
          <t>privilege-escalation</t>
        </is>
      </c>
      <c r="B601" s="74" t="inlineStr">
        <is>
          <t>T1546</t>
        </is>
      </c>
      <c r="C601" s="74" t="inlineStr">
        <is>
          <t>T1546.013</t>
        </is>
      </c>
      <c r="D601" s="78" t="inlineStr">
        <is>
          <t>PowerShell Profile (T1546.013)</t>
        </is>
      </c>
    </row>
    <row r="602">
      <c r="A602" s="78" t="inlineStr">
        <is>
          <t>privilege-escalation</t>
        </is>
      </c>
      <c r="B602" s="74" t="inlineStr">
        <is>
          <t>T1546</t>
        </is>
      </c>
      <c r="C602" s="74" t="inlineStr">
        <is>
          <t>T1546.014</t>
        </is>
      </c>
      <c r="D602" s="78" t="inlineStr">
        <is>
          <t>Emond (T1546.014)</t>
        </is>
      </c>
    </row>
    <row r="603">
      <c r="A603" s="78" t="inlineStr">
        <is>
          <t>privilege-escalation</t>
        </is>
      </c>
      <c r="B603" s="74" t="inlineStr">
        <is>
          <t>T1546</t>
        </is>
      </c>
      <c r="C603" s="74" t="inlineStr">
        <is>
          <t>T1546.015</t>
        </is>
      </c>
      <c r="D603" s="78" t="inlineStr">
        <is>
          <t>Component Object Model Hijacking (T1546.015)</t>
        </is>
      </c>
    </row>
    <row r="604">
      <c r="A604" s="78" t="inlineStr">
        <is>
          <t>privilege-escalation</t>
        </is>
      </c>
      <c r="B604" s="74" t="inlineStr">
        <is>
          <t>T1546</t>
        </is>
      </c>
      <c r="C604" s="74" t="inlineStr">
        <is>
          <t>T1546.016</t>
        </is>
      </c>
      <c r="D604" s="78" t="inlineStr">
        <is>
          <t>Installer Packages (T1546.016)</t>
        </is>
      </c>
    </row>
    <row r="605">
      <c r="A605" s="78" t="inlineStr">
        <is>
          <t>privilege-escalation</t>
        </is>
      </c>
      <c r="B605" s="74" t="inlineStr">
        <is>
          <t>T1546</t>
        </is>
      </c>
      <c r="C605" s="74" t="inlineStr">
        <is>
          <t>T1546.017</t>
        </is>
      </c>
      <c r="D605" s="78" t="inlineStr">
        <is>
          <t>Udev Rules (T1546.017)</t>
        </is>
      </c>
    </row>
    <row r="606">
      <c r="A606" s="78" t="inlineStr">
        <is>
          <t>privilege-escalation</t>
        </is>
      </c>
      <c r="B606" s="74" t="inlineStr">
        <is>
          <t>T1546</t>
        </is>
      </c>
      <c r="C606" s="74" t="inlineStr">
        <is>
          <t>T1546.018</t>
        </is>
      </c>
      <c r="D606" s="78" t="inlineStr">
        <is>
          <t>Python Startup Hooks (T1546.018)</t>
        </is>
      </c>
    </row>
    <row r="607">
      <c r="A607" s="78" t="inlineStr">
        <is>
          <t>privilege-escalation</t>
        </is>
      </c>
      <c r="B607" s="74" t="inlineStr">
        <is>
          <t>T1547</t>
        </is>
      </c>
      <c r="C607" s="74" t="inlineStr">
        <is>
          <t>T1547</t>
        </is>
      </c>
      <c r="D607" s="78" t="inlineStr">
        <is>
          <t>Boot or Logon Autostart Execution (T1547)</t>
        </is>
      </c>
    </row>
    <row r="608">
      <c r="A608" s="78" t="inlineStr">
        <is>
          <t>privilege-escalation</t>
        </is>
      </c>
      <c r="B608" s="74" t="inlineStr">
        <is>
          <t>T1547</t>
        </is>
      </c>
      <c r="C608" s="74" t="inlineStr">
        <is>
          <t>T1547.001</t>
        </is>
      </c>
      <c r="D608" s="78" t="inlineStr">
        <is>
          <t>Registry Run Keys / Startup Folder (T1547.001)</t>
        </is>
      </c>
    </row>
    <row r="609">
      <c r="A609" s="78" t="inlineStr">
        <is>
          <t>privilege-escalation</t>
        </is>
      </c>
      <c r="B609" s="74" t="inlineStr">
        <is>
          <t>T1547</t>
        </is>
      </c>
      <c r="C609" s="74" t="inlineStr">
        <is>
          <t>T1547.002</t>
        </is>
      </c>
      <c r="D609" s="78" t="inlineStr">
        <is>
          <t>Authentication Package (T1547.002)</t>
        </is>
      </c>
    </row>
    <row r="610">
      <c r="A610" s="78" t="inlineStr">
        <is>
          <t>privilege-escalation</t>
        </is>
      </c>
      <c r="B610" s="74" t="inlineStr">
        <is>
          <t>T1547</t>
        </is>
      </c>
      <c r="C610" s="74" t="inlineStr">
        <is>
          <t>T1547.003</t>
        </is>
      </c>
      <c r="D610" s="78" t="inlineStr">
        <is>
          <t>Time Providers (T1547.003)</t>
        </is>
      </c>
    </row>
    <row r="611">
      <c r="A611" s="78" t="inlineStr">
        <is>
          <t>privilege-escalation</t>
        </is>
      </c>
      <c r="B611" s="74" t="inlineStr">
        <is>
          <t>T1547</t>
        </is>
      </c>
      <c r="C611" s="74" t="inlineStr">
        <is>
          <t>T1547.004</t>
        </is>
      </c>
      <c r="D611" s="78" t="inlineStr">
        <is>
          <t>Winlogon Helper DLL (T1547.004)</t>
        </is>
      </c>
    </row>
    <row r="612">
      <c r="A612" s="78" t="inlineStr">
        <is>
          <t>privilege-escalation</t>
        </is>
      </c>
      <c r="B612" s="74" t="inlineStr">
        <is>
          <t>T1547</t>
        </is>
      </c>
      <c r="C612" s="74" t="inlineStr">
        <is>
          <t>T1547.005</t>
        </is>
      </c>
      <c r="D612" s="78" t="inlineStr">
        <is>
          <t>Security Support Provider (T1547.005)</t>
        </is>
      </c>
    </row>
    <row r="613">
      <c r="A613" s="78" t="inlineStr">
        <is>
          <t>privilege-escalation</t>
        </is>
      </c>
      <c r="B613" s="74" t="inlineStr">
        <is>
          <t>T1547</t>
        </is>
      </c>
      <c r="C613" s="74" t="inlineStr">
        <is>
          <t>T1547.006</t>
        </is>
      </c>
      <c r="D613" s="78" t="inlineStr">
        <is>
          <t>Kernel Modules and Extensions (T1547.006)</t>
        </is>
      </c>
    </row>
    <row r="614">
      <c r="A614" s="78" t="inlineStr">
        <is>
          <t>privilege-escalation</t>
        </is>
      </c>
      <c r="B614" s="74" t="inlineStr">
        <is>
          <t>T1547</t>
        </is>
      </c>
      <c r="C614" s="74" t="inlineStr">
        <is>
          <t>T1547.007</t>
        </is>
      </c>
      <c r="D614" s="78" t="inlineStr">
        <is>
          <t>Re-opened Applications (T1547.007)</t>
        </is>
      </c>
    </row>
    <row r="615">
      <c r="A615" s="78" t="inlineStr">
        <is>
          <t>privilege-escalation</t>
        </is>
      </c>
      <c r="B615" s="74" t="inlineStr">
        <is>
          <t>T1547</t>
        </is>
      </c>
      <c r="C615" s="74" t="inlineStr">
        <is>
          <t>T1547.008</t>
        </is>
      </c>
      <c r="D615" s="78" t="inlineStr">
        <is>
          <t>LSASS Driver (T1547.008)</t>
        </is>
      </c>
    </row>
    <row r="616">
      <c r="A616" s="78" t="inlineStr">
        <is>
          <t>privilege-escalation</t>
        </is>
      </c>
      <c r="B616" s="74" t="inlineStr">
        <is>
          <t>T1547</t>
        </is>
      </c>
      <c r="C616" s="74" t="inlineStr">
        <is>
          <t>T1547.009</t>
        </is>
      </c>
      <c r="D616" s="78" t="inlineStr">
        <is>
          <t>Shortcut Modification (T1547.009)</t>
        </is>
      </c>
    </row>
    <row r="617">
      <c r="A617" s="78" t="inlineStr">
        <is>
          <t>privilege-escalation</t>
        </is>
      </c>
      <c r="B617" s="74" t="inlineStr">
        <is>
          <t>T1547</t>
        </is>
      </c>
      <c r="C617" s="74" t="inlineStr">
        <is>
          <t>T1547.010</t>
        </is>
      </c>
      <c r="D617" s="78" t="inlineStr">
        <is>
          <t>Port Monitors (T1547.010)</t>
        </is>
      </c>
    </row>
    <row r="618">
      <c r="A618" s="78" t="inlineStr">
        <is>
          <t>privilege-escalation</t>
        </is>
      </c>
      <c r="B618" s="74" t="inlineStr">
        <is>
          <t>T1547</t>
        </is>
      </c>
      <c r="C618" s="74" t="inlineStr">
        <is>
          <t>T1547.012</t>
        </is>
      </c>
      <c r="D618" s="78" t="inlineStr">
        <is>
          <t>Print Processors (T1547.012)</t>
        </is>
      </c>
    </row>
    <row r="619">
      <c r="A619" s="78" t="inlineStr">
        <is>
          <t>privilege-escalation</t>
        </is>
      </c>
      <c r="B619" s="74" t="inlineStr">
        <is>
          <t>T1547</t>
        </is>
      </c>
      <c r="C619" s="74" t="inlineStr">
        <is>
          <t>T1547.013</t>
        </is>
      </c>
      <c r="D619" s="78" t="inlineStr">
        <is>
          <t>XDG Autostart Entries (T1547.013)</t>
        </is>
      </c>
    </row>
    <row r="620">
      <c r="A620" s="78" t="inlineStr">
        <is>
          <t>privilege-escalation</t>
        </is>
      </c>
      <c r="B620" s="74" t="inlineStr">
        <is>
          <t>T1547</t>
        </is>
      </c>
      <c r="C620" s="74" t="inlineStr">
        <is>
          <t>T1547.014</t>
        </is>
      </c>
      <c r="D620" s="78" t="inlineStr">
        <is>
          <t>Active Setup (T1547.014)</t>
        </is>
      </c>
    </row>
    <row r="621">
      <c r="A621" s="78" t="inlineStr">
        <is>
          <t>privilege-escalation</t>
        </is>
      </c>
      <c r="B621" s="74" t="inlineStr">
        <is>
          <t>T1547</t>
        </is>
      </c>
      <c r="C621" s="74" t="inlineStr">
        <is>
          <t>T1547.015</t>
        </is>
      </c>
      <c r="D621" s="78" t="inlineStr">
        <is>
          <t>Login Items (T1547.015)</t>
        </is>
      </c>
    </row>
    <row r="622">
      <c r="A622" s="78" t="inlineStr">
        <is>
          <t>privilege-escalation</t>
        </is>
      </c>
      <c r="B622" s="74" t="inlineStr">
        <is>
          <t>T1548</t>
        </is>
      </c>
      <c r="C622" s="74" t="inlineStr">
        <is>
          <t>T1548</t>
        </is>
      </c>
      <c r="D622" s="78" t="inlineStr">
        <is>
          <t>Abuse Elevation Control Mechanism (T1548)</t>
        </is>
      </c>
    </row>
    <row r="623">
      <c r="A623" s="78" t="inlineStr">
        <is>
          <t>privilege-escalation</t>
        </is>
      </c>
      <c r="B623" s="74" t="inlineStr">
        <is>
          <t>T1548</t>
        </is>
      </c>
      <c r="C623" s="74" t="inlineStr">
        <is>
          <t>T1548.001</t>
        </is>
      </c>
      <c r="D623" s="78" t="inlineStr">
        <is>
          <t>Setuid and Setgid (T1548.001)</t>
        </is>
      </c>
    </row>
    <row r="624">
      <c r="A624" s="78" t="inlineStr">
        <is>
          <t>privilege-escalation</t>
        </is>
      </c>
      <c r="B624" s="74" t="inlineStr">
        <is>
          <t>T1548</t>
        </is>
      </c>
      <c r="C624" s="74" t="inlineStr">
        <is>
          <t>T1548.002</t>
        </is>
      </c>
      <c r="D624" s="78" t="inlineStr">
        <is>
          <t>Bypass User Account Control (T1548.002)</t>
        </is>
      </c>
    </row>
    <row r="625">
      <c r="A625" s="78" t="inlineStr">
        <is>
          <t>privilege-escalation</t>
        </is>
      </c>
      <c r="B625" s="74" t="inlineStr">
        <is>
          <t>T1548</t>
        </is>
      </c>
      <c r="C625" s="74" t="inlineStr">
        <is>
          <t>T1548.003</t>
        </is>
      </c>
      <c r="D625" s="78" t="inlineStr">
        <is>
          <t>Sudo and Sudo Caching (T1548.003)</t>
        </is>
      </c>
    </row>
    <row r="626">
      <c r="A626" s="78" t="inlineStr">
        <is>
          <t>privilege-escalation</t>
        </is>
      </c>
      <c r="B626" s="74" t="inlineStr">
        <is>
          <t>T1548</t>
        </is>
      </c>
      <c r="C626" s="74" t="inlineStr">
        <is>
          <t>T1548.004</t>
        </is>
      </c>
      <c r="D626" s="78" t="inlineStr">
        <is>
          <t>Elevated Execution with Prompt (T1548.004)</t>
        </is>
      </c>
    </row>
    <row r="627">
      <c r="A627" s="78" t="inlineStr">
        <is>
          <t>privilege-escalation</t>
        </is>
      </c>
      <c r="B627" s="74" t="inlineStr">
        <is>
          <t>T1548</t>
        </is>
      </c>
      <c r="C627" s="74" t="inlineStr">
        <is>
          <t>T1548.005</t>
        </is>
      </c>
      <c r="D627" s="78" t="inlineStr">
        <is>
          <t>Temporary Elevated Cloud Access (T1548.005)</t>
        </is>
      </c>
    </row>
    <row r="628">
      <c r="A628" s="78" t="inlineStr">
        <is>
          <t>privilege-escalation</t>
        </is>
      </c>
      <c r="B628" s="74" t="inlineStr">
        <is>
          <t>T1548</t>
        </is>
      </c>
      <c r="C628" s="74" t="inlineStr">
        <is>
          <t>T1548.006</t>
        </is>
      </c>
      <c r="D628" s="78" t="inlineStr">
        <is>
          <t>TCC Manipulation (T1548.006)</t>
        </is>
      </c>
    </row>
    <row r="629">
      <c r="A629" s="78" t="inlineStr">
        <is>
          <t>privilege-escalation</t>
        </is>
      </c>
      <c r="B629" s="74" t="inlineStr">
        <is>
          <t>T1611</t>
        </is>
      </c>
      <c r="C629" s="74" t="inlineStr">
        <is>
          <t>T1611</t>
        </is>
      </c>
      <c r="D629" s="78" t="inlineStr">
        <is>
          <t>Escape to Host (T1611)</t>
        </is>
      </c>
    </row>
    <row r="630">
      <c r="A630" s="78" t="inlineStr">
        <is>
          <t>reconnaissance</t>
        </is>
      </c>
      <c r="B630" s="74" t="inlineStr">
        <is>
          <t>T1589</t>
        </is>
      </c>
      <c r="C630" s="74" t="inlineStr">
        <is>
          <t>T1589</t>
        </is>
      </c>
      <c r="D630" s="78" t="inlineStr">
        <is>
          <t>Gather Victim Identity Information (T1589)</t>
        </is>
      </c>
    </row>
    <row r="631">
      <c r="A631" s="78" t="inlineStr">
        <is>
          <t>reconnaissance</t>
        </is>
      </c>
      <c r="B631" s="74" t="inlineStr">
        <is>
          <t>T1589</t>
        </is>
      </c>
      <c r="C631" s="74" t="inlineStr">
        <is>
          <t>T1589.001</t>
        </is>
      </c>
      <c r="D631" s="78" t="inlineStr">
        <is>
          <t>Credentials (T1589.001)</t>
        </is>
      </c>
    </row>
    <row r="632">
      <c r="A632" s="78" t="inlineStr">
        <is>
          <t>reconnaissance</t>
        </is>
      </c>
      <c r="B632" s="74" t="inlineStr">
        <is>
          <t>T1589</t>
        </is>
      </c>
      <c r="C632" s="74" t="inlineStr">
        <is>
          <t>T1589.002</t>
        </is>
      </c>
      <c r="D632" s="78" t="inlineStr">
        <is>
          <t>Email Addresses (T1589.002)</t>
        </is>
      </c>
    </row>
    <row r="633">
      <c r="A633" s="78" t="inlineStr">
        <is>
          <t>reconnaissance</t>
        </is>
      </c>
      <c r="B633" s="74" t="inlineStr">
        <is>
          <t>T1589</t>
        </is>
      </c>
      <c r="C633" s="74" t="inlineStr">
        <is>
          <t>T1589.003</t>
        </is>
      </c>
      <c r="D633" s="78" t="inlineStr">
        <is>
          <t>Employee Names (T1589.003)</t>
        </is>
      </c>
    </row>
    <row r="634">
      <c r="A634" s="78" t="inlineStr">
        <is>
          <t>reconnaissance</t>
        </is>
      </c>
      <c r="B634" s="74" t="inlineStr">
        <is>
          <t>T1590</t>
        </is>
      </c>
      <c r="C634" s="74" t="inlineStr">
        <is>
          <t>T1590</t>
        </is>
      </c>
      <c r="D634" s="78" t="inlineStr">
        <is>
          <t>Gather Victim Network Information (T1590)</t>
        </is>
      </c>
    </row>
    <row r="635">
      <c r="A635" s="78" t="inlineStr">
        <is>
          <t>reconnaissance</t>
        </is>
      </c>
      <c r="B635" s="74" t="inlineStr">
        <is>
          <t>T1590</t>
        </is>
      </c>
      <c r="C635" s="74" t="inlineStr">
        <is>
          <t>T1590.001</t>
        </is>
      </c>
      <c r="D635" s="78" t="inlineStr">
        <is>
          <t>Domain Properties (T1590.001)</t>
        </is>
      </c>
    </row>
    <row r="636">
      <c r="A636" s="78" t="inlineStr">
        <is>
          <t>reconnaissance</t>
        </is>
      </c>
      <c r="B636" s="74" t="inlineStr">
        <is>
          <t>T1590</t>
        </is>
      </c>
      <c r="C636" s="74" t="inlineStr">
        <is>
          <t>T1590.002</t>
        </is>
      </c>
      <c r="D636" s="78" t="inlineStr">
        <is>
          <t>DNS (T1590.002)</t>
        </is>
      </c>
    </row>
    <row r="637">
      <c r="A637" s="78" t="inlineStr">
        <is>
          <t>reconnaissance</t>
        </is>
      </c>
      <c r="B637" s="74" t="inlineStr">
        <is>
          <t>T1590</t>
        </is>
      </c>
      <c r="C637" s="74" t="inlineStr">
        <is>
          <t>T1590.003</t>
        </is>
      </c>
      <c r="D637" s="78" t="inlineStr">
        <is>
          <t>Network Trust Dependencies (T1590.003)</t>
        </is>
      </c>
    </row>
    <row r="638">
      <c r="A638" s="78" t="inlineStr">
        <is>
          <t>reconnaissance</t>
        </is>
      </c>
      <c r="B638" s="74" t="inlineStr">
        <is>
          <t>T1590</t>
        </is>
      </c>
      <c r="C638" s="74" t="inlineStr">
        <is>
          <t>T1590.004</t>
        </is>
      </c>
      <c r="D638" s="78" t="inlineStr">
        <is>
          <t>Network Topology (T1590.004)</t>
        </is>
      </c>
    </row>
    <row r="639">
      <c r="A639" s="78" t="inlineStr">
        <is>
          <t>reconnaissance</t>
        </is>
      </c>
      <c r="B639" s="74" t="inlineStr">
        <is>
          <t>T1590</t>
        </is>
      </c>
      <c r="C639" s="74" t="inlineStr">
        <is>
          <t>T1590.005</t>
        </is>
      </c>
      <c r="D639" s="78" t="inlineStr">
        <is>
          <t>IP Addresses (T1590.005)</t>
        </is>
      </c>
    </row>
    <row r="640">
      <c r="A640" s="78" t="inlineStr">
        <is>
          <t>reconnaissance</t>
        </is>
      </c>
      <c r="B640" s="74" t="inlineStr">
        <is>
          <t>T1590</t>
        </is>
      </c>
      <c r="C640" s="74" t="inlineStr">
        <is>
          <t>T1590.006</t>
        </is>
      </c>
      <c r="D640" s="78" t="inlineStr">
        <is>
          <t>Network Security Appliances (T1590.006)</t>
        </is>
      </c>
    </row>
    <row r="641">
      <c r="A641" s="78" t="inlineStr">
        <is>
          <t>reconnaissance</t>
        </is>
      </c>
      <c r="B641" s="74" t="inlineStr">
        <is>
          <t>T1591</t>
        </is>
      </c>
      <c r="C641" s="74" t="inlineStr">
        <is>
          <t>T1591</t>
        </is>
      </c>
      <c r="D641" s="78" t="inlineStr">
        <is>
          <t>Gather Victim Org Information (T1591)</t>
        </is>
      </c>
    </row>
    <row r="642">
      <c r="A642" s="78" t="inlineStr">
        <is>
          <t>reconnaissance</t>
        </is>
      </c>
      <c r="B642" s="74" t="inlineStr">
        <is>
          <t>T1591</t>
        </is>
      </c>
      <c r="C642" s="74" t="inlineStr">
        <is>
          <t>T1591.001</t>
        </is>
      </c>
      <c r="D642" s="78" t="inlineStr">
        <is>
          <t>Determine Physical Locations (T1591.001)</t>
        </is>
      </c>
    </row>
    <row r="643">
      <c r="A643" s="78" t="inlineStr">
        <is>
          <t>reconnaissance</t>
        </is>
      </c>
      <c r="B643" s="74" t="inlineStr">
        <is>
          <t>T1591</t>
        </is>
      </c>
      <c r="C643" s="74" t="inlineStr">
        <is>
          <t>T1591.002</t>
        </is>
      </c>
      <c r="D643" s="78" t="inlineStr">
        <is>
          <t>Business Relationships (T1591.002)</t>
        </is>
      </c>
    </row>
    <row r="644">
      <c r="A644" s="78" t="inlineStr">
        <is>
          <t>reconnaissance</t>
        </is>
      </c>
      <c r="B644" s="74" t="inlineStr">
        <is>
          <t>T1591</t>
        </is>
      </c>
      <c r="C644" s="74" t="inlineStr">
        <is>
          <t>T1591.003</t>
        </is>
      </c>
      <c r="D644" s="78" t="inlineStr">
        <is>
          <t>Identify Business Tempo (T1591.003)</t>
        </is>
      </c>
    </row>
    <row r="645">
      <c r="A645" s="78" t="inlineStr">
        <is>
          <t>reconnaissance</t>
        </is>
      </c>
      <c r="B645" s="74" t="inlineStr">
        <is>
          <t>T1591</t>
        </is>
      </c>
      <c r="C645" s="74" t="inlineStr">
        <is>
          <t>T1591.004</t>
        </is>
      </c>
      <c r="D645" s="78" t="inlineStr">
        <is>
          <t>Identify Roles (T1591.004)</t>
        </is>
      </c>
    </row>
    <row r="646">
      <c r="A646" s="78" t="inlineStr">
        <is>
          <t>reconnaissance</t>
        </is>
      </c>
      <c r="B646" s="74" t="inlineStr">
        <is>
          <t>T1592</t>
        </is>
      </c>
      <c r="C646" s="74" t="inlineStr">
        <is>
          <t>T1592</t>
        </is>
      </c>
      <c r="D646" s="78" t="inlineStr">
        <is>
          <t>Gather Victim Host Information (T1592)</t>
        </is>
      </c>
    </row>
    <row r="647">
      <c r="A647" s="78" t="inlineStr">
        <is>
          <t>reconnaissance</t>
        </is>
      </c>
      <c r="B647" s="74" t="inlineStr">
        <is>
          <t>T1592</t>
        </is>
      </c>
      <c r="C647" s="74" t="inlineStr">
        <is>
          <t>T1592.001</t>
        </is>
      </c>
      <c r="D647" s="78" t="inlineStr">
        <is>
          <t>Hardware (T1592.001)</t>
        </is>
      </c>
    </row>
    <row r="648">
      <c r="A648" s="78" t="inlineStr">
        <is>
          <t>reconnaissance</t>
        </is>
      </c>
      <c r="B648" s="74" t="inlineStr">
        <is>
          <t>T1592</t>
        </is>
      </c>
      <c r="C648" s="74" t="inlineStr">
        <is>
          <t>T1592.002</t>
        </is>
      </c>
      <c r="D648" s="78" t="inlineStr">
        <is>
          <t>Software (T1592.002)</t>
        </is>
      </c>
    </row>
    <row r="649">
      <c r="A649" s="78" t="inlineStr">
        <is>
          <t>reconnaissance</t>
        </is>
      </c>
      <c r="B649" s="74" t="inlineStr">
        <is>
          <t>T1592</t>
        </is>
      </c>
      <c r="C649" s="74" t="inlineStr">
        <is>
          <t>T1592.003</t>
        </is>
      </c>
      <c r="D649" s="78" t="inlineStr">
        <is>
          <t>Firmware (T1592.003)</t>
        </is>
      </c>
    </row>
    <row r="650">
      <c r="A650" s="78" t="inlineStr">
        <is>
          <t>reconnaissance</t>
        </is>
      </c>
      <c r="B650" s="74" t="inlineStr">
        <is>
          <t>T1592</t>
        </is>
      </c>
      <c r="C650" s="74" t="inlineStr">
        <is>
          <t>T1592.004</t>
        </is>
      </c>
      <c r="D650" s="78" t="inlineStr">
        <is>
          <t>Client Configurations (T1592.004)</t>
        </is>
      </c>
    </row>
    <row r="651">
      <c r="A651" s="78" t="inlineStr">
        <is>
          <t>reconnaissance</t>
        </is>
      </c>
      <c r="B651" s="74" t="inlineStr">
        <is>
          <t>T1593</t>
        </is>
      </c>
      <c r="C651" s="74" t="inlineStr">
        <is>
          <t>T1593</t>
        </is>
      </c>
      <c r="D651" s="78" t="inlineStr">
        <is>
          <t>Search Open Websites/Domains (T1593)</t>
        </is>
      </c>
    </row>
    <row r="652">
      <c r="A652" s="78" t="inlineStr">
        <is>
          <t>reconnaissance</t>
        </is>
      </c>
      <c r="B652" s="74" t="inlineStr">
        <is>
          <t>T1593</t>
        </is>
      </c>
      <c r="C652" s="74" t="inlineStr">
        <is>
          <t>T1593.001</t>
        </is>
      </c>
      <c r="D652" s="78" t="inlineStr">
        <is>
          <t>Social Media (T1593.001)</t>
        </is>
      </c>
    </row>
    <row r="653">
      <c r="A653" s="78" t="inlineStr">
        <is>
          <t>reconnaissance</t>
        </is>
      </c>
      <c r="B653" s="74" t="inlineStr">
        <is>
          <t>T1593</t>
        </is>
      </c>
      <c r="C653" s="74" t="inlineStr">
        <is>
          <t>T1593.002</t>
        </is>
      </c>
      <c r="D653" s="78" t="inlineStr">
        <is>
          <t>Search Engines (T1593.002)</t>
        </is>
      </c>
    </row>
    <row r="654">
      <c r="A654" s="78" t="inlineStr">
        <is>
          <t>reconnaissance</t>
        </is>
      </c>
      <c r="B654" s="74" t="inlineStr">
        <is>
          <t>T1593</t>
        </is>
      </c>
      <c r="C654" s="74" t="inlineStr">
        <is>
          <t>T1593.003</t>
        </is>
      </c>
      <c r="D654" s="78" t="inlineStr">
        <is>
          <t>Code Repositories (T1593.003)</t>
        </is>
      </c>
    </row>
    <row r="655">
      <c r="A655" s="78" t="inlineStr">
        <is>
          <t>reconnaissance</t>
        </is>
      </c>
      <c r="B655" s="74" t="inlineStr">
        <is>
          <t>T1594</t>
        </is>
      </c>
      <c r="C655" s="74" t="inlineStr">
        <is>
          <t>T1594</t>
        </is>
      </c>
      <c r="D655" s="78" t="inlineStr">
        <is>
          <t>Search Victim-Owned Websites (T1594)</t>
        </is>
      </c>
    </row>
    <row r="656">
      <c r="A656" s="78" t="inlineStr">
        <is>
          <t>reconnaissance</t>
        </is>
      </c>
      <c r="B656" s="74" t="inlineStr">
        <is>
          <t>T1595</t>
        </is>
      </c>
      <c r="C656" s="74" t="inlineStr">
        <is>
          <t>T1595</t>
        </is>
      </c>
      <c r="D656" s="78" t="inlineStr">
        <is>
          <t>Active Scanning (T1595)</t>
        </is>
      </c>
    </row>
    <row r="657">
      <c r="A657" s="78" t="inlineStr">
        <is>
          <t>reconnaissance</t>
        </is>
      </c>
      <c r="B657" s="74" t="inlineStr">
        <is>
          <t>T1595</t>
        </is>
      </c>
      <c r="C657" s="74" t="inlineStr">
        <is>
          <t>T1595.001</t>
        </is>
      </c>
      <c r="D657" s="78" t="inlineStr">
        <is>
          <t>Scanning IP Blocks (T1595.001)</t>
        </is>
      </c>
    </row>
    <row r="658">
      <c r="A658" s="78" t="inlineStr">
        <is>
          <t>reconnaissance</t>
        </is>
      </c>
      <c r="B658" s="74" t="inlineStr">
        <is>
          <t>T1595</t>
        </is>
      </c>
      <c r="C658" s="74" t="inlineStr">
        <is>
          <t>T1595.002</t>
        </is>
      </c>
      <c r="D658" s="78" t="inlineStr">
        <is>
          <t>Vulnerability Scanning (T1595.002)</t>
        </is>
      </c>
    </row>
    <row r="659">
      <c r="A659" s="78" t="inlineStr">
        <is>
          <t>reconnaissance</t>
        </is>
      </c>
      <c r="B659" s="74" t="inlineStr">
        <is>
          <t>T1595</t>
        </is>
      </c>
      <c r="C659" s="74" t="inlineStr">
        <is>
          <t>T1595.003</t>
        </is>
      </c>
      <c r="D659" s="78" t="inlineStr">
        <is>
          <t>Wordlist Scanning (T1595.003)</t>
        </is>
      </c>
    </row>
    <row r="660">
      <c r="A660" s="78" t="inlineStr">
        <is>
          <t>reconnaissance</t>
        </is>
      </c>
      <c r="B660" s="74" t="inlineStr">
        <is>
          <t>T1596</t>
        </is>
      </c>
      <c r="C660" s="74" t="inlineStr">
        <is>
          <t>T1596</t>
        </is>
      </c>
      <c r="D660" s="78" t="inlineStr">
        <is>
          <t>Search Open Technical Databases (T1596)</t>
        </is>
      </c>
    </row>
    <row r="661">
      <c r="A661" s="78" t="inlineStr">
        <is>
          <t>reconnaissance</t>
        </is>
      </c>
      <c r="B661" s="74" t="inlineStr">
        <is>
          <t>T1596</t>
        </is>
      </c>
      <c r="C661" s="74" t="inlineStr">
        <is>
          <t>T1596.001</t>
        </is>
      </c>
      <c r="D661" s="78" t="inlineStr">
        <is>
          <t>DNS/Passive DNS (T1596.001)</t>
        </is>
      </c>
    </row>
    <row r="662">
      <c r="A662" s="78" t="inlineStr">
        <is>
          <t>reconnaissance</t>
        </is>
      </c>
      <c r="B662" s="74" t="inlineStr">
        <is>
          <t>T1596</t>
        </is>
      </c>
      <c r="C662" s="74" t="inlineStr">
        <is>
          <t>T1596.002</t>
        </is>
      </c>
      <c r="D662" s="78" t="inlineStr">
        <is>
          <t>WHOIS (T1596.002)</t>
        </is>
      </c>
    </row>
    <row r="663">
      <c r="A663" s="78" t="inlineStr">
        <is>
          <t>reconnaissance</t>
        </is>
      </c>
      <c r="B663" s="74" t="inlineStr">
        <is>
          <t>T1596</t>
        </is>
      </c>
      <c r="C663" s="74" t="inlineStr">
        <is>
          <t>T1596.003</t>
        </is>
      </c>
      <c r="D663" s="78" t="inlineStr">
        <is>
          <t>Digital Certificates (T1596.003)</t>
        </is>
      </c>
    </row>
    <row r="664">
      <c r="A664" s="78" t="inlineStr">
        <is>
          <t>reconnaissance</t>
        </is>
      </c>
      <c r="B664" s="74" t="inlineStr">
        <is>
          <t>T1596</t>
        </is>
      </c>
      <c r="C664" s="74" t="inlineStr">
        <is>
          <t>T1596.004</t>
        </is>
      </c>
      <c r="D664" s="78" t="inlineStr">
        <is>
          <t>CDNs (T1596.004)</t>
        </is>
      </c>
    </row>
    <row r="665">
      <c r="A665" s="78" t="inlineStr">
        <is>
          <t>reconnaissance</t>
        </is>
      </c>
      <c r="B665" s="74" t="inlineStr">
        <is>
          <t>T1596</t>
        </is>
      </c>
      <c r="C665" s="74" t="inlineStr">
        <is>
          <t>T1596.005</t>
        </is>
      </c>
      <c r="D665" s="78" t="inlineStr">
        <is>
          <t>Scan Databases (T1596.005)</t>
        </is>
      </c>
    </row>
    <row r="666">
      <c r="A666" s="78" t="inlineStr">
        <is>
          <t>reconnaissance</t>
        </is>
      </c>
      <c r="B666" s="74" t="inlineStr">
        <is>
          <t>T1597</t>
        </is>
      </c>
      <c r="C666" s="74" t="inlineStr">
        <is>
          <t>T1597</t>
        </is>
      </c>
      <c r="D666" s="78" t="inlineStr">
        <is>
          <t>Search Closed Sources (T1597)</t>
        </is>
      </c>
    </row>
    <row r="667">
      <c r="A667" s="78" t="inlineStr">
        <is>
          <t>reconnaissance</t>
        </is>
      </c>
      <c r="B667" s="74" t="inlineStr">
        <is>
          <t>T1597</t>
        </is>
      </c>
      <c r="C667" s="74" t="inlineStr">
        <is>
          <t>T1597.001</t>
        </is>
      </c>
      <c r="D667" s="78" t="inlineStr">
        <is>
          <t>Threat Intel Vendors (T1597.001)</t>
        </is>
      </c>
    </row>
    <row r="668">
      <c r="A668" s="78" t="inlineStr">
        <is>
          <t>reconnaissance</t>
        </is>
      </c>
      <c r="B668" s="74" t="inlineStr">
        <is>
          <t>T1597</t>
        </is>
      </c>
      <c r="C668" s="74" t="inlineStr">
        <is>
          <t>T1597.002</t>
        </is>
      </c>
      <c r="D668" s="78" t="inlineStr">
        <is>
          <t>Purchase Technical Data (T1597.002)</t>
        </is>
      </c>
    </row>
    <row r="669">
      <c r="A669" s="78" t="inlineStr">
        <is>
          <t>reconnaissance</t>
        </is>
      </c>
      <c r="B669" s="74" t="inlineStr">
        <is>
          <t>T1598</t>
        </is>
      </c>
      <c r="C669" s="74" t="inlineStr">
        <is>
          <t>T1598</t>
        </is>
      </c>
      <c r="D669" s="78" t="inlineStr">
        <is>
          <t>Phishing for Information (T1598)</t>
        </is>
      </c>
    </row>
    <row r="670">
      <c r="A670" s="78" t="inlineStr">
        <is>
          <t>reconnaissance</t>
        </is>
      </c>
      <c r="B670" s="74" t="inlineStr">
        <is>
          <t>T1598</t>
        </is>
      </c>
      <c r="C670" s="74" t="inlineStr">
        <is>
          <t>T1598.001</t>
        </is>
      </c>
      <c r="D670" s="78" t="inlineStr">
        <is>
          <t>Spearphishing Service (T1598.001)</t>
        </is>
      </c>
    </row>
    <row r="671">
      <c r="A671" s="78" t="inlineStr">
        <is>
          <t>reconnaissance</t>
        </is>
      </c>
      <c r="B671" s="74" t="inlineStr">
        <is>
          <t>T1598</t>
        </is>
      </c>
      <c r="C671" s="74" t="inlineStr">
        <is>
          <t>T1598.002</t>
        </is>
      </c>
      <c r="D671" s="78" t="inlineStr">
        <is>
          <t>Spearphishing Attachment (T1598.002)</t>
        </is>
      </c>
    </row>
    <row r="672">
      <c r="A672" s="78" t="inlineStr">
        <is>
          <t>reconnaissance</t>
        </is>
      </c>
      <c r="B672" s="74" t="inlineStr">
        <is>
          <t>T1598</t>
        </is>
      </c>
      <c r="C672" s="74" t="inlineStr">
        <is>
          <t>T1598.003</t>
        </is>
      </c>
      <c r="D672" s="78" t="inlineStr">
        <is>
          <t>Spearphishing Link (T1598.003)</t>
        </is>
      </c>
    </row>
    <row r="673">
      <c r="A673" s="78" t="inlineStr">
        <is>
          <t>reconnaissance</t>
        </is>
      </c>
      <c r="B673" s="74" t="inlineStr">
        <is>
          <t>T1598</t>
        </is>
      </c>
      <c r="C673" s="74" t="inlineStr">
        <is>
          <t>T1598.004</t>
        </is>
      </c>
      <c r="D673" s="78" t="inlineStr">
        <is>
          <t>Spearphishing Voice (T1598.004)</t>
        </is>
      </c>
    </row>
    <row r="674">
      <c r="A674" s="78" t="inlineStr">
        <is>
          <t>reconnaissance</t>
        </is>
      </c>
      <c r="B674" s="74" t="inlineStr">
        <is>
          <t>T1681</t>
        </is>
      </c>
      <c r="C674" s="74" t="inlineStr">
        <is>
          <t>T1681</t>
        </is>
      </c>
      <c r="D674" s="78" t="inlineStr">
        <is>
          <t>Search Threat Vendor Data (T1681)</t>
        </is>
      </c>
    </row>
    <row r="675">
      <c r="A675" s="78" t="inlineStr">
        <is>
          <t>reconnaissance</t>
        </is>
      </c>
      <c r="B675" s="74" t="inlineStr">
        <is>
          <t>T1682</t>
        </is>
      </c>
      <c r="C675" s="74" t="inlineStr">
        <is>
          <t>T1682</t>
        </is>
      </c>
      <c r="D675" s="78" t="inlineStr">
        <is>
          <t>Query Public AI Services (T1682)</t>
        </is>
      </c>
    </row>
    <row r="676">
      <c r="A676" s="78" t="inlineStr">
        <is>
          <t>resource-development</t>
        </is>
      </c>
      <c r="B676" s="74" t="inlineStr">
        <is>
          <t>T1583</t>
        </is>
      </c>
      <c r="C676" s="74" t="inlineStr">
        <is>
          <t>T1583</t>
        </is>
      </c>
      <c r="D676" s="78" t="inlineStr">
        <is>
          <t>Acquire Infrastructure (T1583)</t>
        </is>
      </c>
    </row>
    <row r="677">
      <c r="A677" s="78" t="inlineStr">
        <is>
          <t>resource-development</t>
        </is>
      </c>
      <c r="B677" s="74" t="inlineStr">
        <is>
          <t>T1583</t>
        </is>
      </c>
      <c r="C677" s="74" t="inlineStr">
        <is>
          <t>T1583.001</t>
        </is>
      </c>
      <c r="D677" s="78" t="inlineStr">
        <is>
          <t>Domains (T1583.001)</t>
        </is>
      </c>
    </row>
    <row r="678">
      <c r="A678" s="78" t="inlineStr">
        <is>
          <t>resource-development</t>
        </is>
      </c>
      <c r="B678" s="74" t="inlineStr">
        <is>
          <t>T1583</t>
        </is>
      </c>
      <c r="C678" s="74" t="inlineStr">
        <is>
          <t>T1583.002</t>
        </is>
      </c>
      <c r="D678" s="78" t="inlineStr">
        <is>
          <t>DNS Server (T1583.002)</t>
        </is>
      </c>
    </row>
    <row r="679">
      <c r="A679" s="78" t="inlineStr">
        <is>
          <t>resource-development</t>
        </is>
      </c>
      <c r="B679" s="74" t="inlineStr">
        <is>
          <t>T1583</t>
        </is>
      </c>
      <c r="C679" s="74" t="inlineStr">
        <is>
          <t>T1583.003</t>
        </is>
      </c>
      <c r="D679" s="78" t="inlineStr">
        <is>
          <t>Virtual Private Server (T1583.003)</t>
        </is>
      </c>
    </row>
    <row r="680">
      <c r="A680" s="78" t="inlineStr">
        <is>
          <t>resource-development</t>
        </is>
      </c>
      <c r="B680" s="74" t="inlineStr">
        <is>
          <t>T1583</t>
        </is>
      </c>
      <c r="C680" s="74" t="inlineStr">
        <is>
          <t>T1583.004</t>
        </is>
      </c>
      <c r="D680" s="78" t="inlineStr">
        <is>
          <t>Server (T1583.004)</t>
        </is>
      </c>
    </row>
    <row r="681">
      <c r="A681" s="78" t="inlineStr">
        <is>
          <t>resource-development</t>
        </is>
      </c>
      <c r="B681" s="74" t="inlineStr">
        <is>
          <t>T1583</t>
        </is>
      </c>
      <c r="C681" s="74" t="inlineStr">
        <is>
          <t>T1583.005</t>
        </is>
      </c>
      <c r="D681" s="78" t="inlineStr">
        <is>
          <t>Botnet (T1583.005)</t>
        </is>
      </c>
    </row>
    <row r="682">
      <c r="A682" s="78" t="inlineStr">
        <is>
          <t>resource-development</t>
        </is>
      </c>
      <c r="B682" s="74" t="inlineStr">
        <is>
          <t>T1583</t>
        </is>
      </c>
      <c r="C682" s="74" t="inlineStr">
        <is>
          <t>T1583.006</t>
        </is>
      </c>
      <c r="D682" s="78" t="inlineStr">
        <is>
          <t>Web Services (T1583.006)</t>
        </is>
      </c>
    </row>
    <row r="683">
      <c r="A683" s="78" t="inlineStr">
        <is>
          <t>resource-development</t>
        </is>
      </c>
      <c r="B683" s="74" t="inlineStr">
        <is>
          <t>T1583</t>
        </is>
      </c>
      <c r="C683" s="74" t="inlineStr">
        <is>
          <t>T1583.007</t>
        </is>
      </c>
      <c r="D683" s="78" t="inlineStr">
        <is>
          <t>Serverless (T1583.007)</t>
        </is>
      </c>
    </row>
    <row r="684">
      <c r="A684" s="78" t="inlineStr">
        <is>
          <t>resource-development</t>
        </is>
      </c>
      <c r="B684" s="74" t="inlineStr">
        <is>
          <t>T1583</t>
        </is>
      </c>
      <c r="C684" s="74" t="inlineStr">
        <is>
          <t>T1583.008</t>
        </is>
      </c>
      <c r="D684" s="78" t="inlineStr">
        <is>
          <t>Malvertising (T1583.008)</t>
        </is>
      </c>
    </row>
    <row r="685">
      <c r="A685" s="78" t="inlineStr">
        <is>
          <t>resource-development</t>
        </is>
      </c>
      <c r="B685" s="74" t="inlineStr">
        <is>
          <t>T1584</t>
        </is>
      </c>
      <c r="C685" s="74" t="inlineStr">
        <is>
          <t>T1584</t>
        </is>
      </c>
      <c r="D685" s="78" t="inlineStr">
        <is>
          <t>Compromise Infrastructure (T1584)</t>
        </is>
      </c>
    </row>
    <row r="686">
      <c r="A686" s="78" t="inlineStr">
        <is>
          <t>resource-development</t>
        </is>
      </c>
      <c r="B686" s="74" t="inlineStr">
        <is>
          <t>T1584</t>
        </is>
      </c>
      <c r="C686" s="74" t="inlineStr">
        <is>
          <t>T1584.001</t>
        </is>
      </c>
      <c r="D686" s="78" t="inlineStr">
        <is>
          <t>Domains (T1584.001)</t>
        </is>
      </c>
    </row>
    <row r="687">
      <c r="A687" s="78" t="inlineStr">
        <is>
          <t>resource-development</t>
        </is>
      </c>
      <c r="B687" s="74" t="inlineStr">
        <is>
          <t>T1584</t>
        </is>
      </c>
      <c r="C687" s="74" t="inlineStr">
        <is>
          <t>T1584.002</t>
        </is>
      </c>
      <c r="D687" s="78" t="inlineStr">
        <is>
          <t>DNS Server (T1584.002)</t>
        </is>
      </c>
    </row>
    <row r="688">
      <c r="A688" s="78" t="inlineStr">
        <is>
          <t>resource-development</t>
        </is>
      </c>
      <c r="B688" s="74" t="inlineStr">
        <is>
          <t>T1584</t>
        </is>
      </c>
      <c r="C688" s="74" t="inlineStr">
        <is>
          <t>T1584.003</t>
        </is>
      </c>
      <c r="D688" s="78" t="inlineStr">
        <is>
          <t>Virtual Private Server (T1584.003)</t>
        </is>
      </c>
    </row>
    <row r="689">
      <c r="A689" s="78" t="inlineStr">
        <is>
          <t>resource-development</t>
        </is>
      </c>
      <c r="B689" s="74" t="inlineStr">
        <is>
          <t>T1584</t>
        </is>
      </c>
      <c r="C689" s="74" t="inlineStr">
        <is>
          <t>T1584.004</t>
        </is>
      </c>
      <c r="D689" s="78" t="inlineStr">
        <is>
          <t>Server (T1584.004)</t>
        </is>
      </c>
    </row>
    <row r="690">
      <c r="A690" s="78" t="inlineStr">
        <is>
          <t>resource-development</t>
        </is>
      </c>
      <c r="B690" s="74" t="inlineStr">
        <is>
          <t>T1584</t>
        </is>
      </c>
      <c r="C690" s="74" t="inlineStr">
        <is>
          <t>T1584.005</t>
        </is>
      </c>
      <c r="D690" s="78" t="inlineStr">
        <is>
          <t>Botnet (T1584.005)</t>
        </is>
      </c>
    </row>
    <row r="691">
      <c r="A691" s="78" t="inlineStr">
        <is>
          <t>resource-development</t>
        </is>
      </c>
      <c r="B691" s="74" t="inlineStr">
        <is>
          <t>T1584</t>
        </is>
      </c>
      <c r="C691" s="74" t="inlineStr">
        <is>
          <t>T1584.006</t>
        </is>
      </c>
      <c r="D691" s="78" t="inlineStr">
        <is>
          <t>Web Services (T1584.006)</t>
        </is>
      </c>
    </row>
    <row r="692">
      <c r="A692" s="78" t="inlineStr">
        <is>
          <t>resource-development</t>
        </is>
      </c>
      <c r="B692" s="74" t="inlineStr">
        <is>
          <t>T1584</t>
        </is>
      </c>
      <c r="C692" s="74" t="inlineStr">
        <is>
          <t>T1584.007</t>
        </is>
      </c>
      <c r="D692" s="78" t="inlineStr">
        <is>
          <t>Serverless (T1584.007)</t>
        </is>
      </c>
    </row>
    <row r="693">
      <c r="A693" s="78" t="inlineStr">
        <is>
          <t>resource-development</t>
        </is>
      </c>
      <c r="B693" s="74" t="inlineStr">
        <is>
          <t>T1584</t>
        </is>
      </c>
      <c r="C693" s="74" t="inlineStr">
        <is>
          <t>T1584.008</t>
        </is>
      </c>
      <c r="D693" s="78" t="inlineStr">
        <is>
          <t>Network Devices (T1584.008)</t>
        </is>
      </c>
    </row>
    <row r="694">
      <c r="A694" s="78" t="inlineStr">
        <is>
          <t>resource-development</t>
        </is>
      </c>
      <c r="B694" s="74" t="inlineStr">
        <is>
          <t>T1585</t>
        </is>
      </c>
      <c r="C694" s="74" t="inlineStr">
        <is>
          <t>T1585</t>
        </is>
      </c>
      <c r="D694" s="78" t="inlineStr">
        <is>
          <t>Establish Accounts (T1585)</t>
        </is>
      </c>
    </row>
    <row r="695">
      <c r="A695" s="78" t="inlineStr">
        <is>
          <t>resource-development</t>
        </is>
      </c>
      <c r="B695" s="74" t="inlineStr">
        <is>
          <t>T1585</t>
        </is>
      </c>
      <c r="C695" s="74" t="inlineStr">
        <is>
          <t>T1585.001</t>
        </is>
      </c>
      <c r="D695" s="78" t="inlineStr">
        <is>
          <t>Social Media Accounts (T1585.001)</t>
        </is>
      </c>
    </row>
    <row r="696">
      <c r="A696" s="78" t="inlineStr">
        <is>
          <t>resource-development</t>
        </is>
      </c>
      <c r="B696" s="74" t="inlineStr">
        <is>
          <t>T1585</t>
        </is>
      </c>
      <c r="C696" s="74" t="inlineStr">
        <is>
          <t>T1585.002</t>
        </is>
      </c>
      <c r="D696" s="78" t="inlineStr">
        <is>
          <t>Email Accounts (T1585.002)</t>
        </is>
      </c>
    </row>
    <row r="697">
      <c r="A697" s="78" t="inlineStr">
        <is>
          <t>resource-development</t>
        </is>
      </c>
      <c r="B697" s="74" t="inlineStr">
        <is>
          <t>T1585</t>
        </is>
      </c>
      <c r="C697" s="74" t="inlineStr">
        <is>
          <t>T1585.003</t>
        </is>
      </c>
      <c r="D697" s="78" t="inlineStr">
        <is>
          <t>Cloud Accounts (T1585.003)</t>
        </is>
      </c>
    </row>
    <row r="698">
      <c r="A698" s="78" t="inlineStr">
        <is>
          <t>resource-development</t>
        </is>
      </c>
      <c r="B698" s="74" t="inlineStr">
        <is>
          <t>T1586</t>
        </is>
      </c>
      <c r="C698" s="74" t="inlineStr">
        <is>
          <t>T1586</t>
        </is>
      </c>
      <c r="D698" s="78" t="inlineStr">
        <is>
          <t>Compromise Accounts (T1586)</t>
        </is>
      </c>
    </row>
    <row r="699">
      <c r="A699" s="78" t="inlineStr">
        <is>
          <t>resource-development</t>
        </is>
      </c>
      <c r="B699" s="74" t="inlineStr">
        <is>
          <t>T1586</t>
        </is>
      </c>
      <c r="C699" s="74" t="inlineStr">
        <is>
          <t>T1586.001</t>
        </is>
      </c>
      <c r="D699" s="78" t="inlineStr">
        <is>
          <t>Social Media Accounts (T1586.001)</t>
        </is>
      </c>
    </row>
    <row r="700">
      <c r="A700" s="78" t="inlineStr">
        <is>
          <t>resource-development</t>
        </is>
      </c>
      <c r="B700" s="74" t="inlineStr">
        <is>
          <t>T1586</t>
        </is>
      </c>
      <c r="C700" s="74" t="inlineStr">
        <is>
          <t>T1586.002</t>
        </is>
      </c>
      <c r="D700" s="78" t="inlineStr">
        <is>
          <t>Email Accounts (T1586.002)</t>
        </is>
      </c>
    </row>
    <row r="701">
      <c r="A701" s="78" t="inlineStr">
        <is>
          <t>resource-development</t>
        </is>
      </c>
      <c r="B701" s="74" t="inlineStr">
        <is>
          <t>T1586</t>
        </is>
      </c>
      <c r="C701" s="74" t="inlineStr">
        <is>
          <t>T1586.003</t>
        </is>
      </c>
      <c r="D701" s="78" t="inlineStr">
        <is>
          <t>Cloud Accounts (T1586.003)</t>
        </is>
      </c>
    </row>
    <row r="702">
      <c r="A702" s="78" t="inlineStr">
        <is>
          <t>resource-development</t>
        </is>
      </c>
      <c r="B702" s="74" t="inlineStr">
        <is>
          <t>T1587</t>
        </is>
      </c>
      <c r="C702" s="74" t="inlineStr">
        <is>
          <t>T1587</t>
        </is>
      </c>
      <c r="D702" s="78" t="inlineStr">
        <is>
          <t>Develop Capabilities (T1587)</t>
        </is>
      </c>
    </row>
    <row r="703">
      <c r="A703" s="78" t="inlineStr">
        <is>
          <t>resource-development</t>
        </is>
      </c>
      <c r="B703" s="74" t="inlineStr">
        <is>
          <t>T1587</t>
        </is>
      </c>
      <c r="C703" s="74" t="inlineStr">
        <is>
          <t>T1587.001</t>
        </is>
      </c>
      <c r="D703" s="78" t="inlineStr">
        <is>
          <t>Malware (T1587.001)</t>
        </is>
      </c>
    </row>
    <row r="704">
      <c r="A704" s="78" t="inlineStr">
        <is>
          <t>resource-development</t>
        </is>
      </c>
      <c r="B704" s="74" t="inlineStr">
        <is>
          <t>T1587</t>
        </is>
      </c>
      <c r="C704" s="74" t="inlineStr">
        <is>
          <t>T1587.002</t>
        </is>
      </c>
      <c r="D704" s="78" t="inlineStr">
        <is>
          <t>Code Signing Certificates (T1587.002)</t>
        </is>
      </c>
    </row>
    <row r="705">
      <c r="A705" s="78" t="inlineStr">
        <is>
          <t>resource-development</t>
        </is>
      </c>
      <c r="B705" s="74" t="inlineStr">
        <is>
          <t>T1587</t>
        </is>
      </c>
      <c r="C705" s="74" t="inlineStr">
        <is>
          <t>T1587.003</t>
        </is>
      </c>
      <c r="D705" s="78" t="inlineStr">
        <is>
          <t>Digital Certificates (T1587.003)</t>
        </is>
      </c>
    </row>
    <row r="706">
      <c r="A706" s="78" t="inlineStr">
        <is>
          <t>resource-development</t>
        </is>
      </c>
      <c r="B706" s="74" t="inlineStr">
        <is>
          <t>T1587</t>
        </is>
      </c>
      <c r="C706" s="74" t="inlineStr">
        <is>
          <t>T1587.004</t>
        </is>
      </c>
      <c r="D706" s="78" t="inlineStr">
        <is>
          <t>Exploits (T1587.004)</t>
        </is>
      </c>
    </row>
    <row r="707">
      <c r="A707" s="78" t="inlineStr">
        <is>
          <t>resource-development</t>
        </is>
      </c>
      <c r="B707" s="74" t="inlineStr">
        <is>
          <t>T1588</t>
        </is>
      </c>
      <c r="C707" s="74" t="inlineStr">
        <is>
          <t>T1588</t>
        </is>
      </c>
      <c r="D707" s="78" t="inlineStr">
        <is>
          <t>Obtain Capabilities (T1588)</t>
        </is>
      </c>
    </row>
    <row r="708">
      <c r="A708" s="78" t="inlineStr">
        <is>
          <t>resource-development</t>
        </is>
      </c>
      <c r="B708" s="74" t="inlineStr">
        <is>
          <t>T1588</t>
        </is>
      </c>
      <c r="C708" s="74" t="inlineStr">
        <is>
          <t>T1588.001</t>
        </is>
      </c>
      <c r="D708" s="78" t="inlineStr">
        <is>
          <t>Malware (T1588.001)</t>
        </is>
      </c>
    </row>
    <row r="709">
      <c r="A709" s="78" t="inlineStr">
        <is>
          <t>resource-development</t>
        </is>
      </c>
      <c r="B709" s="74" t="inlineStr">
        <is>
          <t>T1588</t>
        </is>
      </c>
      <c r="C709" s="74" t="inlineStr">
        <is>
          <t>T1588.002</t>
        </is>
      </c>
      <c r="D709" s="78" t="inlineStr">
        <is>
          <t>Tool (T1588.002)</t>
        </is>
      </c>
    </row>
    <row r="710">
      <c r="A710" s="78" t="inlineStr">
        <is>
          <t>resource-development</t>
        </is>
      </c>
      <c r="B710" s="74" t="inlineStr">
        <is>
          <t>T1588</t>
        </is>
      </c>
      <c r="C710" s="74" t="inlineStr">
        <is>
          <t>T1588.003</t>
        </is>
      </c>
      <c r="D710" s="78" t="inlineStr">
        <is>
          <t>Code Signing Certificates (T1588.003)</t>
        </is>
      </c>
    </row>
    <row r="711">
      <c r="A711" s="78" t="inlineStr">
        <is>
          <t>resource-development</t>
        </is>
      </c>
      <c r="B711" s="74" t="inlineStr">
        <is>
          <t>T1588</t>
        </is>
      </c>
      <c r="C711" s="74" t="inlineStr">
        <is>
          <t>T1588.004</t>
        </is>
      </c>
      <c r="D711" s="78" t="inlineStr">
        <is>
          <t>Digital Certificates (T1588.004)</t>
        </is>
      </c>
    </row>
    <row r="712">
      <c r="A712" s="78" t="inlineStr">
        <is>
          <t>resource-development</t>
        </is>
      </c>
      <c r="B712" s="74" t="inlineStr">
        <is>
          <t>T1588</t>
        </is>
      </c>
      <c r="C712" s="74" t="inlineStr">
        <is>
          <t>T1588.005</t>
        </is>
      </c>
      <c r="D712" s="78" t="inlineStr">
        <is>
          <t>Exploits (T1588.005)</t>
        </is>
      </c>
    </row>
    <row r="713">
      <c r="A713" s="78" t="inlineStr">
        <is>
          <t>resource-development</t>
        </is>
      </c>
      <c r="B713" s="74" t="inlineStr">
        <is>
          <t>T1588</t>
        </is>
      </c>
      <c r="C713" s="74" t="inlineStr">
        <is>
          <t>T1588.006</t>
        </is>
      </c>
      <c r="D713" s="78" t="inlineStr">
        <is>
          <t>Vulnerabilities (T1588.006)</t>
        </is>
      </c>
    </row>
    <row r="714">
      <c r="A714" s="78" t="inlineStr">
        <is>
          <t>resource-development</t>
        </is>
      </c>
      <c r="B714" s="74" t="inlineStr">
        <is>
          <t>T1588</t>
        </is>
      </c>
      <c r="C714" s="74" t="inlineStr">
        <is>
          <t>T1588.007</t>
        </is>
      </c>
      <c r="D714" s="78" t="inlineStr">
        <is>
          <t>Artificial Intelligence (T1588.007)</t>
        </is>
      </c>
    </row>
    <row r="715">
      <c r="A715" s="78" t="inlineStr">
        <is>
          <t>resource-development</t>
        </is>
      </c>
      <c r="B715" s="74" t="inlineStr">
        <is>
          <t>T1608</t>
        </is>
      </c>
      <c r="C715" s="74" t="inlineStr">
        <is>
          <t>T1608</t>
        </is>
      </c>
      <c r="D715" s="78" t="inlineStr">
        <is>
          <t>Stage Capabilities (T1608)</t>
        </is>
      </c>
    </row>
    <row r="716">
      <c r="A716" s="78" t="inlineStr">
        <is>
          <t>resource-development</t>
        </is>
      </c>
      <c r="B716" s="74" t="inlineStr">
        <is>
          <t>T1608</t>
        </is>
      </c>
      <c r="C716" s="74" t="inlineStr">
        <is>
          <t>T1608.001</t>
        </is>
      </c>
      <c r="D716" s="78" t="inlineStr">
        <is>
          <t>Upload Malware (T1608.001)</t>
        </is>
      </c>
    </row>
    <row r="717">
      <c r="A717" s="78" t="inlineStr">
        <is>
          <t>resource-development</t>
        </is>
      </c>
      <c r="B717" s="74" t="inlineStr">
        <is>
          <t>T1608</t>
        </is>
      </c>
      <c r="C717" s="74" t="inlineStr">
        <is>
          <t>T1608.002</t>
        </is>
      </c>
      <c r="D717" s="78" t="inlineStr">
        <is>
          <t>Upload Tool (T1608.002)</t>
        </is>
      </c>
    </row>
    <row r="718">
      <c r="A718" s="78" t="inlineStr">
        <is>
          <t>resource-development</t>
        </is>
      </c>
      <c r="B718" s="74" t="inlineStr">
        <is>
          <t>T1608</t>
        </is>
      </c>
      <c r="C718" s="74" t="inlineStr">
        <is>
          <t>T1608.003</t>
        </is>
      </c>
      <c r="D718" s="78" t="inlineStr">
        <is>
          <t>Install Digital Certificate (T1608.003)</t>
        </is>
      </c>
    </row>
    <row r="719">
      <c r="A719" s="78" t="inlineStr">
        <is>
          <t>resource-development</t>
        </is>
      </c>
      <c r="B719" s="74" t="inlineStr">
        <is>
          <t>T1608</t>
        </is>
      </c>
      <c r="C719" s="74" t="inlineStr">
        <is>
          <t>T1608.004</t>
        </is>
      </c>
      <c r="D719" s="78" t="inlineStr">
        <is>
          <t>Drive-by Target (T1608.004)</t>
        </is>
      </c>
    </row>
    <row r="720">
      <c r="A720" s="78" t="inlineStr">
        <is>
          <t>resource-development</t>
        </is>
      </c>
      <c r="B720" s="74" t="inlineStr">
        <is>
          <t>T1608</t>
        </is>
      </c>
      <c r="C720" s="74" t="inlineStr">
        <is>
          <t>T1608.005</t>
        </is>
      </c>
      <c r="D720" s="78" t="inlineStr">
        <is>
          <t>Link Target (T1608.005)</t>
        </is>
      </c>
    </row>
    <row r="721">
      <c r="A721" s="78" t="inlineStr">
        <is>
          <t>resource-development</t>
        </is>
      </c>
      <c r="B721" s="74" t="inlineStr">
        <is>
          <t>T1608</t>
        </is>
      </c>
      <c r="C721" s="74" t="inlineStr">
        <is>
          <t>T1608.006</t>
        </is>
      </c>
      <c r="D721" s="78" t="inlineStr">
        <is>
          <t>SEO Poisoning (T1608.006)</t>
        </is>
      </c>
    </row>
    <row r="722">
      <c r="A722" s="78" t="inlineStr">
        <is>
          <t>resource-development</t>
        </is>
      </c>
      <c r="B722" s="74" t="inlineStr">
        <is>
          <t>T1650</t>
        </is>
      </c>
      <c r="C722" s="74" t="inlineStr">
        <is>
          <t>T1650</t>
        </is>
      </c>
      <c r="D722" s="78" t="inlineStr">
        <is>
          <t>Acquire Access (T1650)</t>
        </is>
      </c>
    </row>
    <row r="723">
      <c r="A723" s="78" t="inlineStr">
        <is>
          <t>resource-development</t>
        </is>
      </c>
      <c r="B723" s="74" t="inlineStr">
        <is>
          <t>T1683</t>
        </is>
      </c>
      <c r="C723" s="74" t="inlineStr">
        <is>
          <t>T1683</t>
        </is>
      </c>
      <c r="D723" s="78" t="inlineStr">
        <is>
          <t>Generate Content (T1683)</t>
        </is>
      </c>
    </row>
    <row r="724">
      <c r="A724" s="78" t="inlineStr">
        <is>
          <t>resource-development</t>
        </is>
      </c>
      <c r="B724" s="74" t="inlineStr">
        <is>
          <t>T1683</t>
        </is>
      </c>
      <c r="C724" s="74" t="inlineStr">
        <is>
          <t>T1683.001</t>
        </is>
      </c>
      <c r="D724" s="78" t="inlineStr">
        <is>
          <t>Written Content (T1683.001)</t>
        </is>
      </c>
    </row>
    <row r="725">
      <c r="A725" s="78" t="inlineStr">
        <is>
          <t>resource-development</t>
        </is>
      </c>
      <c r="B725" s="74" t="inlineStr">
        <is>
          <t>T1683</t>
        </is>
      </c>
      <c r="C725" s="74" t="inlineStr">
        <is>
          <t>T1683.002</t>
        </is>
      </c>
      <c r="D725" s="78" t="inlineStr">
        <is>
          <t>Audio-Visual Content (T1683.002)</t>
        </is>
      </c>
    </row>
    <row r="726">
      <c r="A726" s="78" t="inlineStr">
        <is>
          <t>stealth</t>
        </is>
      </c>
      <c r="B726" s="74" t="inlineStr">
        <is>
          <t>T1006</t>
        </is>
      </c>
      <c r="C726" s="74" t="inlineStr">
        <is>
          <t>T1006</t>
        </is>
      </c>
      <c r="D726" s="78" t="inlineStr">
        <is>
          <t>Direct Volume Access (T1006)</t>
        </is>
      </c>
    </row>
    <row r="727">
      <c r="A727" s="78" t="inlineStr">
        <is>
          <t>stealth</t>
        </is>
      </c>
      <c r="B727" s="74" t="inlineStr">
        <is>
          <t>T1014</t>
        </is>
      </c>
      <c r="C727" s="74" t="inlineStr">
        <is>
          <t>T1014</t>
        </is>
      </c>
      <c r="D727" s="78" t="inlineStr">
        <is>
          <t>Rootkit (T1014)</t>
        </is>
      </c>
    </row>
    <row r="728">
      <c r="A728" s="78" t="inlineStr">
        <is>
          <t>stealth</t>
        </is>
      </c>
      <c r="B728" s="74" t="inlineStr">
        <is>
          <t>T1027</t>
        </is>
      </c>
      <c r="C728" s="74" t="inlineStr">
        <is>
          <t>T1027</t>
        </is>
      </c>
      <c r="D728" s="78" t="inlineStr">
        <is>
          <t>Obfuscated Files or Information (T1027)</t>
        </is>
      </c>
    </row>
    <row r="729">
      <c r="A729" s="78" t="inlineStr">
        <is>
          <t>stealth</t>
        </is>
      </c>
      <c r="B729" s="74" t="inlineStr">
        <is>
          <t>T1027</t>
        </is>
      </c>
      <c r="C729" s="74" t="inlineStr">
        <is>
          <t>T1027.001</t>
        </is>
      </c>
      <c r="D729" s="78" t="inlineStr">
        <is>
          <t>Binary Padding (T1027.001)</t>
        </is>
      </c>
    </row>
    <row r="730">
      <c r="A730" s="78" t="inlineStr">
        <is>
          <t>stealth</t>
        </is>
      </c>
      <c r="B730" s="74" t="inlineStr">
        <is>
          <t>T1027</t>
        </is>
      </c>
      <c r="C730" s="74" t="inlineStr">
        <is>
          <t>T1027.002</t>
        </is>
      </c>
      <c r="D730" s="78" t="inlineStr">
        <is>
          <t>Software Packing (T1027.002)</t>
        </is>
      </c>
    </row>
    <row r="731">
      <c r="A731" s="78" t="inlineStr">
        <is>
          <t>stealth</t>
        </is>
      </c>
      <c r="B731" s="74" t="inlineStr">
        <is>
          <t>T1027</t>
        </is>
      </c>
      <c r="C731" s="74" t="inlineStr">
        <is>
          <t>T1027.003</t>
        </is>
      </c>
      <c r="D731" s="78" t="inlineStr">
        <is>
          <t>Steganography (T1027.003)</t>
        </is>
      </c>
    </row>
    <row r="732">
      <c r="A732" s="78" t="inlineStr">
        <is>
          <t>stealth</t>
        </is>
      </c>
      <c r="B732" s="74" t="inlineStr">
        <is>
          <t>T1027</t>
        </is>
      </c>
      <c r="C732" s="74" t="inlineStr">
        <is>
          <t>T1027.004</t>
        </is>
      </c>
      <c r="D732" s="78" t="inlineStr">
        <is>
          <t>Compile After Delivery (T1027.004)</t>
        </is>
      </c>
    </row>
    <row r="733">
      <c r="A733" s="78" t="inlineStr">
        <is>
          <t>stealth</t>
        </is>
      </c>
      <c r="B733" s="74" t="inlineStr">
        <is>
          <t>T1027</t>
        </is>
      </c>
      <c r="C733" s="74" t="inlineStr">
        <is>
          <t>T1027.005</t>
        </is>
      </c>
      <c r="D733" s="78" t="inlineStr">
        <is>
          <t>Indicator Removal from Tools (T1027.005)</t>
        </is>
      </c>
    </row>
    <row r="734">
      <c r="A734" s="78" t="inlineStr">
        <is>
          <t>stealth</t>
        </is>
      </c>
      <c r="B734" s="74" t="inlineStr">
        <is>
          <t>T1027</t>
        </is>
      </c>
      <c r="C734" s="74" t="inlineStr">
        <is>
          <t>T1027.006</t>
        </is>
      </c>
      <c r="D734" s="78" t="inlineStr">
        <is>
          <t>HTML Smuggling (T1027.006)</t>
        </is>
      </c>
    </row>
    <row r="735">
      <c r="A735" s="78" t="inlineStr">
        <is>
          <t>stealth</t>
        </is>
      </c>
      <c r="B735" s="74" t="inlineStr">
        <is>
          <t>T1027</t>
        </is>
      </c>
      <c r="C735" s="74" t="inlineStr">
        <is>
          <t>T1027.007</t>
        </is>
      </c>
      <c r="D735" s="78" t="inlineStr">
        <is>
          <t>Dynamic API Resolution (T1027.007)</t>
        </is>
      </c>
    </row>
    <row r="736">
      <c r="A736" s="78" t="inlineStr">
        <is>
          <t>stealth</t>
        </is>
      </c>
      <c r="B736" s="74" t="inlineStr">
        <is>
          <t>T1027</t>
        </is>
      </c>
      <c r="C736" s="74" t="inlineStr">
        <is>
          <t>T1027.008</t>
        </is>
      </c>
      <c r="D736" s="78" t="inlineStr">
        <is>
          <t>Stripped Payloads (T1027.008)</t>
        </is>
      </c>
    </row>
    <row r="737">
      <c r="A737" s="78" t="inlineStr">
        <is>
          <t>stealth</t>
        </is>
      </c>
      <c r="B737" s="74" t="inlineStr">
        <is>
          <t>T1027</t>
        </is>
      </c>
      <c r="C737" s="74" t="inlineStr">
        <is>
          <t>T1027.009</t>
        </is>
      </c>
      <c r="D737" s="78" t="inlineStr">
        <is>
          <t>Embedded Payloads (T1027.009)</t>
        </is>
      </c>
    </row>
    <row r="738">
      <c r="A738" s="78" t="inlineStr">
        <is>
          <t>stealth</t>
        </is>
      </c>
      <c r="B738" s="74" t="inlineStr">
        <is>
          <t>T1027</t>
        </is>
      </c>
      <c r="C738" s="74" t="inlineStr">
        <is>
          <t>T1027.010</t>
        </is>
      </c>
      <c r="D738" s="78" t="inlineStr">
        <is>
          <t>Command Obfuscation (T1027.010)</t>
        </is>
      </c>
    </row>
    <row r="739">
      <c r="A739" s="78" t="inlineStr">
        <is>
          <t>stealth</t>
        </is>
      </c>
      <c r="B739" s="74" t="inlineStr">
        <is>
          <t>T1027</t>
        </is>
      </c>
      <c r="C739" s="74" t="inlineStr">
        <is>
          <t>T1027.011</t>
        </is>
      </c>
      <c r="D739" s="78" t="inlineStr">
        <is>
          <t>Fileless Storage (T1027.011)</t>
        </is>
      </c>
    </row>
    <row r="740">
      <c r="A740" s="78" t="inlineStr">
        <is>
          <t>stealth</t>
        </is>
      </c>
      <c r="B740" s="74" t="inlineStr">
        <is>
          <t>T1027</t>
        </is>
      </c>
      <c r="C740" s="74" t="inlineStr">
        <is>
          <t>T1027.012</t>
        </is>
      </c>
      <c r="D740" s="78" t="inlineStr">
        <is>
          <t>LNK Icon Smuggling (T1027.012)</t>
        </is>
      </c>
    </row>
    <row r="741">
      <c r="A741" s="78" t="inlineStr">
        <is>
          <t>stealth</t>
        </is>
      </c>
      <c r="B741" s="74" t="inlineStr">
        <is>
          <t>T1027</t>
        </is>
      </c>
      <c r="C741" s="74" t="inlineStr">
        <is>
          <t>T1027.013</t>
        </is>
      </c>
      <c r="D741" s="78" t="inlineStr">
        <is>
          <t>Encrypted/Encoded File (T1027.013)</t>
        </is>
      </c>
    </row>
    <row r="742">
      <c r="A742" s="78" t="inlineStr">
        <is>
          <t>stealth</t>
        </is>
      </c>
      <c r="B742" s="74" t="inlineStr">
        <is>
          <t>T1027</t>
        </is>
      </c>
      <c r="C742" s="74" t="inlineStr">
        <is>
          <t>T1027.014</t>
        </is>
      </c>
      <c r="D742" s="78" t="inlineStr">
        <is>
          <t>Polymorphic Code (T1027.014)</t>
        </is>
      </c>
    </row>
    <row r="743">
      <c r="A743" s="78" t="inlineStr">
        <is>
          <t>stealth</t>
        </is>
      </c>
      <c r="B743" s="74" t="inlineStr">
        <is>
          <t>T1027</t>
        </is>
      </c>
      <c r="C743" s="74" t="inlineStr">
        <is>
          <t>T1027.015</t>
        </is>
      </c>
      <c r="D743" s="78" t="inlineStr">
        <is>
          <t>Compression (T1027.015)</t>
        </is>
      </c>
    </row>
    <row r="744">
      <c r="A744" s="78" t="inlineStr">
        <is>
          <t>stealth</t>
        </is>
      </c>
      <c r="B744" s="74" t="inlineStr">
        <is>
          <t>T1027</t>
        </is>
      </c>
      <c r="C744" s="74" t="inlineStr">
        <is>
          <t>T1027.016</t>
        </is>
      </c>
      <c r="D744" s="78" t="inlineStr">
        <is>
          <t>Junk Code Insertion (T1027.016)</t>
        </is>
      </c>
    </row>
    <row r="745">
      <c r="A745" s="78" t="inlineStr">
        <is>
          <t>stealth</t>
        </is>
      </c>
      <c r="B745" s="74" t="inlineStr">
        <is>
          <t>T1027</t>
        </is>
      </c>
      <c r="C745" s="74" t="inlineStr">
        <is>
          <t>T1027.017</t>
        </is>
      </c>
      <c r="D745" s="78" t="inlineStr">
        <is>
          <t>SVG Smuggling (T1027.017)</t>
        </is>
      </c>
    </row>
    <row r="746">
      <c r="A746" s="78" t="inlineStr">
        <is>
          <t>stealth</t>
        </is>
      </c>
      <c r="B746" s="74" t="inlineStr">
        <is>
          <t>T1027</t>
        </is>
      </c>
      <c r="C746" s="74" t="inlineStr">
        <is>
          <t>T1027.018</t>
        </is>
      </c>
      <c r="D746" s="78" t="inlineStr">
        <is>
          <t>Invisible Unicode (T1027.018)</t>
        </is>
      </c>
    </row>
    <row r="747">
      <c r="A747" s="78" t="inlineStr">
        <is>
          <t>stealth</t>
        </is>
      </c>
      <c r="B747" s="74" t="inlineStr">
        <is>
          <t>T1036</t>
        </is>
      </c>
      <c r="C747" s="74" t="inlineStr">
        <is>
          <t>T1036</t>
        </is>
      </c>
      <c r="D747" s="78" t="inlineStr">
        <is>
          <t>Masquerading (T1036)</t>
        </is>
      </c>
    </row>
    <row r="748">
      <c r="A748" s="78" t="inlineStr">
        <is>
          <t>stealth</t>
        </is>
      </c>
      <c r="B748" s="74" t="inlineStr">
        <is>
          <t>T1036</t>
        </is>
      </c>
      <c r="C748" s="74" t="inlineStr">
        <is>
          <t>T1036.001</t>
        </is>
      </c>
      <c r="D748" s="78" t="inlineStr">
        <is>
          <t>Invalid Code Signature (T1036.001)</t>
        </is>
      </c>
    </row>
    <row r="749">
      <c r="A749" s="78" t="inlineStr">
        <is>
          <t>stealth</t>
        </is>
      </c>
      <c r="B749" s="74" t="inlineStr">
        <is>
          <t>T1036</t>
        </is>
      </c>
      <c r="C749" s="74" t="inlineStr">
        <is>
          <t>T1036.002</t>
        </is>
      </c>
      <c r="D749" s="78" t="inlineStr">
        <is>
          <t>Right-to-Left Override (T1036.002)</t>
        </is>
      </c>
    </row>
    <row r="750">
      <c r="A750" s="78" t="inlineStr">
        <is>
          <t>stealth</t>
        </is>
      </c>
      <c r="B750" s="74" t="inlineStr">
        <is>
          <t>T1036</t>
        </is>
      </c>
      <c r="C750" s="74" t="inlineStr">
        <is>
          <t>T1036.003</t>
        </is>
      </c>
      <c r="D750" s="78" t="inlineStr">
        <is>
          <t>Rename Legitimate Utilities (T1036.003)</t>
        </is>
      </c>
    </row>
    <row r="751">
      <c r="A751" s="78" t="inlineStr">
        <is>
          <t>stealth</t>
        </is>
      </c>
      <c r="B751" s="74" t="inlineStr">
        <is>
          <t>T1036</t>
        </is>
      </c>
      <c r="C751" s="74" t="inlineStr">
        <is>
          <t>T1036.004</t>
        </is>
      </c>
      <c r="D751" s="78" t="inlineStr">
        <is>
          <t>Masquerade Task or Service (T1036.004)</t>
        </is>
      </c>
    </row>
    <row r="752">
      <c r="A752" s="78" t="inlineStr">
        <is>
          <t>stealth</t>
        </is>
      </c>
      <c r="B752" s="74" t="inlineStr">
        <is>
          <t>T1036</t>
        </is>
      </c>
      <c r="C752" s="74" t="inlineStr">
        <is>
          <t>T1036.005</t>
        </is>
      </c>
      <c r="D752" s="78" t="inlineStr">
        <is>
          <t>Match Legitimate Resource Name or Location (T1036.005)</t>
        </is>
      </c>
    </row>
    <row r="753">
      <c r="A753" s="78" t="inlineStr">
        <is>
          <t>stealth</t>
        </is>
      </c>
      <c r="B753" s="74" t="inlineStr">
        <is>
          <t>T1036</t>
        </is>
      </c>
      <c r="C753" s="74" t="inlineStr">
        <is>
          <t>T1036.006</t>
        </is>
      </c>
      <c r="D753" s="78" t="inlineStr">
        <is>
          <t>Space after Filename (T1036.006)</t>
        </is>
      </c>
    </row>
    <row r="754">
      <c r="A754" s="78" t="inlineStr">
        <is>
          <t>stealth</t>
        </is>
      </c>
      <c r="B754" s="74" t="inlineStr">
        <is>
          <t>T1036</t>
        </is>
      </c>
      <c r="C754" s="74" t="inlineStr">
        <is>
          <t>T1036.007</t>
        </is>
      </c>
      <c r="D754" s="78" t="inlineStr">
        <is>
          <t>Double File Extension (T1036.007)</t>
        </is>
      </c>
    </row>
    <row r="755">
      <c r="A755" s="78" t="inlineStr">
        <is>
          <t>stealth</t>
        </is>
      </c>
      <c r="B755" s="74" t="inlineStr">
        <is>
          <t>T1036</t>
        </is>
      </c>
      <c r="C755" s="74" t="inlineStr">
        <is>
          <t>T1036.008</t>
        </is>
      </c>
      <c r="D755" s="78" t="inlineStr">
        <is>
          <t>Masquerade File Type (T1036.008)</t>
        </is>
      </c>
    </row>
    <row r="756">
      <c r="A756" s="78" t="inlineStr">
        <is>
          <t>stealth</t>
        </is>
      </c>
      <c r="B756" s="74" t="inlineStr">
        <is>
          <t>T1036</t>
        </is>
      </c>
      <c r="C756" s="74" t="inlineStr">
        <is>
          <t>T1036.009</t>
        </is>
      </c>
      <c r="D756" s="78" t="inlineStr">
        <is>
          <t>Break Process Trees (T1036.009)</t>
        </is>
      </c>
    </row>
    <row r="757">
      <c r="A757" s="78" t="inlineStr">
        <is>
          <t>stealth</t>
        </is>
      </c>
      <c r="B757" s="74" t="inlineStr">
        <is>
          <t>T1036</t>
        </is>
      </c>
      <c r="C757" s="74" t="inlineStr">
        <is>
          <t>T1036.010</t>
        </is>
      </c>
      <c r="D757" s="78" t="inlineStr">
        <is>
          <t>Masquerade Account Name (T1036.010)</t>
        </is>
      </c>
    </row>
    <row r="758">
      <c r="A758" s="78" t="inlineStr">
        <is>
          <t>stealth</t>
        </is>
      </c>
      <c r="B758" s="74" t="inlineStr">
        <is>
          <t>T1036</t>
        </is>
      </c>
      <c r="C758" s="74" t="inlineStr">
        <is>
          <t>T1036.011</t>
        </is>
      </c>
      <c r="D758" s="78" t="inlineStr">
        <is>
          <t>Overwrite Process Arguments (T1036.011)</t>
        </is>
      </c>
    </row>
    <row r="759">
      <c r="A759" s="78" t="inlineStr">
        <is>
          <t>stealth</t>
        </is>
      </c>
      <c r="B759" s="74" t="inlineStr">
        <is>
          <t>T1036</t>
        </is>
      </c>
      <c r="C759" s="74" t="inlineStr">
        <is>
          <t>T1036.012</t>
        </is>
      </c>
      <c r="D759" s="78" t="inlineStr">
        <is>
          <t>Browser Fingerprint (T1036.012)</t>
        </is>
      </c>
    </row>
    <row r="760">
      <c r="A760" s="78" t="inlineStr">
        <is>
          <t>stealth</t>
        </is>
      </c>
      <c r="B760" s="74" t="inlineStr">
        <is>
          <t>T1055</t>
        </is>
      </c>
      <c r="C760" s="74" t="inlineStr">
        <is>
          <t>T1055</t>
        </is>
      </c>
      <c r="D760" s="78" t="inlineStr">
        <is>
          <t>Process Injection (T1055)</t>
        </is>
      </c>
    </row>
    <row r="761">
      <c r="A761" s="78" t="inlineStr">
        <is>
          <t>stealth</t>
        </is>
      </c>
      <c r="B761" s="74" t="inlineStr">
        <is>
          <t>T1055</t>
        </is>
      </c>
      <c r="C761" s="74" t="inlineStr">
        <is>
          <t>T1055.001</t>
        </is>
      </c>
      <c r="D761" s="78" t="inlineStr">
        <is>
          <t>Dynamic-link Library Injection (T1055.001)</t>
        </is>
      </c>
    </row>
    <row r="762">
      <c r="A762" s="78" t="inlineStr">
        <is>
          <t>stealth</t>
        </is>
      </c>
      <c r="B762" s="74" t="inlineStr">
        <is>
          <t>T1055</t>
        </is>
      </c>
      <c r="C762" s="74" t="inlineStr">
        <is>
          <t>T1055.002</t>
        </is>
      </c>
      <c r="D762" s="78" t="inlineStr">
        <is>
          <t>Portable Executable Injection (T1055.002)</t>
        </is>
      </c>
    </row>
    <row r="763">
      <c r="A763" s="78" t="inlineStr">
        <is>
          <t>stealth</t>
        </is>
      </c>
      <c r="B763" s="74" t="inlineStr">
        <is>
          <t>T1055</t>
        </is>
      </c>
      <c r="C763" s="74" t="inlineStr">
        <is>
          <t>T1055.003</t>
        </is>
      </c>
      <c r="D763" s="78" t="inlineStr">
        <is>
          <t>Thread Execution Hijacking (T1055.003)</t>
        </is>
      </c>
    </row>
    <row r="764">
      <c r="A764" s="78" t="inlineStr">
        <is>
          <t>stealth</t>
        </is>
      </c>
      <c r="B764" s="74" t="inlineStr">
        <is>
          <t>T1055</t>
        </is>
      </c>
      <c r="C764" s="74" t="inlineStr">
        <is>
          <t>T1055.004</t>
        </is>
      </c>
      <c r="D764" s="78" t="inlineStr">
        <is>
          <t>Asynchronous Procedure Call (T1055.004)</t>
        </is>
      </c>
    </row>
    <row r="765">
      <c r="A765" s="78" t="inlineStr">
        <is>
          <t>stealth</t>
        </is>
      </c>
      <c r="B765" s="74" t="inlineStr">
        <is>
          <t>T1055</t>
        </is>
      </c>
      <c r="C765" s="74" t="inlineStr">
        <is>
          <t>T1055.005</t>
        </is>
      </c>
      <c r="D765" s="78" t="inlineStr">
        <is>
          <t>Thread Local Storage (T1055.005)</t>
        </is>
      </c>
    </row>
    <row r="766">
      <c r="A766" s="78" t="inlineStr">
        <is>
          <t>stealth</t>
        </is>
      </c>
      <c r="B766" s="74" t="inlineStr">
        <is>
          <t>T1055</t>
        </is>
      </c>
      <c r="C766" s="74" t="inlineStr">
        <is>
          <t>T1055.008</t>
        </is>
      </c>
      <c r="D766" s="78" t="inlineStr">
        <is>
          <t>Ptrace System Calls (T1055.008)</t>
        </is>
      </c>
    </row>
    <row r="767">
      <c r="A767" s="78" t="inlineStr">
        <is>
          <t>stealth</t>
        </is>
      </c>
      <c r="B767" s="74" t="inlineStr">
        <is>
          <t>T1055</t>
        </is>
      </c>
      <c r="C767" s="74" t="inlineStr">
        <is>
          <t>T1055.009</t>
        </is>
      </c>
      <c r="D767" s="78" t="inlineStr">
        <is>
          <t>Proc Memory (T1055.009)</t>
        </is>
      </c>
    </row>
    <row r="768">
      <c r="A768" s="78" t="inlineStr">
        <is>
          <t>stealth</t>
        </is>
      </c>
      <c r="B768" s="74" t="inlineStr">
        <is>
          <t>T1055</t>
        </is>
      </c>
      <c r="C768" s="74" t="inlineStr">
        <is>
          <t>T1055.011</t>
        </is>
      </c>
      <c r="D768" s="78" t="inlineStr">
        <is>
          <t>Extra Window Memory Injection (T1055.011)</t>
        </is>
      </c>
    </row>
    <row r="769">
      <c r="A769" s="78" t="inlineStr">
        <is>
          <t>stealth</t>
        </is>
      </c>
      <c r="B769" s="74" t="inlineStr">
        <is>
          <t>T1055</t>
        </is>
      </c>
      <c r="C769" s="74" t="inlineStr">
        <is>
          <t>T1055.012</t>
        </is>
      </c>
      <c r="D769" s="78" t="inlineStr">
        <is>
          <t>Process Hollowing (T1055.012)</t>
        </is>
      </c>
    </row>
    <row r="770">
      <c r="A770" s="78" t="inlineStr">
        <is>
          <t>stealth</t>
        </is>
      </c>
      <c r="B770" s="74" t="inlineStr">
        <is>
          <t>T1055</t>
        </is>
      </c>
      <c r="C770" s="74" t="inlineStr">
        <is>
          <t>T1055.013</t>
        </is>
      </c>
      <c r="D770" s="78" t="inlineStr">
        <is>
          <t>Process Doppelgänging (T1055.013)</t>
        </is>
      </c>
    </row>
    <row r="771">
      <c r="A771" s="78" t="inlineStr">
        <is>
          <t>stealth</t>
        </is>
      </c>
      <c r="B771" s="74" t="inlineStr">
        <is>
          <t>T1055</t>
        </is>
      </c>
      <c r="C771" s="74" t="inlineStr">
        <is>
          <t>T1055.014</t>
        </is>
      </c>
      <c r="D771" s="78" t="inlineStr">
        <is>
          <t>VDSO Hijacking (T1055.014)</t>
        </is>
      </c>
    </row>
    <row r="772">
      <c r="A772" s="78" t="inlineStr">
        <is>
          <t>stealth</t>
        </is>
      </c>
      <c r="B772" s="74" t="inlineStr">
        <is>
          <t>T1055</t>
        </is>
      </c>
      <c r="C772" s="74" t="inlineStr">
        <is>
          <t>T1055.015</t>
        </is>
      </c>
      <c r="D772" s="78" t="inlineStr">
        <is>
          <t>ListPlanting (T1055.015)</t>
        </is>
      </c>
    </row>
    <row r="773">
      <c r="A773" s="78" t="inlineStr">
        <is>
          <t>stealth</t>
        </is>
      </c>
      <c r="B773" s="74" t="inlineStr">
        <is>
          <t>T1070</t>
        </is>
      </c>
      <c r="C773" s="74" t="inlineStr">
        <is>
          <t>T1070</t>
        </is>
      </c>
      <c r="D773" s="78" t="inlineStr">
        <is>
          <t>Indicator Removal (T1070)</t>
        </is>
      </c>
    </row>
    <row r="774">
      <c r="A774" s="78" t="inlineStr">
        <is>
          <t>stealth</t>
        </is>
      </c>
      <c r="B774" s="74" t="inlineStr">
        <is>
          <t>T1070</t>
        </is>
      </c>
      <c r="C774" s="74" t="inlineStr">
        <is>
          <t>T1070.003</t>
        </is>
      </c>
      <c r="D774" s="78" t="inlineStr">
        <is>
          <t>Clear Command History (T1070.003)</t>
        </is>
      </c>
    </row>
    <row r="775">
      <c r="A775" s="78" t="inlineStr">
        <is>
          <t>stealth</t>
        </is>
      </c>
      <c r="B775" s="74" t="inlineStr">
        <is>
          <t>T1070</t>
        </is>
      </c>
      <c r="C775" s="74" t="inlineStr">
        <is>
          <t>T1070.004</t>
        </is>
      </c>
      <c r="D775" s="78" t="inlineStr">
        <is>
          <t>File Deletion (T1070.004)</t>
        </is>
      </c>
    </row>
    <row r="776">
      <c r="A776" s="78" t="inlineStr">
        <is>
          <t>stealth</t>
        </is>
      </c>
      <c r="B776" s="74" t="inlineStr">
        <is>
          <t>T1070</t>
        </is>
      </c>
      <c r="C776" s="74" t="inlineStr">
        <is>
          <t>T1070.005</t>
        </is>
      </c>
      <c r="D776" s="78" t="inlineStr">
        <is>
          <t>Network Share Connection Removal (T1070.005)</t>
        </is>
      </c>
    </row>
    <row r="777">
      <c r="A777" s="78" t="inlineStr">
        <is>
          <t>stealth</t>
        </is>
      </c>
      <c r="B777" s="74" t="inlineStr">
        <is>
          <t>T1070</t>
        </is>
      </c>
      <c r="C777" s="74" t="inlineStr">
        <is>
          <t>T1070.006</t>
        </is>
      </c>
      <c r="D777" s="78" t="inlineStr">
        <is>
          <t>Timestomp (T1070.006)</t>
        </is>
      </c>
    </row>
    <row r="778">
      <c r="A778" s="78" t="inlineStr">
        <is>
          <t>stealth</t>
        </is>
      </c>
      <c r="B778" s="74" t="inlineStr">
        <is>
          <t>T1070</t>
        </is>
      </c>
      <c r="C778" s="74" t="inlineStr">
        <is>
          <t>T1070.007</t>
        </is>
      </c>
      <c r="D778" s="78" t="inlineStr">
        <is>
          <t>Clear Network Connection History and Configurations (T1070.007)</t>
        </is>
      </c>
    </row>
    <row r="779">
      <c r="A779" s="78" t="inlineStr">
        <is>
          <t>stealth</t>
        </is>
      </c>
      <c r="B779" s="74" t="inlineStr">
        <is>
          <t>T1070</t>
        </is>
      </c>
      <c r="C779" s="74" t="inlineStr">
        <is>
          <t>T1070.008</t>
        </is>
      </c>
      <c r="D779" s="78" t="inlineStr">
        <is>
          <t>Clear Mailbox Data (T1070.008)</t>
        </is>
      </c>
    </row>
    <row r="780">
      <c r="A780" s="78" t="inlineStr">
        <is>
          <t>stealth</t>
        </is>
      </c>
      <c r="B780" s="74" t="inlineStr">
        <is>
          <t>T1070</t>
        </is>
      </c>
      <c r="C780" s="74" t="inlineStr">
        <is>
          <t>T1070.009</t>
        </is>
      </c>
      <c r="D780" s="78" t="inlineStr">
        <is>
          <t>Clear Persistence (T1070.009)</t>
        </is>
      </c>
    </row>
    <row r="781">
      <c r="A781" s="78" t="inlineStr">
        <is>
          <t>stealth</t>
        </is>
      </c>
      <c r="B781" s="74" t="inlineStr">
        <is>
          <t>T1070</t>
        </is>
      </c>
      <c r="C781" s="74" t="inlineStr">
        <is>
          <t>T1070.010</t>
        </is>
      </c>
      <c r="D781" s="78" t="inlineStr">
        <is>
          <t>Relocate Malware (T1070.010)</t>
        </is>
      </c>
    </row>
    <row r="782">
      <c r="A782" s="78" t="inlineStr">
        <is>
          <t>stealth</t>
        </is>
      </c>
      <c r="B782" s="74" t="inlineStr">
        <is>
          <t>T1078</t>
        </is>
      </c>
      <c r="C782" s="74" t="inlineStr">
        <is>
          <t>T1078</t>
        </is>
      </c>
      <c r="D782" s="78" t="inlineStr">
        <is>
          <t>Valid Accounts (T1078)</t>
        </is>
      </c>
    </row>
    <row r="783">
      <c r="A783" s="78" t="inlineStr">
        <is>
          <t>stealth</t>
        </is>
      </c>
      <c r="B783" s="74" t="inlineStr">
        <is>
          <t>T1078</t>
        </is>
      </c>
      <c r="C783" s="74" t="inlineStr">
        <is>
          <t>T1078.001</t>
        </is>
      </c>
      <c r="D783" s="78" t="inlineStr">
        <is>
          <t>Default Accounts (T1078.001)</t>
        </is>
      </c>
    </row>
    <row r="784">
      <c r="A784" s="78" t="inlineStr">
        <is>
          <t>stealth</t>
        </is>
      </c>
      <c r="B784" s="74" t="inlineStr">
        <is>
          <t>T1078</t>
        </is>
      </c>
      <c r="C784" s="74" t="inlineStr">
        <is>
          <t>T1078.002</t>
        </is>
      </c>
      <c r="D784" s="78" t="inlineStr">
        <is>
          <t>Domain Accounts (T1078.002)</t>
        </is>
      </c>
    </row>
    <row r="785">
      <c r="A785" s="78" t="inlineStr">
        <is>
          <t>stealth</t>
        </is>
      </c>
      <c r="B785" s="74" t="inlineStr">
        <is>
          <t>T1078</t>
        </is>
      </c>
      <c r="C785" s="74" t="inlineStr">
        <is>
          <t>T1078.003</t>
        </is>
      </c>
      <c r="D785" s="78" t="inlineStr">
        <is>
          <t>Local Accounts (T1078.003)</t>
        </is>
      </c>
    </row>
    <row r="786">
      <c r="A786" s="78" t="inlineStr">
        <is>
          <t>stealth</t>
        </is>
      </c>
      <c r="B786" s="74" t="inlineStr">
        <is>
          <t>T1078</t>
        </is>
      </c>
      <c r="C786" s="74" t="inlineStr">
        <is>
          <t>T1078.004</t>
        </is>
      </c>
      <c r="D786" s="78" t="inlineStr">
        <is>
          <t>Cloud Accounts (T1078.004)</t>
        </is>
      </c>
    </row>
    <row r="787">
      <c r="A787" s="78" t="inlineStr">
        <is>
          <t>stealth</t>
        </is>
      </c>
      <c r="B787" s="74" t="inlineStr">
        <is>
          <t>T1127</t>
        </is>
      </c>
      <c r="C787" s="74" t="inlineStr">
        <is>
          <t>T1127</t>
        </is>
      </c>
      <c r="D787" s="78" t="inlineStr">
        <is>
          <t>Trusted Developer Utilities Proxy Execution (T1127)</t>
        </is>
      </c>
    </row>
    <row r="788">
      <c r="A788" s="78" t="inlineStr">
        <is>
          <t>stealth</t>
        </is>
      </c>
      <c r="B788" s="74" t="inlineStr">
        <is>
          <t>T1127</t>
        </is>
      </c>
      <c r="C788" s="74" t="inlineStr">
        <is>
          <t>T1127.001</t>
        </is>
      </c>
      <c r="D788" s="78" t="inlineStr">
        <is>
          <t>MSBuild (T1127.001)</t>
        </is>
      </c>
    </row>
    <row r="789">
      <c r="A789" s="78" t="inlineStr">
        <is>
          <t>stealth</t>
        </is>
      </c>
      <c r="B789" s="74" t="inlineStr">
        <is>
          <t>T1127</t>
        </is>
      </c>
      <c r="C789" s="74" t="inlineStr">
        <is>
          <t>T1127.002</t>
        </is>
      </c>
      <c r="D789" s="78" t="inlineStr">
        <is>
          <t>ClickOnce (T1127.002)</t>
        </is>
      </c>
    </row>
    <row r="790">
      <c r="A790" s="78" t="inlineStr">
        <is>
          <t>stealth</t>
        </is>
      </c>
      <c r="B790" s="74" t="inlineStr">
        <is>
          <t>T1127</t>
        </is>
      </c>
      <c r="C790" s="74" t="inlineStr">
        <is>
          <t>T1127.003</t>
        </is>
      </c>
      <c r="D790" s="78" t="inlineStr">
        <is>
          <t>JamPlus (T1127.003)</t>
        </is>
      </c>
    </row>
    <row r="791">
      <c r="A791" s="78" t="inlineStr">
        <is>
          <t>stealth</t>
        </is>
      </c>
      <c r="B791" s="74" t="inlineStr">
        <is>
          <t>T1134</t>
        </is>
      </c>
      <c r="C791" s="74" t="inlineStr">
        <is>
          <t>T1134</t>
        </is>
      </c>
      <c r="D791" s="78" t="inlineStr">
        <is>
          <t>Access Token Manipulation (T1134)</t>
        </is>
      </c>
    </row>
    <row r="792">
      <c r="A792" s="78" t="inlineStr">
        <is>
          <t>stealth</t>
        </is>
      </c>
      <c r="B792" s="74" t="inlineStr">
        <is>
          <t>T1134</t>
        </is>
      </c>
      <c r="C792" s="74" t="inlineStr">
        <is>
          <t>T1134.001</t>
        </is>
      </c>
      <c r="D792" s="78" t="inlineStr">
        <is>
          <t>Token Impersonation/Theft (T1134.001)</t>
        </is>
      </c>
    </row>
    <row r="793">
      <c r="A793" s="78" t="inlineStr">
        <is>
          <t>stealth</t>
        </is>
      </c>
      <c r="B793" s="74" t="inlineStr">
        <is>
          <t>T1134</t>
        </is>
      </c>
      <c r="C793" s="74" t="inlineStr">
        <is>
          <t>T1134.002</t>
        </is>
      </c>
      <c r="D793" s="78" t="inlineStr">
        <is>
          <t>Create Process with Token (T1134.002)</t>
        </is>
      </c>
    </row>
    <row r="794">
      <c r="A794" s="78" t="inlineStr">
        <is>
          <t>stealth</t>
        </is>
      </c>
      <c r="B794" s="74" t="inlineStr">
        <is>
          <t>T1134</t>
        </is>
      </c>
      <c r="C794" s="74" t="inlineStr">
        <is>
          <t>T1134.003</t>
        </is>
      </c>
      <c r="D794" s="78" t="inlineStr">
        <is>
          <t>Make and Impersonate Token (T1134.003)</t>
        </is>
      </c>
    </row>
    <row r="795">
      <c r="A795" s="78" t="inlineStr">
        <is>
          <t>stealth</t>
        </is>
      </c>
      <c r="B795" s="74" t="inlineStr">
        <is>
          <t>T1134</t>
        </is>
      </c>
      <c r="C795" s="74" t="inlineStr">
        <is>
          <t>T1134.004</t>
        </is>
      </c>
      <c r="D795" s="78" t="inlineStr">
        <is>
          <t>Parent PID Spoofing (T1134.004)</t>
        </is>
      </c>
    </row>
    <row r="796">
      <c r="A796" s="78" t="inlineStr">
        <is>
          <t>stealth</t>
        </is>
      </c>
      <c r="B796" s="74" t="inlineStr">
        <is>
          <t>T1134</t>
        </is>
      </c>
      <c r="C796" s="74" t="inlineStr">
        <is>
          <t>T1134.005</t>
        </is>
      </c>
      <c r="D796" s="78" t="inlineStr">
        <is>
          <t>SID-History Injection (T1134.005)</t>
        </is>
      </c>
    </row>
    <row r="797">
      <c r="A797" s="78" t="inlineStr">
        <is>
          <t>stealth</t>
        </is>
      </c>
      <c r="B797" s="74" t="inlineStr">
        <is>
          <t>T1140</t>
        </is>
      </c>
      <c r="C797" s="74" t="inlineStr">
        <is>
          <t>T1140</t>
        </is>
      </c>
      <c r="D797" s="78" t="inlineStr">
        <is>
          <t>Deobfuscate/Decode Files or Information (T1140)</t>
        </is>
      </c>
    </row>
    <row r="798">
      <c r="A798" s="78" t="inlineStr">
        <is>
          <t>stealth</t>
        </is>
      </c>
      <c r="B798" s="74" t="inlineStr">
        <is>
          <t>T1197</t>
        </is>
      </c>
      <c r="C798" s="74" t="inlineStr">
        <is>
          <t>T1197</t>
        </is>
      </c>
      <c r="D798" s="78" t="inlineStr">
        <is>
          <t>BITS Jobs (T1197)</t>
        </is>
      </c>
    </row>
    <row r="799">
      <c r="A799" s="78" t="inlineStr">
        <is>
          <t>stealth</t>
        </is>
      </c>
      <c r="B799" s="74" t="inlineStr">
        <is>
          <t>T1202</t>
        </is>
      </c>
      <c r="C799" s="74" t="inlineStr">
        <is>
          <t>T1202</t>
        </is>
      </c>
      <c r="D799" s="78" t="inlineStr">
        <is>
          <t>Indirect Command Execution (T1202)</t>
        </is>
      </c>
    </row>
    <row r="800">
      <c r="A800" s="78" t="inlineStr">
        <is>
          <t>stealth</t>
        </is>
      </c>
      <c r="B800" s="74" t="inlineStr">
        <is>
          <t>T1205</t>
        </is>
      </c>
      <c r="C800" s="74" t="inlineStr">
        <is>
          <t>T1205</t>
        </is>
      </c>
      <c r="D800" s="78" t="inlineStr">
        <is>
          <t>Traffic Signaling (T1205)</t>
        </is>
      </c>
    </row>
    <row r="801">
      <c r="A801" s="78" t="inlineStr">
        <is>
          <t>stealth</t>
        </is>
      </c>
      <c r="B801" s="74" t="inlineStr">
        <is>
          <t>T1205</t>
        </is>
      </c>
      <c r="C801" s="74" t="inlineStr">
        <is>
          <t>T1205.001</t>
        </is>
      </c>
      <c r="D801" s="78" t="inlineStr">
        <is>
          <t>Port Knocking (T1205.001)</t>
        </is>
      </c>
    </row>
    <row r="802">
      <c r="A802" s="78" t="inlineStr">
        <is>
          <t>stealth</t>
        </is>
      </c>
      <c r="B802" s="74" t="inlineStr">
        <is>
          <t>T1205</t>
        </is>
      </c>
      <c r="C802" s="74" t="inlineStr">
        <is>
          <t>T1205.002</t>
        </is>
      </c>
      <c r="D802" s="78" t="inlineStr">
        <is>
          <t>Socket Filters (T1205.002)</t>
        </is>
      </c>
    </row>
    <row r="803">
      <c r="A803" s="78" t="inlineStr">
        <is>
          <t>stealth</t>
        </is>
      </c>
      <c r="B803" s="74" t="inlineStr">
        <is>
          <t>T1211</t>
        </is>
      </c>
      <c r="C803" s="74" t="inlineStr">
        <is>
          <t>T1211</t>
        </is>
      </c>
      <c r="D803" s="78" t="inlineStr">
        <is>
          <t>Exploitation for Stealth (T1211)</t>
        </is>
      </c>
    </row>
    <row r="804">
      <c r="A804" s="78" t="inlineStr">
        <is>
          <t>stealth</t>
        </is>
      </c>
      <c r="B804" s="74" t="inlineStr">
        <is>
          <t>T1216</t>
        </is>
      </c>
      <c r="C804" s="74" t="inlineStr">
        <is>
          <t>T1216</t>
        </is>
      </c>
      <c r="D804" s="78" t="inlineStr">
        <is>
          <t>System Script Proxy Execution (T1216)</t>
        </is>
      </c>
    </row>
    <row r="805">
      <c r="A805" s="78" t="inlineStr">
        <is>
          <t>stealth</t>
        </is>
      </c>
      <c r="B805" s="74" t="inlineStr">
        <is>
          <t>T1216</t>
        </is>
      </c>
      <c r="C805" s="74" t="inlineStr">
        <is>
          <t>T1216.001</t>
        </is>
      </c>
      <c r="D805" s="78" t="inlineStr">
        <is>
          <t>PubPrn (T1216.001)</t>
        </is>
      </c>
    </row>
    <row r="806">
      <c r="A806" s="78" t="inlineStr">
        <is>
          <t>stealth</t>
        </is>
      </c>
      <c r="B806" s="74" t="inlineStr">
        <is>
          <t>T1216</t>
        </is>
      </c>
      <c r="C806" s="74" t="inlineStr">
        <is>
          <t>T1216.002</t>
        </is>
      </c>
      <c r="D806" s="78" t="inlineStr">
        <is>
          <t>SyncAppvPublishingServer (T1216.002)</t>
        </is>
      </c>
    </row>
    <row r="807">
      <c r="A807" s="78" t="inlineStr">
        <is>
          <t>stealth</t>
        </is>
      </c>
      <c r="B807" s="74" t="inlineStr">
        <is>
          <t>T1218</t>
        </is>
      </c>
      <c r="C807" s="74" t="inlineStr">
        <is>
          <t>T1218</t>
        </is>
      </c>
      <c r="D807" s="78" t="inlineStr">
        <is>
          <t>System Binary Proxy Execution (T1218)</t>
        </is>
      </c>
    </row>
    <row r="808">
      <c r="A808" s="78" t="inlineStr">
        <is>
          <t>stealth</t>
        </is>
      </c>
      <c r="B808" s="74" t="inlineStr">
        <is>
          <t>T1218</t>
        </is>
      </c>
      <c r="C808" s="74" t="inlineStr">
        <is>
          <t>T1218.001</t>
        </is>
      </c>
      <c r="D808" s="78" t="inlineStr">
        <is>
          <t>Compiled HTML File (T1218.001)</t>
        </is>
      </c>
    </row>
    <row r="809">
      <c r="A809" s="78" t="inlineStr">
        <is>
          <t>stealth</t>
        </is>
      </c>
      <c r="B809" s="74" t="inlineStr">
        <is>
          <t>T1218</t>
        </is>
      </c>
      <c r="C809" s="74" t="inlineStr">
        <is>
          <t>T1218.002</t>
        </is>
      </c>
      <c r="D809" s="78" t="inlineStr">
        <is>
          <t>Control Panel (T1218.002)</t>
        </is>
      </c>
    </row>
    <row r="810">
      <c r="A810" s="78" t="inlineStr">
        <is>
          <t>stealth</t>
        </is>
      </c>
      <c r="B810" s="74" t="inlineStr">
        <is>
          <t>T1218</t>
        </is>
      </c>
      <c r="C810" s="74" t="inlineStr">
        <is>
          <t>T1218.003</t>
        </is>
      </c>
      <c r="D810" s="78" t="inlineStr">
        <is>
          <t>CMSTP (T1218.003)</t>
        </is>
      </c>
    </row>
    <row r="811">
      <c r="A811" s="78" t="inlineStr">
        <is>
          <t>stealth</t>
        </is>
      </c>
      <c r="B811" s="74" t="inlineStr">
        <is>
          <t>T1218</t>
        </is>
      </c>
      <c r="C811" s="74" t="inlineStr">
        <is>
          <t>T1218.004</t>
        </is>
      </c>
      <c r="D811" s="78" t="inlineStr">
        <is>
          <t>InstallUtil (T1218.004)</t>
        </is>
      </c>
    </row>
    <row r="812">
      <c r="A812" s="78" t="inlineStr">
        <is>
          <t>stealth</t>
        </is>
      </c>
      <c r="B812" s="74" t="inlineStr">
        <is>
          <t>T1218</t>
        </is>
      </c>
      <c r="C812" s="74" t="inlineStr">
        <is>
          <t>T1218.005</t>
        </is>
      </c>
      <c r="D812" s="78" t="inlineStr">
        <is>
          <t>Mshta (T1218.005)</t>
        </is>
      </c>
    </row>
    <row r="813">
      <c r="A813" s="78" t="inlineStr">
        <is>
          <t>stealth</t>
        </is>
      </c>
      <c r="B813" s="74" t="inlineStr">
        <is>
          <t>T1218</t>
        </is>
      </c>
      <c r="C813" s="74" t="inlineStr">
        <is>
          <t>T1218.007</t>
        </is>
      </c>
      <c r="D813" s="78" t="inlineStr">
        <is>
          <t>Msiexec (T1218.007)</t>
        </is>
      </c>
    </row>
    <row r="814">
      <c r="A814" s="78" t="inlineStr">
        <is>
          <t>stealth</t>
        </is>
      </c>
      <c r="B814" s="74" t="inlineStr">
        <is>
          <t>T1218</t>
        </is>
      </c>
      <c r="C814" s="74" t="inlineStr">
        <is>
          <t>T1218.008</t>
        </is>
      </c>
      <c r="D814" s="78" t="inlineStr">
        <is>
          <t>Odbcconf (T1218.008)</t>
        </is>
      </c>
    </row>
    <row r="815">
      <c r="A815" s="78" t="inlineStr">
        <is>
          <t>stealth</t>
        </is>
      </c>
      <c r="B815" s="74" t="inlineStr">
        <is>
          <t>T1218</t>
        </is>
      </c>
      <c r="C815" s="74" t="inlineStr">
        <is>
          <t>T1218.009</t>
        </is>
      </c>
      <c r="D815" s="78" t="inlineStr">
        <is>
          <t>Regsvcs/Regasm (T1218.009)</t>
        </is>
      </c>
    </row>
    <row r="816">
      <c r="A816" s="78" t="inlineStr">
        <is>
          <t>stealth</t>
        </is>
      </c>
      <c r="B816" s="74" t="inlineStr">
        <is>
          <t>T1218</t>
        </is>
      </c>
      <c r="C816" s="74" t="inlineStr">
        <is>
          <t>T1218.010</t>
        </is>
      </c>
      <c r="D816" s="78" t="inlineStr">
        <is>
          <t>Regsvr32 (T1218.010)</t>
        </is>
      </c>
    </row>
    <row r="817">
      <c r="A817" s="78" t="inlineStr">
        <is>
          <t>stealth</t>
        </is>
      </c>
      <c r="B817" s="74" t="inlineStr">
        <is>
          <t>T1218</t>
        </is>
      </c>
      <c r="C817" s="74" t="inlineStr">
        <is>
          <t>T1218.011</t>
        </is>
      </c>
      <c r="D817" s="78" t="inlineStr">
        <is>
          <t>Rundll32 (T1218.011)</t>
        </is>
      </c>
    </row>
    <row r="818">
      <c r="A818" s="78" t="inlineStr">
        <is>
          <t>stealth</t>
        </is>
      </c>
      <c r="B818" s="74" t="inlineStr">
        <is>
          <t>T1218</t>
        </is>
      </c>
      <c r="C818" s="74" t="inlineStr">
        <is>
          <t>T1218.012</t>
        </is>
      </c>
      <c r="D818" s="78" t="inlineStr">
        <is>
          <t>Verclsid (T1218.012)</t>
        </is>
      </c>
    </row>
    <row r="819">
      <c r="A819" s="78" t="inlineStr">
        <is>
          <t>stealth</t>
        </is>
      </c>
      <c r="B819" s="74" t="inlineStr">
        <is>
          <t>T1218</t>
        </is>
      </c>
      <c r="C819" s="74" t="inlineStr">
        <is>
          <t>T1218.013</t>
        </is>
      </c>
      <c r="D819" s="78" t="inlineStr">
        <is>
          <t>Mavinject (T1218.013)</t>
        </is>
      </c>
    </row>
    <row r="820">
      <c r="A820" s="78" t="inlineStr">
        <is>
          <t>stealth</t>
        </is>
      </c>
      <c r="B820" s="74" t="inlineStr">
        <is>
          <t>T1218</t>
        </is>
      </c>
      <c r="C820" s="74" t="inlineStr">
        <is>
          <t>T1218.014</t>
        </is>
      </c>
      <c r="D820" s="78" t="inlineStr">
        <is>
          <t>MMC (T1218.014)</t>
        </is>
      </c>
    </row>
    <row r="821">
      <c r="A821" s="78" t="inlineStr">
        <is>
          <t>stealth</t>
        </is>
      </c>
      <c r="B821" s="74" t="inlineStr">
        <is>
          <t>T1218</t>
        </is>
      </c>
      <c r="C821" s="74" t="inlineStr">
        <is>
          <t>T1218.015</t>
        </is>
      </c>
      <c r="D821" s="78" t="inlineStr">
        <is>
          <t>Electron Applications (T1218.015)</t>
        </is>
      </c>
    </row>
    <row r="822">
      <c r="A822" s="78" t="inlineStr">
        <is>
          <t>stealth</t>
        </is>
      </c>
      <c r="B822" s="74" t="inlineStr">
        <is>
          <t>T1220</t>
        </is>
      </c>
      <c r="C822" s="74" t="inlineStr">
        <is>
          <t>T1220</t>
        </is>
      </c>
      <c r="D822" s="78" t="inlineStr">
        <is>
          <t>XSL Script Processing (T1220)</t>
        </is>
      </c>
    </row>
    <row r="823">
      <c r="A823" s="78" t="inlineStr">
        <is>
          <t>stealth</t>
        </is>
      </c>
      <c r="B823" s="74" t="inlineStr">
        <is>
          <t>T1221</t>
        </is>
      </c>
      <c r="C823" s="74" t="inlineStr">
        <is>
          <t>T1221</t>
        </is>
      </c>
      <c r="D823" s="78" t="inlineStr">
        <is>
          <t>Template Injection (T1221)</t>
        </is>
      </c>
    </row>
    <row r="824">
      <c r="A824" s="78" t="inlineStr">
        <is>
          <t>stealth</t>
        </is>
      </c>
      <c r="B824" s="74" t="inlineStr">
        <is>
          <t>T1480</t>
        </is>
      </c>
      <c r="C824" s="74" t="inlineStr">
        <is>
          <t>T1480</t>
        </is>
      </c>
      <c r="D824" s="78" t="inlineStr">
        <is>
          <t>Execution Guardrails (T1480)</t>
        </is>
      </c>
    </row>
    <row r="825">
      <c r="A825" s="78" t="inlineStr">
        <is>
          <t>stealth</t>
        </is>
      </c>
      <c r="B825" s="74" t="inlineStr">
        <is>
          <t>T1480</t>
        </is>
      </c>
      <c r="C825" s="74" t="inlineStr">
        <is>
          <t>T1480.001</t>
        </is>
      </c>
      <c r="D825" s="78" t="inlineStr">
        <is>
          <t>Environmental Keying (T1480.001)</t>
        </is>
      </c>
    </row>
    <row r="826">
      <c r="A826" s="78" t="inlineStr">
        <is>
          <t>stealth</t>
        </is>
      </c>
      <c r="B826" s="74" t="inlineStr">
        <is>
          <t>T1480</t>
        </is>
      </c>
      <c r="C826" s="74" t="inlineStr">
        <is>
          <t>T1480.002</t>
        </is>
      </c>
      <c r="D826" s="78" t="inlineStr">
        <is>
          <t>Mutual Exclusion (T1480.002)</t>
        </is>
      </c>
    </row>
    <row r="827">
      <c r="A827" s="78" t="inlineStr">
        <is>
          <t>stealth</t>
        </is>
      </c>
      <c r="B827" s="74" t="inlineStr">
        <is>
          <t>T1497</t>
        </is>
      </c>
      <c r="C827" s="74" t="inlineStr">
        <is>
          <t>T1497</t>
        </is>
      </c>
      <c r="D827" s="78" t="inlineStr">
        <is>
          <t>Virtualization/Sandbox Evasion (T1497)</t>
        </is>
      </c>
    </row>
    <row r="828">
      <c r="A828" s="78" t="inlineStr">
        <is>
          <t>stealth</t>
        </is>
      </c>
      <c r="B828" s="74" t="inlineStr">
        <is>
          <t>T1497</t>
        </is>
      </c>
      <c r="C828" s="74" t="inlineStr">
        <is>
          <t>T1497.001</t>
        </is>
      </c>
      <c r="D828" s="78" t="inlineStr">
        <is>
          <t>System Checks (T1497.001)</t>
        </is>
      </c>
    </row>
    <row r="829">
      <c r="A829" s="78" t="inlineStr">
        <is>
          <t>stealth</t>
        </is>
      </c>
      <c r="B829" s="74" t="inlineStr">
        <is>
          <t>T1497</t>
        </is>
      </c>
      <c r="C829" s="74" t="inlineStr">
        <is>
          <t>T1497.002</t>
        </is>
      </c>
      <c r="D829" s="78" t="inlineStr">
        <is>
          <t>User Activity Based Checks (T1497.002)</t>
        </is>
      </c>
    </row>
    <row r="830">
      <c r="A830" s="78" t="inlineStr">
        <is>
          <t>stealth</t>
        </is>
      </c>
      <c r="B830" s="74" t="inlineStr">
        <is>
          <t>T1497</t>
        </is>
      </c>
      <c r="C830" s="74" t="inlineStr">
        <is>
          <t>T1497.003</t>
        </is>
      </c>
      <c r="D830" s="78" t="inlineStr">
        <is>
          <t>Time Based Checks (T1497.003)</t>
        </is>
      </c>
    </row>
    <row r="831">
      <c r="A831" s="78" t="inlineStr">
        <is>
          <t>stealth</t>
        </is>
      </c>
      <c r="B831" s="74" t="inlineStr">
        <is>
          <t>T1535</t>
        </is>
      </c>
      <c r="C831" s="74" t="inlineStr">
        <is>
          <t>T1535</t>
        </is>
      </c>
      <c r="D831" s="78" t="inlineStr">
        <is>
          <t>Unused/Unsupported Cloud Regions (T1535)</t>
        </is>
      </c>
    </row>
    <row r="832">
      <c r="A832" s="78" t="inlineStr">
        <is>
          <t>stealth</t>
        </is>
      </c>
      <c r="B832" s="74" t="inlineStr">
        <is>
          <t>T1542</t>
        </is>
      </c>
      <c r="C832" s="74" t="inlineStr">
        <is>
          <t>T1542</t>
        </is>
      </c>
      <c r="D832" s="78" t="inlineStr">
        <is>
          <t>Pre-OS Boot (T1542)</t>
        </is>
      </c>
    </row>
    <row r="833">
      <c r="A833" s="78" t="inlineStr">
        <is>
          <t>stealth</t>
        </is>
      </c>
      <c r="B833" s="74" t="inlineStr">
        <is>
          <t>T1542</t>
        </is>
      </c>
      <c r="C833" s="74" t="inlineStr">
        <is>
          <t>T1542.001</t>
        </is>
      </c>
      <c r="D833" s="78" t="inlineStr">
        <is>
          <t>System Firmware (T1542.001)</t>
        </is>
      </c>
    </row>
    <row r="834">
      <c r="A834" s="78" t="inlineStr">
        <is>
          <t>stealth</t>
        </is>
      </c>
      <c r="B834" s="74" t="inlineStr">
        <is>
          <t>T1542</t>
        </is>
      </c>
      <c r="C834" s="74" t="inlineStr">
        <is>
          <t>T1542.002</t>
        </is>
      </c>
      <c r="D834" s="78" t="inlineStr">
        <is>
          <t>Component Firmware (T1542.002)</t>
        </is>
      </c>
    </row>
    <row r="835">
      <c r="A835" s="78" t="inlineStr">
        <is>
          <t>stealth</t>
        </is>
      </c>
      <c r="B835" s="74" t="inlineStr">
        <is>
          <t>T1542</t>
        </is>
      </c>
      <c r="C835" s="74" t="inlineStr">
        <is>
          <t>T1542.003</t>
        </is>
      </c>
      <c r="D835" s="78" t="inlineStr">
        <is>
          <t>Bootkit (T1542.003)</t>
        </is>
      </c>
    </row>
    <row r="836">
      <c r="A836" s="78" t="inlineStr">
        <is>
          <t>stealth</t>
        </is>
      </c>
      <c r="B836" s="74" t="inlineStr">
        <is>
          <t>T1542</t>
        </is>
      </c>
      <c r="C836" s="74" t="inlineStr">
        <is>
          <t>T1542.004</t>
        </is>
      </c>
      <c r="D836" s="78" t="inlineStr">
        <is>
          <t>ROMMONkit (T1542.004)</t>
        </is>
      </c>
    </row>
    <row r="837">
      <c r="A837" s="78" t="inlineStr">
        <is>
          <t>stealth</t>
        </is>
      </c>
      <c r="B837" s="74" t="inlineStr">
        <is>
          <t>T1542</t>
        </is>
      </c>
      <c r="C837" s="74" t="inlineStr">
        <is>
          <t>T1542.005</t>
        </is>
      </c>
      <c r="D837" s="78" t="inlineStr">
        <is>
          <t>TFTP Boot (T1542.005)</t>
        </is>
      </c>
    </row>
    <row r="838">
      <c r="A838" s="78" t="inlineStr">
        <is>
          <t>stealth</t>
        </is>
      </c>
      <c r="B838" s="74" t="inlineStr">
        <is>
          <t>T1564</t>
        </is>
      </c>
      <c r="C838" s="74" t="inlineStr">
        <is>
          <t>T1564</t>
        </is>
      </c>
      <c r="D838" s="78" t="inlineStr">
        <is>
          <t>Hide Artifacts (T1564)</t>
        </is>
      </c>
    </row>
    <row r="839">
      <c r="A839" s="78" t="inlineStr">
        <is>
          <t>stealth</t>
        </is>
      </c>
      <c r="B839" s="74" t="inlineStr">
        <is>
          <t>T1564</t>
        </is>
      </c>
      <c r="C839" s="74" t="inlineStr">
        <is>
          <t>T1564.001</t>
        </is>
      </c>
      <c r="D839" s="78" t="inlineStr">
        <is>
          <t>Hidden Files and Directories (T1564.001)</t>
        </is>
      </c>
    </row>
    <row r="840">
      <c r="A840" s="78" t="inlineStr">
        <is>
          <t>stealth</t>
        </is>
      </c>
      <c r="B840" s="74" t="inlineStr">
        <is>
          <t>T1564</t>
        </is>
      </c>
      <c r="C840" s="74" t="inlineStr">
        <is>
          <t>T1564.002</t>
        </is>
      </c>
      <c r="D840" s="78" t="inlineStr">
        <is>
          <t>Hidden Users (T1564.002)</t>
        </is>
      </c>
    </row>
    <row r="841">
      <c r="A841" s="78" t="inlineStr">
        <is>
          <t>stealth</t>
        </is>
      </c>
      <c r="B841" s="74" t="inlineStr">
        <is>
          <t>T1564</t>
        </is>
      </c>
      <c r="C841" s="74" t="inlineStr">
        <is>
          <t>T1564.003</t>
        </is>
      </c>
      <c r="D841" s="78" t="inlineStr">
        <is>
          <t>Hidden Window (T1564.003)</t>
        </is>
      </c>
    </row>
    <row r="842">
      <c r="A842" s="78" t="inlineStr">
        <is>
          <t>stealth</t>
        </is>
      </c>
      <c r="B842" s="74" t="inlineStr">
        <is>
          <t>T1564</t>
        </is>
      </c>
      <c r="C842" s="74" t="inlineStr">
        <is>
          <t>T1564.004</t>
        </is>
      </c>
      <c r="D842" s="78" t="inlineStr">
        <is>
          <t>NTFS File Attributes (T1564.004)</t>
        </is>
      </c>
    </row>
    <row r="843">
      <c r="A843" s="78" t="inlineStr">
        <is>
          <t>stealth</t>
        </is>
      </c>
      <c r="B843" s="74" t="inlineStr">
        <is>
          <t>T1564</t>
        </is>
      </c>
      <c r="C843" s="74" t="inlineStr">
        <is>
          <t>T1564.005</t>
        </is>
      </c>
      <c r="D843" s="78" t="inlineStr">
        <is>
          <t>Hidden File System (T1564.005)</t>
        </is>
      </c>
    </row>
    <row r="844">
      <c r="A844" s="78" t="inlineStr">
        <is>
          <t>stealth</t>
        </is>
      </c>
      <c r="B844" s="74" t="inlineStr">
        <is>
          <t>T1564</t>
        </is>
      </c>
      <c r="C844" s="74" t="inlineStr">
        <is>
          <t>T1564.006</t>
        </is>
      </c>
      <c r="D844" s="78" t="inlineStr">
        <is>
          <t>Run Virtual Instance (T1564.006)</t>
        </is>
      </c>
    </row>
    <row r="845">
      <c r="A845" s="78" t="inlineStr">
        <is>
          <t>stealth</t>
        </is>
      </c>
      <c r="B845" s="74" t="inlineStr">
        <is>
          <t>T1564</t>
        </is>
      </c>
      <c r="C845" s="74" t="inlineStr">
        <is>
          <t>T1564.007</t>
        </is>
      </c>
      <c r="D845" s="78" t="inlineStr">
        <is>
          <t>VBA Stomping (T1564.007)</t>
        </is>
      </c>
    </row>
    <row r="846">
      <c r="A846" s="78" t="inlineStr">
        <is>
          <t>stealth</t>
        </is>
      </c>
      <c r="B846" s="74" t="inlineStr">
        <is>
          <t>T1564</t>
        </is>
      </c>
      <c r="C846" s="74" t="inlineStr">
        <is>
          <t>T1564.008</t>
        </is>
      </c>
      <c r="D846" s="78" t="inlineStr">
        <is>
          <t>Email Hiding Rules (T1564.008)</t>
        </is>
      </c>
    </row>
    <row r="847">
      <c r="A847" s="78" t="inlineStr">
        <is>
          <t>stealth</t>
        </is>
      </c>
      <c r="B847" s="74" t="inlineStr">
        <is>
          <t>T1564</t>
        </is>
      </c>
      <c r="C847" s="74" t="inlineStr">
        <is>
          <t>T1564.009</t>
        </is>
      </c>
      <c r="D847" s="78" t="inlineStr">
        <is>
          <t>Resource Forking (T1564.009)</t>
        </is>
      </c>
    </row>
    <row r="848">
      <c r="A848" s="78" t="inlineStr">
        <is>
          <t>stealth</t>
        </is>
      </c>
      <c r="B848" s="74" t="inlineStr">
        <is>
          <t>T1564</t>
        </is>
      </c>
      <c r="C848" s="74" t="inlineStr">
        <is>
          <t>T1564.010</t>
        </is>
      </c>
      <c r="D848" s="78" t="inlineStr">
        <is>
          <t>Process Argument Spoofing (T1564.010)</t>
        </is>
      </c>
    </row>
    <row r="849">
      <c r="A849" s="78" t="inlineStr">
        <is>
          <t>stealth</t>
        </is>
      </c>
      <c r="B849" s="74" t="inlineStr">
        <is>
          <t>T1564</t>
        </is>
      </c>
      <c r="C849" s="74" t="inlineStr">
        <is>
          <t>T1564.011</t>
        </is>
      </c>
      <c r="D849" s="78" t="inlineStr">
        <is>
          <t>Ignore Process Interrupts (T1564.011)</t>
        </is>
      </c>
    </row>
    <row r="850">
      <c r="A850" s="78" t="inlineStr">
        <is>
          <t>stealth</t>
        </is>
      </c>
      <c r="B850" s="74" t="inlineStr">
        <is>
          <t>T1564</t>
        </is>
      </c>
      <c r="C850" s="74" t="inlineStr">
        <is>
          <t>T1564.012</t>
        </is>
      </c>
      <c r="D850" s="78" t="inlineStr">
        <is>
          <t>File/Path Exclusions (T1564.012)</t>
        </is>
      </c>
    </row>
    <row r="851">
      <c r="A851" s="78" t="inlineStr">
        <is>
          <t>stealth</t>
        </is>
      </c>
      <c r="B851" s="74" t="inlineStr">
        <is>
          <t>T1564</t>
        </is>
      </c>
      <c r="C851" s="74" t="inlineStr">
        <is>
          <t>T1564.013</t>
        </is>
      </c>
      <c r="D851" s="78" t="inlineStr">
        <is>
          <t>Bind Mounts (T1564.013)</t>
        </is>
      </c>
    </row>
    <row r="852">
      <c r="A852" s="78" t="inlineStr">
        <is>
          <t>stealth</t>
        </is>
      </c>
      <c r="B852" s="74" t="inlineStr">
        <is>
          <t>T1564</t>
        </is>
      </c>
      <c r="C852" s="74" t="inlineStr">
        <is>
          <t>T1564.014</t>
        </is>
      </c>
      <c r="D852" s="78" t="inlineStr">
        <is>
          <t>Extended Attributes (T1564.014)</t>
        </is>
      </c>
    </row>
    <row r="853">
      <c r="A853" s="78" t="inlineStr">
        <is>
          <t>stealth</t>
        </is>
      </c>
      <c r="B853" s="74" t="inlineStr">
        <is>
          <t>T1574</t>
        </is>
      </c>
      <c r="C853" s="74" t="inlineStr">
        <is>
          <t>T1574</t>
        </is>
      </c>
      <c r="D853" s="78" t="inlineStr">
        <is>
          <t>Hijack Execution Flow (T1574)</t>
        </is>
      </c>
    </row>
    <row r="854">
      <c r="A854" s="78" t="inlineStr">
        <is>
          <t>stealth</t>
        </is>
      </c>
      <c r="B854" s="74" t="inlineStr">
        <is>
          <t>T1574</t>
        </is>
      </c>
      <c r="C854" s="74" t="inlineStr">
        <is>
          <t>T1574.001</t>
        </is>
      </c>
      <c r="D854" s="78" t="inlineStr">
        <is>
          <t>DLL (T1574.001)</t>
        </is>
      </c>
    </row>
    <row r="855">
      <c r="A855" s="78" t="inlineStr">
        <is>
          <t>stealth</t>
        </is>
      </c>
      <c r="B855" s="74" t="inlineStr">
        <is>
          <t>T1574</t>
        </is>
      </c>
      <c r="C855" s="74" t="inlineStr">
        <is>
          <t>T1574.004</t>
        </is>
      </c>
      <c r="D855" s="78" t="inlineStr">
        <is>
          <t>Dylib Hijacking (T1574.004)</t>
        </is>
      </c>
    </row>
    <row r="856">
      <c r="A856" s="78" t="inlineStr">
        <is>
          <t>stealth</t>
        </is>
      </c>
      <c r="B856" s="74" t="inlineStr">
        <is>
          <t>T1574</t>
        </is>
      </c>
      <c r="C856" s="74" t="inlineStr">
        <is>
          <t>T1574.005</t>
        </is>
      </c>
      <c r="D856" s="78" t="inlineStr">
        <is>
          <t>Executable Installer File Permissions Weakness (T1574.005)</t>
        </is>
      </c>
    </row>
    <row r="857">
      <c r="A857" s="78" t="inlineStr">
        <is>
          <t>stealth</t>
        </is>
      </c>
      <c r="B857" s="74" t="inlineStr">
        <is>
          <t>T1574</t>
        </is>
      </c>
      <c r="C857" s="74" t="inlineStr">
        <is>
          <t>T1574.006</t>
        </is>
      </c>
      <c r="D857" s="78" t="inlineStr">
        <is>
          <t>Dynamic Linker Hijacking (T1574.006)</t>
        </is>
      </c>
    </row>
    <row r="858">
      <c r="A858" s="78" t="inlineStr">
        <is>
          <t>stealth</t>
        </is>
      </c>
      <c r="B858" s="74" t="inlineStr">
        <is>
          <t>T1574</t>
        </is>
      </c>
      <c r="C858" s="74" t="inlineStr">
        <is>
          <t>T1574.007</t>
        </is>
      </c>
      <c r="D858" s="78" t="inlineStr">
        <is>
          <t>Path Interception by PATH Environment Variable (T1574.007)</t>
        </is>
      </c>
    </row>
    <row r="859">
      <c r="A859" s="78" t="inlineStr">
        <is>
          <t>stealth</t>
        </is>
      </c>
      <c r="B859" s="74" t="inlineStr">
        <is>
          <t>T1574</t>
        </is>
      </c>
      <c r="C859" s="74" t="inlineStr">
        <is>
          <t>T1574.008</t>
        </is>
      </c>
      <c r="D859" s="78" t="inlineStr">
        <is>
          <t>Path Interception by Search Order Hijacking (T1574.008)</t>
        </is>
      </c>
    </row>
    <row r="860">
      <c r="A860" s="78" t="inlineStr">
        <is>
          <t>stealth</t>
        </is>
      </c>
      <c r="B860" s="74" t="inlineStr">
        <is>
          <t>T1574</t>
        </is>
      </c>
      <c r="C860" s="74" t="inlineStr">
        <is>
          <t>T1574.009</t>
        </is>
      </c>
      <c r="D860" s="78" t="inlineStr">
        <is>
          <t>Path Interception by Unquoted Path (T1574.009)</t>
        </is>
      </c>
    </row>
    <row r="861">
      <c r="A861" s="78" t="inlineStr">
        <is>
          <t>stealth</t>
        </is>
      </c>
      <c r="B861" s="74" t="inlineStr">
        <is>
          <t>T1574</t>
        </is>
      </c>
      <c r="C861" s="74" t="inlineStr">
        <is>
          <t>T1574.010</t>
        </is>
      </c>
      <c r="D861" s="78" t="inlineStr">
        <is>
          <t>Services File Permissions Weakness (T1574.010)</t>
        </is>
      </c>
    </row>
    <row r="862">
      <c r="A862" s="78" t="inlineStr">
        <is>
          <t>stealth</t>
        </is>
      </c>
      <c r="B862" s="74" t="inlineStr">
        <is>
          <t>T1574</t>
        </is>
      </c>
      <c r="C862" s="74" t="inlineStr">
        <is>
          <t>T1574.011</t>
        </is>
      </c>
      <c r="D862" s="78" t="inlineStr">
        <is>
          <t>Services Registry Permissions Weakness (T1574.011)</t>
        </is>
      </c>
    </row>
    <row r="863">
      <c r="A863" s="78" t="inlineStr">
        <is>
          <t>stealth</t>
        </is>
      </c>
      <c r="B863" s="74" t="inlineStr">
        <is>
          <t>T1574</t>
        </is>
      </c>
      <c r="C863" s="74" t="inlineStr">
        <is>
          <t>T1574.012</t>
        </is>
      </c>
      <c r="D863" s="78" t="inlineStr">
        <is>
          <t>COR_PROFILER (T1574.012)</t>
        </is>
      </c>
    </row>
    <row r="864">
      <c r="A864" s="78" t="inlineStr">
        <is>
          <t>stealth</t>
        </is>
      </c>
      <c r="B864" s="74" t="inlineStr">
        <is>
          <t>T1574</t>
        </is>
      </c>
      <c r="C864" s="74" t="inlineStr">
        <is>
          <t>T1574.013</t>
        </is>
      </c>
      <c r="D864" s="78" t="inlineStr">
        <is>
          <t>KernelCallbackTable (T1574.013)</t>
        </is>
      </c>
    </row>
    <row r="865">
      <c r="A865" s="78" t="inlineStr">
        <is>
          <t>stealth</t>
        </is>
      </c>
      <c r="B865" s="74" t="inlineStr">
        <is>
          <t>T1574</t>
        </is>
      </c>
      <c r="C865" s="74" t="inlineStr">
        <is>
          <t>T1574.014</t>
        </is>
      </c>
      <c r="D865" s="78" t="inlineStr">
        <is>
          <t>AppDomainManager (T1574.014)</t>
        </is>
      </c>
    </row>
    <row r="866">
      <c r="A866" s="78" t="inlineStr">
        <is>
          <t>stealth</t>
        </is>
      </c>
      <c r="B866" s="74" t="inlineStr">
        <is>
          <t>T1612</t>
        </is>
      </c>
      <c r="C866" s="74" t="inlineStr">
        <is>
          <t>T1612</t>
        </is>
      </c>
      <c r="D866" s="78" t="inlineStr">
        <is>
          <t>Build Image on Host (T1612)</t>
        </is>
      </c>
    </row>
    <row r="867">
      <c r="A867" s="78" t="inlineStr">
        <is>
          <t>stealth</t>
        </is>
      </c>
      <c r="B867" s="74" t="inlineStr">
        <is>
          <t>T1620</t>
        </is>
      </c>
      <c r="C867" s="74" t="inlineStr">
        <is>
          <t>T1620</t>
        </is>
      </c>
      <c r="D867" s="78" t="inlineStr">
        <is>
          <t>Reflective Code Loading (T1620)</t>
        </is>
      </c>
    </row>
    <row r="868">
      <c r="A868" s="78" t="inlineStr">
        <is>
          <t>stealth</t>
        </is>
      </c>
      <c r="B868" s="74" t="inlineStr">
        <is>
          <t>T1622</t>
        </is>
      </c>
      <c r="C868" s="74" t="inlineStr">
        <is>
          <t>T1622</t>
        </is>
      </c>
      <c r="D868" s="78" t="inlineStr">
        <is>
          <t>Debugger Evasion (T1622)</t>
        </is>
      </c>
    </row>
    <row r="869">
      <c r="A869" s="78" t="inlineStr">
        <is>
          <t>stealth</t>
        </is>
      </c>
      <c r="B869" s="74" t="inlineStr">
        <is>
          <t>T1678</t>
        </is>
      </c>
      <c r="C869" s="74" t="inlineStr">
        <is>
          <t>T1678</t>
        </is>
      </c>
      <c r="D869" s="78" t="inlineStr">
        <is>
          <t>Delay Execution (T1678)</t>
        </is>
      </c>
    </row>
    <row r="870">
      <c r="A870" s="78" t="inlineStr">
        <is>
          <t>stealth</t>
        </is>
      </c>
      <c r="B870" s="74" t="inlineStr">
        <is>
          <t>T1679</t>
        </is>
      </c>
      <c r="C870" s="74" t="inlineStr">
        <is>
          <t>T1679</t>
        </is>
      </c>
      <c r="D870" s="78" t="inlineStr">
        <is>
          <t>Selective Exclusion (T1679)</t>
        </is>
      </c>
    </row>
    <row r="871">
      <c r="A871" s="78" t="inlineStr">
        <is>
          <t>stealth</t>
        </is>
      </c>
      <c r="B871" s="74" t="inlineStr">
        <is>
          <t>T1684</t>
        </is>
      </c>
      <c r="C871" s="74" t="inlineStr">
        <is>
          <t>T1684</t>
        </is>
      </c>
      <c r="D871" s="78" t="inlineStr">
        <is>
          <t>Social Engineering (T1684)</t>
        </is>
      </c>
    </row>
    <row r="872">
      <c r="A872" s="78" t="inlineStr">
        <is>
          <t>stealth</t>
        </is>
      </c>
      <c r="B872" s="74" t="inlineStr">
        <is>
          <t>T1684</t>
        </is>
      </c>
      <c r="C872" s="74" t="inlineStr">
        <is>
          <t>T1684.001</t>
        </is>
      </c>
      <c r="D872" s="78" t="inlineStr">
        <is>
          <t>Impersonation (T1684.001)</t>
        </is>
      </c>
    </row>
    <row r="873">
      <c r="A873" s="78" t="inlineStr">
        <is>
          <t>stealth</t>
        </is>
      </c>
      <c r="B873" s="74" t="inlineStr">
        <is>
          <t>T1684</t>
        </is>
      </c>
      <c r="C873" s="74" t="inlineStr">
        <is>
          <t>T1684.002</t>
        </is>
      </c>
      <c r="D873" s="78" t="inlineStr">
        <is>
          <t>Email Spoofing (T1684.002)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pane ySplit="1" topLeftCell="A83" activePane="bottomLeft" state="frozen"/>
      <selection pane="bottomLeft" activeCell="E111" sqref="E111"/>
    </sheetView>
  </sheetViews>
  <sheetFormatPr baseColWidth="8" defaultRowHeight="12.75"/>
  <cols>
    <col width="45.140625" bestFit="1" customWidth="1" style="78" min="1" max="1"/>
    <col width="15.42578125" customWidth="1" style="74" min="2" max="2"/>
    <col width="27" customWidth="1" style="78" min="3" max="3"/>
    <col width="9.140625" customWidth="1" style="78" min="4" max="16384"/>
  </cols>
  <sheetData>
    <row r="1">
      <c r="A1" s="2" t="inlineStr">
        <is>
          <t>data source</t>
        </is>
      </c>
      <c r="B1" s="18" t="inlineStr">
        <is>
          <t>available</t>
        </is>
      </c>
      <c r="C1" s="19" t="inlineStr">
        <is>
          <t>note</t>
        </is>
      </c>
    </row>
    <row r="2">
      <c r="A2" s="78" t="inlineStr">
        <is>
          <t>Active Directory: Active Directory Credential Request</t>
        </is>
      </c>
      <c r="B2" s="7" t="n"/>
      <c r="C2" s="78" t="n"/>
    </row>
    <row r="3">
      <c r="A3" s="78" t="inlineStr">
        <is>
          <t>Active Directory: Active Directory Object Access</t>
        </is>
      </c>
      <c r="B3" s="7" t="n"/>
      <c r="C3" s="78" t="n"/>
    </row>
    <row r="4">
      <c r="A4" s="78" t="inlineStr">
        <is>
          <t>Active Directory: Active Directory Object Creation</t>
        </is>
      </c>
      <c r="B4" s="7" t="n"/>
      <c r="C4" s="78" t="n"/>
    </row>
    <row r="5">
      <c r="A5" s="78" t="inlineStr">
        <is>
          <t>Active Directory: Active Directory Object Deletion</t>
        </is>
      </c>
      <c r="B5" s="7" t="n"/>
      <c r="C5" s="78" t="n"/>
    </row>
    <row r="6">
      <c r="A6" s="78" t="inlineStr">
        <is>
          <t>Active Directory: Active Directory Object Modification</t>
        </is>
      </c>
      <c r="B6" s="7" t="n"/>
      <c r="C6" s="78" t="n"/>
    </row>
    <row r="7">
      <c r="A7" s="78" t="inlineStr">
        <is>
          <t>Application Log: Application Log Content</t>
        </is>
      </c>
      <c r="B7" s="7" t="n"/>
      <c r="C7" s="78" t="n"/>
    </row>
    <row r="8">
      <c r="A8" s="78" t="inlineStr">
        <is>
          <t>Certificate: Certificate Registration</t>
        </is>
      </c>
      <c r="B8" s="7" t="n"/>
      <c r="C8" s="78" t="n"/>
    </row>
    <row r="9">
      <c r="A9" s="78" t="inlineStr">
        <is>
          <t>Cloud Service: Cloud Service Disable</t>
        </is>
      </c>
      <c r="B9" s="7" t="n"/>
      <c r="C9" s="78" t="n"/>
    </row>
    <row r="10">
      <c r="A10" s="78" t="inlineStr">
        <is>
          <t>Cloud Service: Cloud Service Enumeration</t>
        </is>
      </c>
      <c r="B10" s="7" t="n"/>
      <c r="C10" s="78" t="n"/>
    </row>
    <row r="11">
      <c r="A11" s="78" t="inlineStr">
        <is>
          <t>Cloud Service: Cloud Service Metadata</t>
        </is>
      </c>
      <c r="B11" s="7" t="n"/>
      <c r="C11" s="78" t="n"/>
    </row>
    <row r="12">
      <c r="A12" s="78" t="inlineStr">
        <is>
          <t>Cloud Service: Cloud Service Modification</t>
        </is>
      </c>
      <c r="B12" s="7" t="n"/>
      <c r="C12" s="78" t="n"/>
    </row>
    <row r="13">
      <c r="A13" s="78" t="inlineStr">
        <is>
          <t>Cloud Storage: Cloud Storage Access</t>
        </is>
      </c>
      <c r="B13" s="7" t="n"/>
      <c r="C13" s="78" t="n"/>
    </row>
    <row r="14">
      <c r="A14" s="78" t="inlineStr">
        <is>
          <t>Cloud Storage: Cloud Storage Creation</t>
        </is>
      </c>
      <c r="B14" s="7" t="n"/>
      <c r="C14" s="78" t="n"/>
    </row>
    <row r="15">
      <c r="A15" s="78" t="inlineStr">
        <is>
          <t>Cloud Storage: Cloud Storage Deletion</t>
        </is>
      </c>
      <c r="B15" s="7" t="n"/>
      <c r="C15" s="78" t="n"/>
    </row>
    <row r="16">
      <c r="A16" s="78" t="inlineStr">
        <is>
          <t>Cloud Storage: Cloud Storage Enumeration</t>
        </is>
      </c>
      <c r="B16" s="7" t="n"/>
      <c r="C16" s="78" t="n"/>
    </row>
    <row r="17">
      <c r="A17" s="78" t="inlineStr">
        <is>
          <t>Cloud Storage: Cloud Storage Metadata</t>
        </is>
      </c>
      <c r="B17" s="7" t="n"/>
      <c r="C17" s="78" t="n"/>
    </row>
    <row r="18">
      <c r="A18" s="78" t="inlineStr">
        <is>
          <t>Cloud Storage: Cloud Storage Modification</t>
        </is>
      </c>
      <c r="B18" s="7" t="n"/>
      <c r="C18" s="78" t="n"/>
    </row>
    <row r="19">
      <c r="A19" s="78" t="inlineStr">
        <is>
          <t>Command: Command Execution</t>
        </is>
      </c>
      <c r="B19" s="7" t="n"/>
      <c r="C19" s="78" t="n"/>
    </row>
    <row r="20">
      <c r="A20" s="78" t="inlineStr">
        <is>
          <t>Container: Container Creation</t>
        </is>
      </c>
      <c r="B20" s="7" t="n"/>
      <c r="C20" s="78" t="n"/>
    </row>
    <row r="21">
      <c r="A21" s="78" t="inlineStr">
        <is>
          <t>Container: Container Enumeration</t>
        </is>
      </c>
      <c r="B21" s="7" t="n"/>
      <c r="C21" s="78" t="n"/>
    </row>
    <row r="22">
      <c r="A22" s="78" t="inlineStr">
        <is>
          <t>Container: Container Start</t>
        </is>
      </c>
      <c r="B22" s="7" t="n"/>
      <c r="C22" s="78" t="n"/>
    </row>
    <row r="23">
      <c r="A23" s="78" t="inlineStr">
        <is>
          <t>Domain Name: Active DNS</t>
        </is>
      </c>
      <c r="B23" s="7" t="n"/>
      <c r="C23" s="78" t="n"/>
    </row>
    <row r="24">
      <c r="A24" s="78" t="inlineStr">
        <is>
          <t>Domain Name: Domain Registration</t>
        </is>
      </c>
      <c r="B24" s="7" t="n"/>
      <c r="C24" s="78" t="n"/>
    </row>
    <row r="25">
      <c r="A25" s="78" t="inlineStr">
        <is>
          <t>Domain Name: Passive DNS</t>
        </is>
      </c>
      <c r="B25" s="7" t="n"/>
      <c r="C25" s="78" t="n"/>
    </row>
    <row r="26">
      <c r="A26" s="78" t="inlineStr">
        <is>
          <t>Drive: Drive Access</t>
        </is>
      </c>
      <c r="B26" s="7" t="n"/>
      <c r="C26" s="78" t="n"/>
    </row>
    <row r="27">
      <c r="A27" s="78" t="inlineStr">
        <is>
          <t>Drive: Drive Creation</t>
        </is>
      </c>
      <c r="B27" s="7" t="n"/>
      <c r="C27" s="78" t="n"/>
    </row>
    <row r="28">
      <c r="A28" s="78" t="inlineStr">
        <is>
          <t>Drive: Drive Modification</t>
        </is>
      </c>
      <c r="B28" s="7" t="n"/>
      <c r="C28" s="78" t="n"/>
    </row>
    <row r="29">
      <c r="A29" s="78" t="inlineStr">
        <is>
          <t>Driver: Driver Load</t>
        </is>
      </c>
      <c r="B29" s="7" t="n"/>
      <c r="C29" s="78" t="n"/>
    </row>
    <row r="30">
      <c r="A30" s="78" t="inlineStr">
        <is>
          <t>Driver: Driver Metadata</t>
        </is>
      </c>
      <c r="B30" s="7" t="n"/>
      <c r="C30" s="78" t="n"/>
    </row>
    <row r="31">
      <c r="A31" s="78" t="inlineStr">
        <is>
          <t>File: File Access</t>
        </is>
      </c>
      <c r="B31" s="7" t="n"/>
      <c r="C31" s="78" t="n"/>
    </row>
    <row r="32">
      <c r="A32" s="78" t="inlineStr">
        <is>
          <t>File: File Creation</t>
        </is>
      </c>
      <c r="B32" s="7" t="n"/>
      <c r="C32" s="78" t="n"/>
    </row>
    <row r="33">
      <c r="A33" s="78" t="inlineStr">
        <is>
          <t>File: File Deletion</t>
        </is>
      </c>
      <c r="B33" s="7" t="n"/>
      <c r="C33" s="78" t="n"/>
    </row>
    <row r="34">
      <c r="A34" s="78" t="inlineStr">
        <is>
          <t>File: File Metadata</t>
        </is>
      </c>
      <c r="B34" s="7" t="n"/>
      <c r="C34" s="78" t="n"/>
    </row>
    <row r="35">
      <c r="A35" s="78" t="inlineStr">
        <is>
          <t>File: File Modification</t>
        </is>
      </c>
      <c r="B35" s="7" t="n"/>
      <c r="C35" s="78" t="n"/>
    </row>
    <row r="36">
      <c r="A36" s="78" t="inlineStr">
        <is>
          <t>Firewall: Firewall Disable</t>
        </is>
      </c>
      <c r="B36" s="7" t="n"/>
      <c r="C36" s="78" t="n"/>
    </row>
    <row r="37">
      <c r="A37" s="78" t="inlineStr">
        <is>
          <t>Firewall: Firewall Rule Modification</t>
        </is>
      </c>
      <c r="B37" s="7" t="n"/>
      <c r="C37" s="78" t="n"/>
    </row>
    <row r="38">
      <c r="A38" s="78" t="inlineStr">
        <is>
          <t>Firmware: Firmware Modification</t>
        </is>
      </c>
      <c r="B38" s="7" t="n"/>
      <c r="C38" s="78" t="n"/>
    </row>
    <row r="39">
      <c r="A39" s="78" t="inlineStr">
        <is>
          <t>Group: Group Enumeration</t>
        </is>
      </c>
      <c r="B39" s="7" t="n"/>
      <c r="C39" s="78" t="n"/>
    </row>
    <row r="40">
      <c r="A40" s="78" t="inlineStr">
        <is>
          <t>Group: Group Metadata</t>
        </is>
      </c>
      <c r="B40" s="7" t="n"/>
      <c r="C40" s="78" t="n"/>
    </row>
    <row r="41">
      <c r="A41" s="78" t="inlineStr">
        <is>
          <t>Group: Group Modification</t>
        </is>
      </c>
      <c r="B41" s="7" t="n"/>
      <c r="C41" s="78" t="n"/>
    </row>
    <row r="42">
      <c r="A42" s="78" t="inlineStr">
        <is>
          <t>Image: Image Creation</t>
        </is>
      </c>
      <c r="B42" s="7" t="n"/>
      <c r="C42" s="78" t="n"/>
    </row>
    <row r="43">
      <c r="A43" s="78" t="inlineStr">
        <is>
          <t>Image: Image Metadata</t>
        </is>
      </c>
      <c r="B43" s="7" t="n"/>
      <c r="C43" s="78" t="n"/>
    </row>
    <row r="44">
      <c r="A44" s="78" t="inlineStr">
        <is>
          <t>Image: Image Modification</t>
        </is>
      </c>
      <c r="B44" s="7" t="n"/>
      <c r="C44" s="78" t="n"/>
    </row>
    <row r="45">
      <c r="A45" s="78" t="inlineStr">
        <is>
          <t>Instance: Instance Creation</t>
        </is>
      </c>
      <c r="B45" s="7" t="n"/>
      <c r="C45" s="78" t="n"/>
    </row>
    <row r="46">
      <c r="A46" s="78" t="inlineStr">
        <is>
          <t>Instance: Instance Deletion</t>
        </is>
      </c>
      <c r="B46" s="7" t="n"/>
      <c r="C46" s="78" t="n"/>
    </row>
    <row r="47">
      <c r="A47" s="78" t="inlineStr">
        <is>
          <t>Instance: Instance Enumeration</t>
        </is>
      </c>
      <c r="B47" s="7" t="n"/>
      <c r="C47" s="78" t="n"/>
    </row>
    <row r="48">
      <c r="A48" s="78" t="inlineStr">
        <is>
          <t>Instance: Instance Metadata</t>
        </is>
      </c>
      <c r="B48" s="7" t="n"/>
      <c r="C48" s="78" t="n"/>
    </row>
    <row r="49">
      <c r="A49" s="78" t="inlineStr">
        <is>
          <t>Instance: Instance Modification</t>
        </is>
      </c>
      <c r="B49" s="7" t="n"/>
      <c r="C49" s="78" t="n"/>
    </row>
    <row r="50">
      <c r="A50" s="78" t="inlineStr">
        <is>
          <t>Instance: Instance Start</t>
        </is>
      </c>
      <c r="B50" s="7" t="n"/>
      <c r="C50" s="78" t="n"/>
    </row>
    <row r="51">
      <c r="A51" s="78" t="inlineStr">
        <is>
          <t>Instance: Instance Stop</t>
        </is>
      </c>
      <c r="B51" s="7" t="n"/>
      <c r="C51" s="78" t="n"/>
    </row>
    <row r="52">
      <c r="A52" s="78" t="inlineStr">
        <is>
          <t>Internet Scan: Response Content</t>
        </is>
      </c>
      <c r="B52" s="7" t="n"/>
      <c r="C52" s="78" t="n"/>
    </row>
    <row r="53">
      <c r="A53" s="78" t="inlineStr">
        <is>
          <t>Internet Scan: Response Metadata</t>
        </is>
      </c>
      <c r="B53" s="7" t="n"/>
      <c r="C53" s="78" t="n"/>
    </row>
    <row r="54">
      <c r="A54" s="78" t="inlineStr">
        <is>
          <t>Kernel: Kernel Module Load</t>
        </is>
      </c>
      <c r="B54" s="7" t="n"/>
      <c r="C54" s="78" t="n"/>
    </row>
    <row r="55">
      <c r="A55" s="78" t="inlineStr">
        <is>
          <t>Logon Session: Logon Session Creation</t>
        </is>
      </c>
      <c r="B55" s="7" t="n"/>
      <c r="C55" s="78" t="n"/>
    </row>
    <row r="56">
      <c r="A56" s="78" t="inlineStr">
        <is>
          <t>Logon Session: Logon Session Metadata</t>
        </is>
      </c>
      <c r="B56" s="7" t="n"/>
      <c r="C56" s="78" t="n"/>
    </row>
    <row r="57">
      <c r="A57" s="78" t="inlineStr">
        <is>
          <t>Malware Repository: Malware Content</t>
        </is>
      </c>
      <c r="B57" s="7" t="n"/>
      <c r="C57" s="78" t="n"/>
    </row>
    <row r="58">
      <c r="A58" s="78" t="inlineStr">
        <is>
          <t>Malware Repository: Malware Metadata</t>
        </is>
      </c>
      <c r="B58" s="7" t="n"/>
      <c r="C58" s="78" t="n"/>
    </row>
    <row r="59">
      <c r="A59" s="78" t="inlineStr">
        <is>
          <t>Module: Module Load</t>
        </is>
      </c>
      <c r="B59" s="7" t="n"/>
      <c r="C59" s="78" t="n"/>
    </row>
    <row r="60">
      <c r="A60" s="78" t="inlineStr">
        <is>
          <t>Named Pipe: Named Pipe Metadata</t>
        </is>
      </c>
      <c r="B60" s="7" t="n"/>
      <c r="C60" s="78" t="n"/>
    </row>
    <row r="61">
      <c r="A61" s="78" t="inlineStr">
        <is>
          <t>Network Share: Network Share Access</t>
        </is>
      </c>
      <c r="B61" s="7" t="n"/>
      <c r="C61" s="78" t="n"/>
    </row>
    <row r="62">
      <c r="A62" s="78" t="inlineStr">
        <is>
          <t>Network Traffic: Network Connection Creation</t>
        </is>
      </c>
      <c r="B62" s="7" t="n"/>
      <c r="C62" s="78" t="n"/>
    </row>
    <row r="63">
      <c r="A63" s="78" t="inlineStr">
        <is>
          <t>Network Traffic: Network Traffic Content</t>
        </is>
      </c>
      <c r="B63" s="7" t="n"/>
      <c r="C63" s="78" t="n"/>
    </row>
    <row r="64">
      <c r="A64" s="78" t="inlineStr">
        <is>
          <t>Network Traffic: Network Traffic Flow</t>
        </is>
      </c>
      <c r="B64" s="7" t="n"/>
      <c r="C64" s="78" t="n"/>
    </row>
    <row r="65">
      <c r="A65" s="78" t="inlineStr">
        <is>
          <t>Persona: Social Media</t>
        </is>
      </c>
      <c r="B65" s="7" t="n"/>
      <c r="C65" s="78" t="n"/>
    </row>
    <row r="66">
      <c r="A66" s="78" t="inlineStr">
        <is>
          <t>Pod: Pod Creation</t>
        </is>
      </c>
      <c r="B66" s="7" t="n"/>
      <c r="C66" s="78" t="n"/>
    </row>
    <row r="67">
      <c r="A67" s="78" t="inlineStr">
        <is>
          <t>Pod: Pod Enumeration</t>
        </is>
      </c>
      <c r="B67" s="7" t="n"/>
      <c r="C67" s="78" t="n"/>
    </row>
    <row r="68">
      <c r="A68" s="78" t="inlineStr">
        <is>
          <t>Process: OS API Execution</t>
        </is>
      </c>
      <c r="B68" s="7" t="n"/>
      <c r="C68" s="78" t="n"/>
    </row>
    <row r="69">
      <c r="A69" s="78" t="inlineStr">
        <is>
          <t>Process: Process Access</t>
        </is>
      </c>
      <c r="B69" s="7" t="n"/>
      <c r="C69" s="78" t="n"/>
    </row>
    <row r="70">
      <c r="A70" s="78" t="inlineStr">
        <is>
          <t>Process: Process Creation</t>
        </is>
      </c>
      <c r="B70" s="7" t="n"/>
      <c r="C70" s="78" t="n"/>
    </row>
    <row r="71">
      <c r="A71" s="78" t="inlineStr">
        <is>
          <t>Process: Process Metadata</t>
        </is>
      </c>
      <c r="B71" s="7" t="n"/>
      <c r="C71" s="78" t="n"/>
    </row>
    <row r="72">
      <c r="A72" s="78" t="inlineStr">
        <is>
          <t>Process: Process Modification</t>
        </is>
      </c>
      <c r="B72" s="7" t="n"/>
      <c r="C72" s="78" t="n"/>
    </row>
    <row r="73">
      <c r="A73" s="78" t="inlineStr">
        <is>
          <t>Process: Process Termination</t>
        </is>
      </c>
      <c r="B73" s="7" t="n"/>
      <c r="C73" s="78" t="n"/>
    </row>
    <row r="74">
      <c r="A74" s="78" t="inlineStr">
        <is>
          <t>Scheduled Job: Scheduled Job Creation</t>
        </is>
      </c>
      <c r="B74" s="7" t="n"/>
      <c r="C74" s="78" t="n"/>
    </row>
    <row r="75">
      <c r="A75" s="78" t="inlineStr">
        <is>
          <t>Scheduled Job: Scheduled Job Metadata</t>
        </is>
      </c>
      <c r="B75" s="7" t="n"/>
      <c r="C75" s="78" t="n"/>
    </row>
    <row r="76">
      <c r="A76" s="78" t="inlineStr">
        <is>
          <t>Scheduled Job: Scheduled Job Modification</t>
        </is>
      </c>
      <c r="B76" s="7" t="n"/>
      <c r="C76" s="78" t="n"/>
    </row>
    <row r="77">
      <c r="A77" s="78" t="inlineStr">
        <is>
          <t>Script: Script Execution</t>
        </is>
      </c>
      <c r="B77" s="7" t="n"/>
      <c r="C77" s="78" t="n"/>
    </row>
    <row r="78">
      <c r="A78" s="78" t="inlineStr">
        <is>
          <t>Sensor Health: Host Status</t>
        </is>
      </c>
      <c r="B78" s="7" t="n"/>
      <c r="C78" s="78" t="n"/>
    </row>
    <row r="79">
      <c r="A79" s="78" t="inlineStr">
        <is>
          <t>Service: Service Creation</t>
        </is>
      </c>
      <c r="B79" s="7" t="n"/>
      <c r="C79" s="78" t="n"/>
    </row>
    <row r="80">
      <c r="A80" s="78" t="inlineStr">
        <is>
          <t>Service: Service Metadata</t>
        </is>
      </c>
      <c r="B80" s="7" t="n"/>
      <c r="C80" s="78" t="n"/>
    </row>
    <row r="81">
      <c r="A81" s="78" t="inlineStr">
        <is>
          <t>Service: Service Modification</t>
        </is>
      </c>
      <c r="B81" s="7" t="n"/>
      <c r="C81" s="78" t="n"/>
    </row>
    <row r="82">
      <c r="A82" s="78" t="inlineStr">
        <is>
          <t>Snapshot: Snapshot Creation</t>
        </is>
      </c>
      <c r="B82" s="7" t="n"/>
      <c r="C82" s="78" t="n"/>
    </row>
    <row r="83">
      <c r="A83" s="78" t="inlineStr">
        <is>
          <t>Snapshot: Snapshot Deletion</t>
        </is>
      </c>
      <c r="B83" s="7" t="n"/>
      <c r="C83" s="78" t="n"/>
    </row>
    <row r="84">
      <c r="A84" s="78" t="inlineStr">
        <is>
          <t>Snapshot: Snapshot Metadata</t>
        </is>
      </c>
      <c r="B84" s="7" t="n"/>
      <c r="C84" s="78" t="n"/>
    </row>
    <row r="85">
      <c r="A85" s="78" t="inlineStr">
        <is>
          <t>Snapshot: Snapshot Modification</t>
        </is>
      </c>
      <c r="B85" s="7" t="n"/>
      <c r="C85" s="78" t="n"/>
    </row>
    <row r="86">
      <c r="A86" s="78" t="inlineStr">
        <is>
          <t>User Account: User Account Authentication</t>
        </is>
      </c>
      <c r="B86" s="7" t="n"/>
      <c r="C86" s="78" t="n"/>
    </row>
    <row r="87">
      <c r="A87" s="78" t="inlineStr">
        <is>
          <t>User Account: User Account Creation</t>
        </is>
      </c>
      <c r="B87" s="7" t="n"/>
      <c r="C87" s="78" t="n"/>
    </row>
    <row r="88">
      <c r="A88" s="78" t="inlineStr">
        <is>
          <t>User Account: User Account Deletion</t>
        </is>
      </c>
      <c r="B88" s="7" t="n"/>
      <c r="C88" s="78" t="n"/>
    </row>
    <row r="89">
      <c r="A89" s="78" t="inlineStr">
        <is>
          <t>User Account: User Account Metadata</t>
        </is>
      </c>
      <c r="B89" s="7" t="n"/>
      <c r="C89" s="78" t="n"/>
    </row>
    <row r="90">
      <c r="A90" s="78" t="inlineStr">
        <is>
          <t>User Account: User Account Modification</t>
        </is>
      </c>
      <c r="B90" s="7" t="n"/>
      <c r="C90" s="78" t="n"/>
    </row>
    <row r="91">
      <c r="A91" s="78" t="inlineStr">
        <is>
          <t>Volume: Volume Creation</t>
        </is>
      </c>
      <c r="B91" s="7" t="n"/>
      <c r="C91" s="78" t="n"/>
    </row>
    <row r="92">
      <c r="A92" s="78" t="inlineStr">
        <is>
          <t>Volume: Volume Deletion</t>
        </is>
      </c>
      <c r="B92" s="7" t="n"/>
      <c r="C92" s="78" t="n"/>
    </row>
    <row r="93">
      <c r="A93" s="78" t="inlineStr">
        <is>
          <t>Volume: Volume Modification</t>
        </is>
      </c>
      <c r="B93" s="7" t="n"/>
      <c r="C93" s="78" t="n"/>
    </row>
    <row r="94">
      <c r="A94" s="78" t="inlineStr">
        <is>
          <t>WMI: WMI Creation</t>
        </is>
      </c>
      <c r="B94" s="7" t="n"/>
      <c r="C94" s="78" t="n"/>
    </row>
    <row r="95">
      <c r="A95" s="78" t="inlineStr">
        <is>
          <t>Web Credential: Web Credential Creation</t>
        </is>
      </c>
      <c r="B95" s="7" t="n"/>
      <c r="C95" s="78" t="n"/>
    </row>
    <row r="96">
      <c r="A96" s="78" t="inlineStr">
        <is>
          <t>Web Credential: Web Credential Usage</t>
        </is>
      </c>
      <c r="B96" s="7" t="n"/>
      <c r="C96" s="78" t="n"/>
    </row>
    <row r="97">
      <c r="A97" s="78" t="inlineStr">
        <is>
          <t>Windows Registry: Windows Registry Key Access</t>
        </is>
      </c>
      <c r="B97" s="7" t="n"/>
      <c r="C97" s="78" t="n"/>
    </row>
    <row r="98">
      <c r="A98" s="78" t="inlineStr">
        <is>
          <t>Windows Registry: Windows Registry Key Creation</t>
        </is>
      </c>
      <c r="B98" s="7" t="n"/>
      <c r="C98" s="78" t="n"/>
    </row>
    <row r="99">
      <c r="A99" s="78" t="inlineStr">
        <is>
          <t>Windows Registry: Windows Registry Key Modification</t>
        </is>
      </c>
      <c r="B99" s="7" t="n"/>
      <c r="C99" s="78" t="n"/>
    </row>
    <row r="100"/>
    <row r="101"/>
    <row r="102"/>
    <row r="103"/>
    <row r="104"/>
    <row r="105"/>
    <row r="106"/>
    <row r="107"/>
    <row r="108"/>
    <row r="109"/>
    <row r="110"/>
  </sheetData>
  <conditionalFormatting sqref="A2:C99">
    <cfRule type="expression" priority="1" dxfId="5">
      <formula>IF($B2="yes",1,0)</formula>
    </cfRule>
  </conditionalFormatting>
  <dataValidations count="1">
    <dataValidation sqref="B2:B110" showDropDown="0" showInputMessage="1" showErrorMessage="1" allowBlank="1" type="custom">
      <formula1>IF(B2="yes",1,0)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4" sqref="B4"/>
    </sheetView>
  </sheetViews>
  <sheetFormatPr baseColWidth="8" defaultRowHeight="12.75"/>
  <cols>
    <col width="26.42578125" bestFit="1" customWidth="1" style="78" min="1" max="1"/>
    <col width="20.85546875" customWidth="1" style="78" min="2" max="2"/>
    <col width="9.140625" customWidth="1" style="78" min="3" max="16384"/>
  </cols>
  <sheetData>
    <row r="1" ht="16.5" customHeight="1" thickBot="1">
      <c r="A1" s="65" t="inlineStr">
        <is>
          <t>Current Excel file version</t>
        </is>
      </c>
      <c r="B1" s="66" t="n">
        <v>20260823</v>
      </c>
    </row>
    <row r="2" ht="13.5" customHeight="1" thickBot="1">
      <c r="A2" s="67" t="inlineStr">
        <is>
          <t>Based on template version</t>
        </is>
      </c>
      <c r="B2" s="68" t="n">
        <v>20260823</v>
      </c>
    </row>
    <row r="3" ht="13.5" customHeight="1" thickBot="1">
      <c r="A3" s="69" t="inlineStr">
        <is>
          <t>Base on MITRE ATT&amp;CK® version</t>
        </is>
      </c>
      <c r="B3" s="68" t="inlineStr">
        <is>
          <t>v19.2 August 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dfirfpi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2026-08-28T16:23:27Z</dcterms:modified>
  <cp:lastModifiedBy>dfirfpi</cp:lastModifiedBy>
</cp:coreProperties>
</file>